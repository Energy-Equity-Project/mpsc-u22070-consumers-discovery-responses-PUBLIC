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onsumersenergy.sharepoint.com/sites/RatesandRegulation/Audit and Discovery Library/"/>
    </mc:Choice>
  </mc:AlternateContent>
  <xr:revisionPtr revIDLastSave="3" documentId="8_{04229F3E-7256-4C49-82A1-06EBD2A722EC}" xr6:coauthVersionLast="47" xr6:coauthVersionMax="47" xr10:uidLastSave="{A2C40D42-6185-4F63-94D2-1BD3C07CD2D6}"/>
  <bookViews>
    <workbookView xWindow="-120" yWindow="-120" windowWidth="29040" windowHeight="15720" xr2:uid="{68F27368-45C5-47FB-99B7-DE11210EB45A}"/>
  </bookViews>
  <sheets>
    <sheet name="SAIDI excl MEDs sort (5-yr avg)" sheetId="1" r:id="rId1"/>
    <sheet name="SAIDI incl MEDs sort (5-yr avg)" sheetId="2" r:id="rId2"/>
  </sheets>
  <externalReferences>
    <externalReference r:id="rId3"/>
  </externalReferences>
  <definedNames>
    <definedName name="_xlnm._FilterDatabase" localSheetId="0" hidden="1">'SAIDI excl MEDs sort (5-yr avg)'!$A$1:$AA$193</definedName>
    <definedName name="_xlnm._FilterDatabase" localSheetId="1" hidden="1">'SAIDI incl MEDs sort (5-yr avg)'!$A$1:$AA$193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F15" i="1" l="1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AA193" i="2" s="1"/>
  <c r="F193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AA192" i="2" s="1"/>
  <c r="F192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AA191" i="2" s="1"/>
  <c r="F191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AA190" i="2" s="1"/>
  <c r="F190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AA187" i="2" s="1"/>
  <c r="F187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AA186" i="2" s="1"/>
  <c r="F186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AA183" i="2" s="1"/>
  <c r="F183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AA180" i="2" s="1"/>
  <c r="J180" i="2"/>
  <c r="I180" i="2"/>
  <c r="H180" i="2"/>
  <c r="G180" i="2"/>
  <c r="F180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AA176" i="2" s="1"/>
  <c r="J176" i="2"/>
  <c r="I176" i="2"/>
  <c r="H176" i="2"/>
  <c r="G176" i="2"/>
  <c r="F176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AA175" i="2" s="1"/>
  <c r="F175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AA174" i="2" s="1"/>
  <c r="F174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AA170" i="2" s="1"/>
  <c r="F170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AA169" i="2" s="1"/>
  <c r="F169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AA165" i="2" s="1"/>
  <c r="F165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AA164" i="2" s="1"/>
  <c r="J164" i="2"/>
  <c r="I164" i="2"/>
  <c r="H164" i="2"/>
  <c r="G164" i="2"/>
  <c r="F164" i="2"/>
  <c r="Z163" i="2"/>
  <c r="Y163" i="2"/>
  <c r="X163" i="2"/>
  <c r="W163" i="2"/>
  <c r="V163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Z162" i="2"/>
  <c r="Y162" i="2"/>
  <c r="X162" i="2"/>
  <c r="W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AA162" i="2" s="1"/>
  <c r="F162" i="2"/>
  <c r="Z161" i="2"/>
  <c r="Y161" i="2"/>
  <c r="X161" i="2"/>
  <c r="W161" i="2"/>
  <c r="V161" i="2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Z159" i="2"/>
  <c r="Y159" i="2"/>
  <c r="X159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AA159" i="2" s="1"/>
  <c r="J159" i="2"/>
  <c r="I159" i="2"/>
  <c r="H159" i="2"/>
  <c r="G159" i="2"/>
  <c r="F159" i="2"/>
  <c r="Z158" i="2"/>
  <c r="Y158" i="2"/>
  <c r="X158" i="2"/>
  <c r="W158" i="2"/>
  <c r="V158" i="2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Z157" i="2"/>
  <c r="Y157" i="2"/>
  <c r="X157" i="2"/>
  <c r="W157" i="2"/>
  <c r="V157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Z156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AA155" i="2" s="1"/>
  <c r="N155" i="2"/>
  <c r="M155" i="2"/>
  <c r="L155" i="2"/>
  <c r="K155" i="2"/>
  <c r="J155" i="2"/>
  <c r="I155" i="2"/>
  <c r="H155" i="2"/>
  <c r="G155" i="2"/>
  <c r="F155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AA154" i="2" s="1"/>
  <c r="F154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AA153" i="2" s="1"/>
  <c r="F153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Z149" i="2"/>
  <c r="Y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AA149" i="2" s="1"/>
  <c r="F149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AA148" i="2" s="1"/>
  <c r="F148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AA144" i="2" s="1"/>
  <c r="F144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AA143" i="2" s="1"/>
  <c r="J143" i="2"/>
  <c r="I143" i="2"/>
  <c r="H143" i="2"/>
  <c r="G143" i="2"/>
  <c r="F143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AA141" i="2" s="1"/>
  <c r="F141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AA139" i="2" s="1"/>
  <c r="F139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AA137" i="2" s="1"/>
  <c r="J137" i="2"/>
  <c r="I137" i="2"/>
  <c r="H137" i="2"/>
  <c r="G137" i="2"/>
  <c r="F137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AA134" i="2" s="1"/>
  <c r="N134" i="2"/>
  <c r="M134" i="2"/>
  <c r="L134" i="2"/>
  <c r="K134" i="2"/>
  <c r="J134" i="2"/>
  <c r="I134" i="2"/>
  <c r="H134" i="2"/>
  <c r="G134" i="2"/>
  <c r="F134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AA133" i="2" s="1"/>
  <c r="F133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AA129" i="2" s="1"/>
  <c r="F129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AA128" i="2" s="1"/>
  <c r="J128" i="2"/>
  <c r="I128" i="2"/>
  <c r="H128" i="2"/>
  <c r="G128" i="2"/>
  <c r="F128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AA127" i="2" s="1"/>
  <c r="F127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AA124" i="2" s="1"/>
  <c r="F124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AA123" i="2" s="1"/>
  <c r="F123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AA120" i="2" s="1"/>
  <c r="F120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AA118" i="2" s="1"/>
  <c r="F118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AA113" i="2" s="1"/>
  <c r="N113" i="2"/>
  <c r="M113" i="2"/>
  <c r="L113" i="2"/>
  <c r="K113" i="2"/>
  <c r="J113" i="2"/>
  <c r="I113" i="2"/>
  <c r="H113" i="2"/>
  <c r="G113" i="2"/>
  <c r="F113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AA112" i="2" s="1"/>
  <c r="F112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AA108" i="2" s="1"/>
  <c r="F108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AA107" i="2" s="1"/>
  <c r="J107" i="2"/>
  <c r="I107" i="2"/>
  <c r="H107" i="2"/>
  <c r="G107" i="2"/>
  <c r="F107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AA106" i="2" s="1"/>
  <c r="F106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AA103" i="2" s="1"/>
  <c r="F103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AA102" i="2" s="1"/>
  <c r="F102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AA99" i="2" s="1"/>
  <c r="J99" i="2"/>
  <c r="I99" i="2"/>
  <c r="H99" i="2"/>
  <c r="G99" i="2"/>
  <c r="F99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AA97" i="2" s="1"/>
  <c r="F97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Z92" i="2"/>
  <c r="Y92" i="2"/>
  <c r="X92" i="2"/>
  <c r="W92" i="2"/>
  <c r="V92" i="2"/>
  <c r="U92" i="2"/>
  <c r="T92" i="2"/>
  <c r="S92" i="2"/>
  <c r="R92" i="2"/>
  <c r="Q92" i="2"/>
  <c r="P92" i="2"/>
  <c r="O92" i="2"/>
  <c r="AA92" i="2" s="1"/>
  <c r="N92" i="2"/>
  <c r="M92" i="2"/>
  <c r="L92" i="2"/>
  <c r="K92" i="2"/>
  <c r="J92" i="2"/>
  <c r="I92" i="2"/>
  <c r="H92" i="2"/>
  <c r="G92" i="2"/>
  <c r="F92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AA91" i="2" s="1"/>
  <c r="F91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AA88" i="2" s="1"/>
  <c r="F88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AA87" i="2" s="1"/>
  <c r="F87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AA86" i="2" s="1"/>
  <c r="J86" i="2"/>
  <c r="I86" i="2"/>
  <c r="H86" i="2"/>
  <c r="G86" i="2"/>
  <c r="F86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AA85" i="2" s="1"/>
  <c r="F85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AA82" i="2" s="1"/>
  <c r="F82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AA78" i="2" s="1"/>
  <c r="J78" i="2"/>
  <c r="I78" i="2"/>
  <c r="H78" i="2"/>
  <c r="G78" i="2"/>
  <c r="F78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AA76" i="2" s="1"/>
  <c r="F76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AA71" i="2" s="1"/>
  <c r="F71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AA70" i="2" s="1"/>
  <c r="F70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AA67" i="2" s="1"/>
  <c r="F67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AA66" i="2" s="1"/>
  <c r="F66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AA65" i="2" s="1"/>
  <c r="J65" i="2"/>
  <c r="I65" i="2"/>
  <c r="H65" i="2"/>
  <c r="G65" i="2"/>
  <c r="F65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AA64" i="2" s="1"/>
  <c r="F64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AD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AD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AA61" i="2" s="1"/>
  <c r="F61" i="2"/>
  <c r="AD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AA60" i="2" s="1"/>
  <c r="F60" i="2"/>
  <c r="AD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AD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AD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AA57" i="2" s="1"/>
  <c r="J57" i="2"/>
  <c r="I57" i="2"/>
  <c r="H57" i="2"/>
  <c r="G57" i="2"/>
  <c r="F57" i="2"/>
  <c r="AD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AA56" i="2" s="1"/>
  <c r="F56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AA55" i="2" s="1"/>
  <c r="F55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AA49" i="2" s="1"/>
  <c r="F49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AA47" i="2" s="1"/>
  <c r="F47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AA46" i="2" s="1"/>
  <c r="F46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AA45" i="2" s="1"/>
  <c r="J45" i="2"/>
  <c r="I45" i="2"/>
  <c r="H45" i="2"/>
  <c r="G45" i="2"/>
  <c r="F45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AA44" i="2" s="1"/>
  <c r="J44" i="2"/>
  <c r="I44" i="2"/>
  <c r="H44" i="2"/>
  <c r="G44" i="2"/>
  <c r="F44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Z42" i="2"/>
  <c r="Y42" i="2"/>
  <c r="X42" i="2"/>
  <c r="W42" i="2"/>
  <c r="V42" i="2"/>
  <c r="U42" i="2"/>
  <c r="T42" i="2"/>
  <c r="S42" i="2"/>
  <c r="R42" i="2"/>
  <c r="Q42" i="2"/>
  <c r="P42" i="2"/>
  <c r="O42" i="2"/>
  <c r="AA42" i="2" s="1"/>
  <c r="N42" i="2"/>
  <c r="M42" i="2"/>
  <c r="L42" i="2"/>
  <c r="K42" i="2"/>
  <c r="J42" i="2"/>
  <c r="I42" i="2"/>
  <c r="H42" i="2"/>
  <c r="G42" i="2"/>
  <c r="F42" i="2"/>
  <c r="AD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AD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AA40" i="2" s="1"/>
  <c r="J40" i="2"/>
  <c r="I40" i="2"/>
  <c r="H40" i="2"/>
  <c r="G40" i="2"/>
  <c r="F40" i="2"/>
  <c r="AD39" i="2"/>
  <c r="Z39" i="2"/>
  <c r="Y39" i="2"/>
  <c r="X39" i="2"/>
  <c r="W39" i="2"/>
  <c r="V39" i="2"/>
  <c r="U39" i="2"/>
  <c r="T39" i="2"/>
  <c r="S39" i="2"/>
  <c r="R39" i="2"/>
  <c r="Q39" i="2"/>
  <c r="P39" i="2"/>
  <c r="O39" i="2"/>
  <c r="AA39" i="2" s="1"/>
  <c r="N39" i="2"/>
  <c r="M39" i="2"/>
  <c r="L39" i="2"/>
  <c r="K39" i="2"/>
  <c r="J39" i="2"/>
  <c r="I39" i="2"/>
  <c r="H39" i="2"/>
  <c r="G39" i="2"/>
  <c r="F39" i="2"/>
  <c r="AD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AD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AD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AA36" i="2" s="1"/>
  <c r="J36" i="2"/>
  <c r="I36" i="2"/>
  <c r="H36" i="2"/>
  <c r="G36" i="2"/>
  <c r="F36" i="2"/>
  <c r="AD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AA35" i="2" s="1"/>
  <c r="F35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AA31" i="2" s="1"/>
  <c r="F31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AA30" i="2" s="1"/>
  <c r="J30" i="2"/>
  <c r="I30" i="2"/>
  <c r="H30" i="2"/>
  <c r="G30" i="2"/>
  <c r="F30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AA29" i="2" s="1"/>
  <c r="F29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AA26" i="2" s="1"/>
  <c r="F26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AA25" i="2" s="1"/>
  <c r="F25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AA22" i="2" s="1"/>
  <c r="J22" i="2"/>
  <c r="I22" i="2"/>
  <c r="H22" i="2"/>
  <c r="G22" i="2"/>
  <c r="F22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AA20" i="2" s="1"/>
  <c r="F20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AA16" i="2" s="1"/>
  <c r="F16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AA14" i="2" s="1"/>
  <c r="F14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AA12" i="2" s="1"/>
  <c r="F12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AA9" i="2" s="1"/>
  <c r="F9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AA8" i="2" s="1"/>
  <c r="F8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AA4" i="2" s="1"/>
  <c r="F4" i="2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AA188" i="1" s="1"/>
  <c r="L188" i="1"/>
  <c r="K188" i="1"/>
  <c r="J188" i="1"/>
  <c r="I188" i="1"/>
  <c r="H188" i="1"/>
  <c r="G188" i="1"/>
  <c r="F188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AA182" i="1" s="1"/>
  <c r="H182" i="1"/>
  <c r="G182" i="1"/>
  <c r="F182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AA178" i="1" s="1"/>
  <c r="H178" i="1"/>
  <c r="G178" i="1"/>
  <c r="F178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AA170" i="1" s="1"/>
  <c r="H170" i="1"/>
  <c r="G170" i="1"/>
  <c r="F170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AA166" i="1" s="1"/>
  <c r="H166" i="1"/>
  <c r="G166" i="1"/>
  <c r="F166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AA154" i="1" s="1"/>
  <c r="H154" i="1"/>
  <c r="G154" i="1"/>
  <c r="F154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AA150" i="1" s="1"/>
  <c r="H150" i="1"/>
  <c r="G150" i="1"/>
  <c r="F150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AA142" i="1" s="1"/>
  <c r="H142" i="1"/>
  <c r="G142" i="1"/>
  <c r="F142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AA138" i="1" s="1"/>
  <c r="H138" i="1"/>
  <c r="G138" i="1"/>
  <c r="F138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AA126" i="1" s="1"/>
  <c r="H126" i="1"/>
  <c r="G126" i="1"/>
  <c r="F126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AA122" i="1" s="1"/>
  <c r="H122" i="1"/>
  <c r="G122" i="1"/>
  <c r="F122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AA114" i="1" s="1"/>
  <c r="H114" i="1"/>
  <c r="G114" i="1"/>
  <c r="F114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AA110" i="1" s="1"/>
  <c r="H110" i="1"/>
  <c r="G110" i="1"/>
  <c r="F110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AA98" i="1" s="1"/>
  <c r="H98" i="1"/>
  <c r="G98" i="1"/>
  <c r="F98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AA94" i="1" s="1"/>
  <c r="H94" i="1"/>
  <c r="G94" i="1"/>
  <c r="F94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AA86" i="1" s="1"/>
  <c r="H86" i="1"/>
  <c r="G86" i="1"/>
  <c r="F86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AA82" i="1" s="1"/>
  <c r="H82" i="1"/>
  <c r="G82" i="1"/>
  <c r="F82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AA70" i="1" s="1"/>
  <c r="H70" i="1"/>
  <c r="G70" i="1"/>
  <c r="F70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AA66" i="1" s="1"/>
  <c r="H66" i="1"/>
  <c r="G66" i="1"/>
  <c r="F66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AA58" i="1" s="1"/>
  <c r="H58" i="1"/>
  <c r="G58" i="1"/>
  <c r="F58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AA54" i="1" s="1"/>
  <c r="H54" i="1"/>
  <c r="G54" i="1"/>
  <c r="F54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AD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AD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AF14" i="1" s="1"/>
  <c r="AD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AA45" i="1" s="1"/>
  <c r="H45" i="1"/>
  <c r="G45" i="1"/>
  <c r="F45" i="1"/>
  <c r="AD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AA44" i="1" s="1"/>
  <c r="H44" i="1"/>
  <c r="G44" i="1"/>
  <c r="F44" i="1"/>
  <c r="AD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AD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AD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AA36" i="1" s="1"/>
  <c r="H36" i="1"/>
  <c r="G36" i="1"/>
  <c r="F36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AA35" i="1" s="1"/>
  <c r="H35" i="1"/>
  <c r="G35" i="1"/>
  <c r="F35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AA34" i="1" s="1"/>
  <c r="H34" i="1"/>
  <c r="G34" i="1"/>
  <c r="F34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AA33" i="1" s="1"/>
  <c r="L33" i="1"/>
  <c r="K33" i="1"/>
  <c r="J33" i="1"/>
  <c r="I33" i="1"/>
  <c r="H33" i="1"/>
  <c r="G33" i="1"/>
  <c r="F33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AA32" i="1" s="1"/>
  <c r="H32" i="1"/>
  <c r="G32" i="1"/>
  <c r="F32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AA30" i="1" s="1"/>
  <c r="H30" i="1"/>
  <c r="G30" i="1"/>
  <c r="F30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AA28" i="1" s="1"/>
  <c r="H28" i="1"/>
  <c r="G28" i="1"/>
  <c r="F28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AA27" i="1" s="1"/>
  <c r="H27" i="1"/>
  <c r="G27" i="1"/>
  <c r="F27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AF23" i="1"/>
  <c r="AD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AA23" i="1" s="1"/>
  <c r="H23" i="1"/>
  <c r="G23" i="1"/>
  <c r="F23" i="1"/>
  <c r="AF22" i="1"/>
  <c r="AD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AF21" i="1"/>
  <c r="AD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AA21" i="1" s="1"/>
  <c r="H21" i="1"/>
  <c r="G21" i="1"/>
  <c r="F21" i="1"/>
  <c r="AF20" i="1"/>
  <c r="AD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AF19" i="1"/>
  <c r="AD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AF18" i="1"/>
  <c r="AD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AA18" i="1" s="1"/>
  <c r="H18" i="1"/>
  <c r="G18" i="1"/>
  <c r="F18" i="1"/>
  <c r="AF17" i="1"/>
  <c r="AD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AA15" i="1" s="1"/>
  <c r="H15" i="1"/>
  <c r="G15" i="1"/>
  <c r="F15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AA7" i="1" s="1"/>
  <c r="H7" i="1"/>
  <c r="G7" i="1"/>
  <c r="F7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AA5" i="1" l="1"/>
  <c r="AA9" i="1"/>
  <c r="AA13" i="1"/>
  <c r="AA56" i="1"/>
  <c r="AA68" i="1"/>
  <c r="AA72" i="1"/>
  <c r="AA80" i="1"/>
  <c r="AA96" i="1"/>
  <c r="AA100" i="1"/>
  <c r="AA108" i="1"/>
  <c r="AA112" i="1"/>
  <c r="AA128" i="1"/>
  <c r="AA136" i="1"/>
  <c r="AA140" i="1"/>
  <c r="AA6" i="1"/>
  <c r="AA14" i="1"/>
  <c r="AA20" i="1"/>
  <c r="AA97" i="1"/>
  <c r="AA113" i="1"/>
  <c r="AA165" i="1"/>
  <c r="AA169" i="1"/>
  <c r="AA51" i="2"/>
  <c r="AA59" i="2"/>
  <c r="AA73" i="2"/>
  <c r="AA77" i="2"/>
  <c r="AA94" i="2"/>
  <c r="AA98" i="2"/>
  <c r="AA115" i="2"/>
  <c r="AA119" i="2"/>
  <c r="AA136" i="2"/>
  <c r="AA140" i="2"/>
  <c r="AA150" i="2"/>
  <c r="AA161" i="2"/>
  <c r="AA171" i="2"/>
  <c r="AA178" i="2"/>
  <c r="AA182" i="2"/>
  <c r="AA53" i="1"/>
  <c r="AA57" i="1"/>
  <c r="AA69" i="1"/>
  <c r="AA81" i="1"/>
  <c r="AA85" i="1"/>
  <c r="AA109" i="1"/>
  <c r="AA125" i="1"/>
  <c r="AA137" i="1"/>
  <c r="AA141" i="1"/>
  <c r="AA153" i="1"/>
  <c r="AA181" i="1"/>
  <c r="AA5" i="2"/>
  <c r="AA25" i="1"/>
  <c r="AA29" i="1"/>
  <c r="AA37" i="1"/>
  <c r="AA41" i="1"/>
  <c r="AE14" i="1" s="1"/>
  <c r="AA43" i="1"/>
  <c r="AA47" i="1"/>
  <c r="AA13" i="2"/>
  <c r="AA23" i="2"/>
  <c r="AA34" i="2"/>
  <c r="AA81" i="2"/>
  <c r="AA8" i="1"/>
  <c r="AA12" i="1"/>
  <c r="AA16" i="1"/>
  <c r="AA26" i="1"/>
  <c r="AA38" i="1"/>
  <c r="AA51" i="1"/>
  <c r="AA59" i="1"/>
  <c r="AA63" i="1"/>
  <c r="AA75" i="1"/>
  <c r="AA79" i="1"/>
  <c r="AA87" i="1"/>
  <c r="AA91" i="1"/>
  <c r="AA103" i="1"/>
  <c r="AA107" i="1"/>
  <c r="AA115" i="1"/>
  <c r="AA119" i="1"/>
  <c r="AA131" i="1"/>
  <c r="AA135" i="1"/>
  <c r="AA143" i="1"/>
  <c r="AA147" i="1"/>
  <c r="AA159" i="1"/>
  <c r="AA163" i="1"/>
  <c r="AA171" i="1"/>
  <c r="AA175" i="1"/>
  <c r="AA187" i="1"/>
  <c r="AA191" i="1"/>
  <c r="AF16" i="2"/>
  <c r="AA10" i="2"/>
  <c r="AA17" i="2"/>
  <c r="AA21" i="2"/>
  <c r="AA53" i="2"/>
  <c r="AA58" i="2"/>
  <c r="AE15" i="2" s="1"/>
  <c r="AA68" i="2"/>
  <c r="AA89" i="2"/>
  <c r="AA110" i="2"/>
  <c r="AA131" i="2"/>
  <c r="AF13" i="2"/>
  <c r="AA145" i="2"/>
  <c r="AA166" i="2"/>
  <c r="AA92" i="1"/>
  <c r="AA104" i="1"/>
  <c r="AA116" i="1"/>
  <c r="AA120" i="1"/>
  <c r="AA132" i="1"/>
  <c r="AA144" i="1"/>
  <c r="AA148" i="1"/>
  <c r="AA160" i="1"/>
  <c r="AA172" i="1"/>
  <c r="AA176" i="1"/>
  <c r="AA156" i="2"/>
  <c r="AA160" i="2"/>
  <c r="AA177" i="2"/>
  <c r="AA181" i="2"/>
  <c r="AA46" i="1"/>
  <c r="AA48" i="1"/>
  <c r="AA64" i="1"/>
  <c r="AA76" i="1"/>
  <c r="AA88" i="1"/>
  <c r="AA33" i="2"/>
  <c r="AA38" i="2"/>
  <c r="AA48" i="2"/>
  <c r="AF15" i="2"/>
  <c r="AA63" i="2"/>
  <c r="AA80" i="2"/>
  <c r="AA84" i="2"/>
  <c r="AA101" i="2"/>
  <c r="AE14" i="2" s="1"/>
  <c r="AA105" i="2"/>
  <c r="AA122" i="2"/>
  <c r="AA126" i="2"/>
  <c r="AA147" i="2"/>
  <c r="AE13" i="2" s="1"/>
  <c r="AA157" i="2"/>
  <c r="AA168" i="2"/>
  <c r="AA185" i="2"/>
  <c r="AA189" i="2"/>
  <c r="AA17" i="1"/>
  <c r="AA42" i="1"/>
  <c r="AA60" i="1"/>
  <c r="AF13" i="1"/>
  <c r="AF12" i="1"/>
  <c r="AA109" i="2"/>
  <c r="AA130" i="2"/>
  <c r="AA151" i="2"/>
  <c r="AA172" i="2"/>
  <c r="AA4" i="1"/>
  <c r="AA22" i="1"/>
  <c r="AA55" i="1"/>
  <c r="AA67" i="1"/>
  <c r="AA71" i="1"/>
  <c r="AA83" i="1"/>
  <c r="AA95" i="1"/>
  <c r="AA99" i="1"/>
  <c r="AA111" i="1"/>
  <c r="AA123" i="1"/>
  <c r="AA127" i="1"/>
  <c r="AA139" i="1"/>
  <c r="AA151" i="1"/>
  <c r="AA155" i="1"/>
  <c r="AA167" i="1"/>
  <c r="AA179" i="1"/>
  <c r="AA183" i="1"/>
  <c r="AA7" i="2"/>
  <c r="AA24" i="2"/>
  <c r="AA28" i="2"/>
  <c r="AA37" i="2"/>
  <c r="AA62" i="2"/>
  <c r="AA75" i="2"/>
  <c r="AA96" i="2"/>
  <c r="AF14" i="2"/>
  <c r="AA117" i="2"/>
  <c r="AA138" i="2"/>
  <c r="AA152" i="2"/>
  <c r="AA173" i="2"/>
  <c r="AA11" i="2"/>
  <c r="AA32" i="2"/>
  <c r="AA43" i="2"/>
  <c r="AA72" i="2"/>
  <c r="AA83" i="2"/>
  <c r="AA93" i="2"/>
  <c r="AA104" i="2"/>
  <c r="AA114" i="2"/>
  <c r="AA125" i="2"/>
  <c r="AA135" i="2"/>
  <c r="AA142" i="2"/>
  <c r="AA146" i="2"/>
  <c r="AA163" i="2"/>
  <c r="AA167" i="2"/>
  <c r="AA184" i="2"/>
  <c r="AA188" i="2"/>
  <c r="AA10" i="1"/>
  <c r="AA24" i="1"/>
  <c r="AA40" i="1"/>
  <c r="AA49" i="1"/>
  <c r="AA61" i="1"/>
  <c r="AA65" i="1"/>
  <c r="AA73" i="1"/>
  <c r="AA77" i="1"/>
  <c r="AA89" i="1"/>
  <c r="AA93" i="1"/>
  <c r="AA101" i="1"/>
  <c r="AA105" i="1"/>
  <c r="AA117" i="1"/>
  <c r="AA121" i="1"/>
  <c r="AA129" i="1"/>
  <c r="AA133" i="1"/>
  <c r="AA145" i="1"/>
  <c r="AA149" i="1"/>
  <c r="AA173" i="1"/>
  <c r="AA177" i="1"/>
  <c r="AA185" i="1"/>
  <c r="AA189" i="1"/>
  <c r="AA193" i="1"/>
  <c r="AA15" i="2"/>
  <c r="AA19" i="2"/>
  <c r="AA39" i="1"/>
  <c r="AA157" i="1"/>
  <c r="AA161" i="1"/>
  <c r="AA11" i="1"/>
  <c r="AA19" i="1"/>
  <c r="AA50" i="1"/>
  <c r="AA62" i="1"/>
  <c r="AA74" i="1"/>
  <c r="AA78" i="1"/>
  <c r="AE13" i="1" s="1"/>
  <c r="AA90" i="1"/>
  <c r="AA102" i="1"/>
  <c r="AA106" i="1"/>
  <c r="AA118" i="1"/>
  <c r="AA130" i="1"/>
  <c r="AA134" i="1"/>
  <c r="AA146" i="1"/>
  <c r="AA158" i="1"/>
  <c r="AA162" i="1"/>
  <c r="AA174" i="1"/>
  <c r="AA186" i="1"/>
  <c r="AA190" i="1"/>
  <c r="AA6" i="2"/>
  <c r="AE16" i="2" s="1"/>
  <c r="AA27" i="2"/>
  <c r="AA52" i="2"/>
  <c r="AA74" i="2"/>
  <c r="AA95" i="2"/>
  <c r="AA116" i="2"/>
  <c r="AA158" i="2"/>
  <c r="AA179" i="2"/>
  <c r="AA31" i="1"/>
  <c r="AA52" i="1"/>
  <c r="AA84" i="1"/>
  <c r="AA124" i="1"/>
  <c r="AA152" i="1"/>
  <c r="AA156" i="1"/>
  <c r="AA164" i="1"/>
  <c r="AA168" i="1"/>
  <c r="AE12" i="1" s="1"/>
  <c r="AA180" i="1"/>
  <c r="AA184" i="1"/>
  <c r="AA192" i="1"/>
  <c r="AA18" i="2"/>
  <c r="AA41" i="2"/>
  <c r="AA50" i="2"/>
  <c r="AA54" i="2"/>
  <c r="AA69" i="2"/>
  <c r="AA79" i="2"/>
  <c r="AA90" i="2"/>
  <c r="AA100" i="2"/>
  <c r="AA111" i="2"/>
  <c r="AA121" i="2"/>
  <c r="AA132" i="2"/>
  <c r="AE15" i="1" l="1"/>
</calcChain>
</file>

<file path=xl/sharedStrings.xml><?xml version="1.0" encoding="utf-8"?>
<sst xmlns="http://schemas.openxmlformats.org/spreadsheetml/2006/main" count="1670" uniqueCount="497">
  <si>
    <t>Quartile</t>
  </si>
  <si>
    <t>FEEDERID</t>
  </si>
  <si>
    <t>Substation Name</t>
  </si>
  <si>
    <t>Circuit Name</t>
  </si>
  <si>
    <t>City</t>
  </si>
  <si>
    <t>5-Year
Avg Cust
Count</t>
  </si>
  <si>
    <t>All Weather</t>
  </si>
  <si>
    <t>Excluding MEDs</t>
  </si>
  <si>
    <t>SAIDI</t>
  </si>
  <si>
    <t>SAIFI</t>
  </si>
  <si>
    <t>5-year average SAIDI excl MEDs</t>
  </si>
  <si>
    <t>Fourth Quartile</t>
  </si>
  <si>
    <t>090102</t>
  </si>
  <si>
    <t>WAGER</t>
  </si>
  <si>
    <t>PARKLAND</t>
  </si>
  <si>
    <t>Flint</t>
  </si>
  <si>
    <t>010002</t>
  </si>
  <si>
    <t>WEALTHY STREET</t>
  </si>
  <si>
    <t>BUTTERWORTH</t>
  </si>
  <si>
    <t>Grand Rapids</t>
  </si>
  <si>
    <t>060801</t>
  </si>
  <si>
    <t>PALMER</t>
  </si>
  <si>
    <t>REED</t>
  </si>
  <si>
    <t>Kalamazoo</t>
  </si>
  <si>
    <t>077602</t>
  </si>
  <si>
    <t>KEATING</t>
  </si>
  <si>
    <t>LAKETON</t>
  </si>
  <si>
    <t>Muskegon</t>
  </si>
  <si>
    <t>006402</t>
  </si>
  <si>
    <t>BEECHER</t>
  </si>
  <si>
    <t>TOLEDO ROAD</t>
  </si>
  <si>
    <t>Adrian</t>
  </si>
  <si>
    <t>060802</t>
  </si>
  <si>
    <t>HEALY</t>
  </si>
  <si>
    <t>058604</t>
  </si>
  <si>
    <t>LEITH STREET</t>
  </si>
  <si>
    <t>WESTERN ROAD</t>
  </si>
  <si>
    <t>SAIDI incl MEDs quartiles</t>
  </si>
  <si>
    <t>Column1</t>
  </si>
  <si>
    <t>Column2</t>
  </si>
  <si>
    <t>Column3</t>
  </si>
  <si>
    <t>060804</t>
  </si>
  <si>
    <t>WATER LIFT</t>
  </si>
  <si>
    <t># of Circuits</t>
  </si>
  <si>
    <t># of customers</t>
  </si>
  <si>
    <t>061805</t>
  </si>
  <si>
    <t>LAGRAVE</t>
  </si>
  <si>
    <t>MAPLE</t>
  </si>
  <si>
    <t>Q1 SAIDI</t>
  </si>
  <si>
    <t>&lt;90</t>
  </si>
  <si>
    <t>11 ckts in Q1 were in other quartiles for 2023 only</t>
  </si>
  <si>
    <t>090103</t>
  </si>
  <si>
    <t>MARENGO</t>
  </si>
  <si>
    <t>Q2 SAIDI</t>
  </si>
  <si>
    <t>90-131</t>
  </si>
  <si>
    <t>36 ckts in Q2 were in other quartiles for 2023 only</t>
  </si>
  <si>
    <t>072602</t>
  </si>
  <si>
    <t>MAYNARD</t>
  </si>
  <si>
    <t>BESTWALL</t>
  </si>
  <si>
    <t>Q3 SAIDI</t>
  </si>
  <si>
    <t>131-191</t>
  </si>
  <si>
    <t>27 ckts in Q3 were in other quartiles for 2023 only</t>
  </si>
  <si>
    <t>036001</t>
  </si>
  <si>
    <t>LIBERTY</t>
  </si>
  <si>
    <t>WASHINGTON</t>
  </si>
  <si>
    <t>Battle Creek</t>
  </si>
  <si>
    <t>Q4 SAIDI</t>
  </si>
  <si>
    <t>&gt;191</t>
  </si>
  <si>
    <t>26 ckts in Q4 were in other quartiles for 2023 only</t>
  </si>
  <si>
    <t>106601</t>
  </si>
  <si>
    <t>ALDRICH</t>
  </si>
  <si>
    <t>TRAVERSE</t>
  </si>
  <si>
    <t>006401</t>
  </si>
  <si>
    <t>DISPOSAL</t>
  </si>
  <si>
    <t>010005</t>
  </si>
  <si>
    <t>WATSON</t>
  </si>
  <si>
    <t>Jackson</t>
  </si>
  <si>
    <t>039003</t>
  </si>
  <si>
    <t>SLOAN</t>
  </si>
  <si>
    <t>LONGFELLOW</t>
  </si>
  <si>
    <t>077601</t>
  </si>
  <si>
    <t>WOOD STREET</t>
  </si>
  <si>
    <t>054804</t>
  </si>
  <si>
    <t>LEONARD</t>
  </si>
  <si>
    <t>NEWBERRY</t>
  </si>
  <si>
    <t>003902</t>
  </si>
  <si>
    <t>MAUMEE</t>
  </si>
  <si>
    <t>LENAWEE ST</t>
  </si>
  <si>
    <t>090601</t>
  </si>
  <si>
    <t>HARRIET</t>
  </si>
  <si>
    <t>WITHERBEE</t>
  </si>
  <si>
    <t>079301</t>
  </si>
  <si>
    <t>RAVINE</t>
  </si>
  <si>
    <t>PATTERSON</t>
  </si>
  <si>
    <t>032502</t>
  </si>
  <si>
    <t>BOSTON SQUARE</t>
  </si>
  <si>
    <t>KALAMAZOO</t>
  </si>
  <si>
    <t>040401</t>
  </si>
  <si>
    <t>ALBER</t>
  </si>
  <si>
    <t>TERRITORIAL</t>
  </si>
  <si>
    <t>058601</t>
  </si>
  <si>
    <t>FRANKLIN</t>
  </si>
  <si>
    <t>074304</t>
  </si>
  <si>
    <t>RED ARROW</t>
  </si>
  <si>
    <t>OGEMA</t>
  </si>
  <si>
    <t>077401</t>
  </si>
  <si>
    <t>DEWEY</t>
  </si>
  <si>
    <t>WIDDICOMB</t>
  </si>
  <si>
    <t>041301</t>
  </si>
  <si>
    <t>TERRACE</t>
  </si>
  <si>
    <t>SHORELINE</t>
  </si>
  <si>
    <t>041503</t>
  </si>
  <si>
    <t>GLENDALE</t>
  </si>
  <si>
    <t>HERCULES</t>
  </si>
  <si>
    <t>006107</t>
  </si>
  <si>
    <t>SAGINAW STREET</t>
  </si>
  <si>
    <t>LEWIS STREET</t>
  </si>
  <si>
    <t>075701</t>
  </si>
  <si>
    <t>MAPLE GROVE</t>
  </si>
  <si>
    <t>HENRY STREET</t>
  </si>
  <si>
    <t>036002</t>
  </si>
  <si>
    <t>HAMBLIN</t>
  </si>
  <si>
    <t>049203</t>
  </si>
  <si>
    <t>HASKELITE</t>
  </si>
  <si>
    <t>ANN STREET</t>
  </si>
  <si>
    <t>010003</t>
  </si>
  <si>
    <t>LOGAN</t>
  </si>
  <si>
    <t>028902</t>
  </si>
  <si>
    <t>MILLER ROAD</t>
  </si>
  <si>
    <t>YALE STREET</t>
  </si>
  <si>
    <t>003901</t>
  </si>
  <si>
    <t>MAPLE ST</t>
  </si>
  <si>
    <t>090301</t>
  </si>
  <si>
    <t>LEE STREET</t>
  </si>
  <si>
    <t>BLACK HILLS</t>
  </si>
  <si>
    <t>010007</t>
  </si>
  <si>
    <t>GODFREY</t>
  </si>
  <si>
    <t>Third Quartile</t>
  </si>
  <si>
    <t>070802</t>
  </si>
  <si>
    <t>MICHIGAN</t>
  </si>
  <si>
    <t>LOOKOUT</t>
  </si>
  <si>
    <t>075702</t>
  </si>
  <si>
    <t>SUMMIT AVENUE</t>
  </si>
  <si>
    <t>090101</t>
  </si>
  <si>
    <t>FLINT PARK</t>
  </si>
  <si>
    <t>052302</t>
  </si>
  <si>
    <t>MASON</t>
  </si>
  <si>
    <t>006403</t>
  </si>
  <si>
    <t>ANDERSON</t>
  </si>
  <si>
    <t>106602</t>
  </si>
  <si>
    <t>MUNICIPAL</t>
  </si>
  <si>
    <t>049205</t>
  </si>
  <si>
    <t>FISHER BODY</t>
  </si>
  <si>
    <t>018101</t>
  </si>
  <si>
    <t>ATHERTON</t>
  </si>
  <si>
    <t>HEMPHILL</t>
  </si>
  <si>
    <t>041302</t>
  </si>
  <si>
    <t>MALL</t>
  </si>
  <si>
    <t>032701</t>
  </si>
  <si>
    <t>COMSTOCK</t>
  </si>
  <si>
    <t>SHIELDS</t>
  </si>
  <si>
    <t>001903</t>
  </si>
  <si>
    <t>ROBERTS STREET</t>
  </si>
  <si>
    <t>BENDER</t>
  </si>
  <si>
    <t>024103</t>
  </si>
  <si>
    <t>DOEHLER JARVIS</t>
  </si>
  <si>
    <t>JEFFERSON</t>
  </si>
  <si>
    <t>061901</t>
  </si>
  <si>
    <t>BROADWAY</t>
  </si>
  <si>
    <t>PHILLIPS</t>
  </si>
  <si>
    <t>077402</t>
  </si>
  <si>
    <t>SEATING</t>
  </si>
  <si>
    <t>031702</t>
  </si>
  <si>
    <t>ABERDEEN</t>
  </si>
  <si>
    <t>HOLLYWOOD</t>
  </si>
  <si>
    <t>157003</t>
  </si>
  <si>
    <t>MILBOURNE</t>
  </si>
  <si>
    <t>DUPONT</t>
  </si>
  <si>
    <t>076511</t>
  </si>
  <si>
    <t>LOVELL</t>
  </si>
  <si>
    <t>GIBSON</t>
  </si>
  <si>
    <t>090602</t>
  </si>
  <si>
    <t>032501</t>
  </si>
  <si>
    <t>NELAND</t>
  </si>
  <si>
    <t>031803</t>
  </si>
  <si>
    <t>EAST MUSKEGON</t>
  </si>
  <si>
    <t>QUARTERLINE ROAD</t>
  </si>
  <si>
    <t>077403</t>
  </si>
  <si>
    <t>CONVENTION CENTER</t>
  </si>
  <si>
    <t>022401</t>
  </si>
  <si>
    <t>CALKINS</t>
  </si>
  <si>
    <t>FLUSHING ROAD</t>
  </si>
  <si>
    <t>090302</t>
  </si>
  <si>
    <t>LEE</t>
  </si>
  <si>
    <t>075704</t>
  </si>
  <si>
    <t>SHAW BOX</t>
  </si>
  <si>
    <t>076606</t>
  </si>
  <si>
    <t>JUDD ROAD</t>
  </si>
  <si>
    <t>MANDEVILLE</t>
  </si>
  <si>
    <t>115901</t>
  </si>
  <si>
    <t>BALLENGER</t>
  </si>
  <si>
    <t>TACKEN</t>
  </si>
  <si>
    <t>052303</t>
  </si>
  <si>
    <t>CHIPPEWA</t>
  </si>
  <si>
    <t>021202</t>
  </si>
  <si>
    <t>FACTORY</t>
  </si>
  <si>
    <t>024104</t>
  </si>
  <si>
    <t>COTTAGE GROVE</t>
  </si>
  <si>
    <t>006101</t>
  </si>
  <si>
    <t>PAYNE STREET</t>
  </si>
  <si>
    <t>090801</t>
  </si>
  <si>
    <t>OAK STREET</t>
  </si>
  <si>
    <t>COOPER STREET</t>
  </si>
  <si>
    <t>036902</t>
  </si>
  <si>
    <t>COOLEY</t>
  </si>
  <si>
    <t>NORTH STREET</t>
  </si>
  <si>
    <t>108202</t>
  </si>
  <si>
    <t>GOODALE</t>
  </si>
  <si>
    <t>IRVING PARK</t>
  </si>
  <si>
    <t>000705</t>
  </si>
  <si>
    <t>MUSKEGON HEIGHTS</t>
  </si>
  <si>
    <t>MUSKEGON</t>
  </si>
  <si>
    <t>050201</t>
  </si>
  <si>
    <t>WYOMING PARK</t>
  </si>
  <si>
    <t>BEVERLY</t>
  </si>
  <si>
    <t>Second Quartile</t>
  </si>
  <si>
    <t>000704</t>
  </si>
  <si>
    <t>HEIGHTS</t>
  </si>
  <si>
    <t>024105</t>
  </si>
  <si>
    <t>SEYMOUR</t>
  </si>
  <si>
    <t>106501</t>
  </si>
  <si>
    <t>FOURTEENTH STREET</t>
  </si>
  <si>
    <t>TOBIAS STREET</t>
  </si>
  <si>
    <t>001902</t>
  </si>
  <si>
    <t>DETTMAN</t>
  </si>
  <si>
    <t>049202</t>
  </si>
  <si>
    <t>RICHMOND</t>
  </si>
  <si>
    <t>075705</t>
  </si>
  <si>
    <t>WESTGATE</t>
  </si>
  <si>
    <t>041303</t>
  </si>
  <si>
    <t>SPRING</t>
  </si>
  <si>
    <t>036004</t>
  </si>
  <si>
    <t>115902</t>
  </si>
  <si>
    <t>SALISBURY</t>
  </si>
  <si>
    <t>106503</t>
  </si>
  <si>
    <t>LIBERTY STREET</t>
  </si>
  <si>
    <t>106502</t>
  </si>
  <si>
    <t>LIPPINCOTT STREET</t>
  </si>
  <si>
    <t>090803</t>
  </si>
  <si>
    <t>STATE STREET</t>
  </si>
  <si>
    <t>053802</t>
  </si>
  <si>
    <t>COURT</t>
  </si>
  <si>
    <t>KENT</t>
  </si>
  <si>
    <t>060701</t>
  </si>
  <si>
    <t>GETTY</t>
  </si>
  <si>
    <t>MARQUETTE</t>
  </si>
  <si>
    <t>054801</t>
  </si>
  <si>
    <t>IONIA</t>
  </si>
  <si>
    <t>023503</t>
  </si>
  <si>
    <t>BEALS ROAD</t>
  </si>
  <si>
    <t>CLYDE PARK</t>
  </si>
  <si>
    <t>017002</t>
  </si>
  <si>
    <t>HARVEY STREET</t>
  </si>
  <si>
    <t>DIAMOND</t>
  </si>
  <si>
    <t>052301</t>
  </si>
  <si>
    <t>AVENUE A</t>
  </si>
  <si>
    <t>021201</t>
  </si>
  <si>
    <t>ALCOTT</t>
  </si>
  <si>
    <t>090303</t>
  </si>
  <si>
    <t>CENTURY</t>
  </si>
  <si>
    <t>091603</t>
  </si>
  <si>
    <t>AMPERSEE</t>
  </si>
  <si>
    <t>NORTH COMMERCIAL</t>
  </si>
  <si>
    <t>031901</t>
  </si>
  <si>
    <t>BRIDGE STREET</t>
  </si>
  <si>
    <t>HUPP AVENUE</t>
  </si>
  <si>
    <t>072702</t>
  </si>
  <si>
    <t>BURLINGAME</t>
  </si>
  <si>
    <t>MICHAEL</t>
  </si>
  <si>
    <t>074303</t>
  </si>
  <si>
    <t>KEATS</t>
  </si>
  <si>
    <t>165902</t>
  </si>
  <si>
    <t>MOSEL</t>
  </si>
  <si>
    <t>ALLEN</t>
  </si>
  <si>
    <t>039004</t>
  </si>
  <si>
    <t>017006</t>
  </si>
  <si>
    <t>FULLER</t>
  </si>
  <si>
    <t>021302</t>
  </si>
  <si>
    <t>SUMMIT</t>
  </si>
  <si>
    <t>FRANCIS STREET</t>
  </si>
  <si>
    <t>001901</t>
  </si>
  <si>
    <t>LEROY STREET</t>
  </si>
  <si>
    <t>103301</t>
  </si>
  <si>
    <t>SQUIRE HILL</t>
  </si>
  <si>
    <t>EDGEWATER</t>
  </si>
  <si>
    <t>049204</t>
  </si>
  <si>
    <t>3 MILE</t>
  </si>
  <si>
    <t>010001</t>
  </si>
  <si>
    <t>NORTHWEST</t>
  </si>
  <si>
    <t>106504</t>
  </si>
  <si>
    <t>SOUTH WESTERN</t>
  </si>
  <si>
    <t>021203</t>
  </si>
  <si>
    <t>MILWOOD</t>
  </si>
  <si>
    <t>036901</t>
  </si>
  <si>
    <t>WESTNEDGE</t>
  </si>
  <si>
    <t>017603</t>
  </si>
  <si>
    <t>WESTERN AVENUE</t>
  </si>
  <si>
    <t>WEST BUSINESS</t>
  </si>
  <si>
    <t>010008</t>
  </si>
  <si>
    <t>INDIANA</t>
  </si>
  <si>
    <t>069902</t>
  </si>
  <si>
    <t>WALKER</t>
  </si>
  <si>
    <t>ROSALIE</t>
  </si>
  <si>
    <t>First Quartile</t>
  </si>
  <si>
    <t>049206</t>
  </si>
  <si>
    <t>BISSELL</t>
  </si>
  <si>
    <t>068603</t>
  </si>
  <si>
    <t>PARKWAY</t>
  </si>
  <si>
    <t>VINE</t>
  </si>
  <si>
    <t>010902</t>
  </si>
  <si>
    <t>ELLSWORTH</t>
  </si>
  <si>
    <t>PANTLIND</t>
  </si>
  <si>
    <t>006106</t>
  </si>
  <si>
    <t>BEACH STREET</t>
  </si>
  <si>
    <t>032504</t>
  </si>
  <si>
    <t>MULICK PARK</t>
  </si>
  <si>
    <t>021301</t>
  </si>
  <si>
    <t>SOUTH STREET</t>
  </si>
  <si>
    <t>024102</t>
  </si>
  <si>
    <t>GRIGGS STREET</t>
  </si>
  <si>
    <t>050101</t>
  </si>
  <si>
    <t>EASTWOOD</t>
  </si>
  <si>
    <t>TEXEL</t>
  </si>
  <si>
    <t>032503</t>
  </si>
  <si>
    <t>HALL</t>
  </si>
  <si>
    <t>106603</t>
  </si>
  <si>
    <t>COUNTY</t>
  </si>
  <si>
    <t>000702</t>
  </si>
  <si>
    <t>LEAHY</t>
  </si>
  <si>
    <t>091602</t>
  </si>
  <si>
    <t>BORGESS</t>
  </si>
  <si>
    <t>070801</t>
  </si>
  <si>
    <t>LYDIA</t>
  </si>
  <si>
    <t>001904</t>
  </si>
  <si>
    <t>FOOTE HOSPITAL</t>
  </si>
  <si>
    <t>068602</t>
  </si>
  <si>
    <t>BALCH</t>
  </si>
  <si>
    <t>090804</t>
  </si>
  <si>
    <t>PLYMOUTH</t>
  </si>
  <si>
    <t>065401</t>
  </si>
  <si>
    <t>BISHOP</t>
  </si>
  <si>
    <t>RAINBOW</t>
  </si>
  <si>
    <t>073101</t>
  </si>
  <si>
    <t>MONA LAKE</t>
  </si>
  <si>
    <t>AIRPORT</t>
  </si>
  <si>
    <t>099202</t>
  </si>
  <si>
    <t>MICOR</t>
  </si>
  <si>
    <t>LOSEY</t>
  </si>
  <si>
    <t>000703</t>
  </si>
  <si>
    <t>EAST CENTRAL</t>
  </si>
  <si>
    <t>036401</t>
  </si>
  <si>
    <t>IRON STREET</t>
  </si>
  <si>
    <t>DORT HIGHWAY</t>
  </si>
  <si>
    <t>068604</t>
  </si>
  <si>
    <t>SOUTH CENTRAL</t>
  </si>
  <si>
    <t>070701</t>
  </si>
  <si>
    <t>STEVENS</t>
  </si>
  <si>
    <t>ALBANY</t>
  </si>
  <si>
    <t>099201</t>
  </si>
  <si>
    <t>WELLWORTH</t>
  </si>
  <si>
    <t>054802</t>
  </si>
  <si>
    <t>TAYLOR</t>
  </si>
  <si>
    <t>070104</t>
  </si>
  <si>
    <t>WALNUT</t>
  </si>
  <si>
    <t>GILKEY</t>
  </si>
  <si>
    <t>031902</t>
  </si>
  <si>
    <t>WATER STREET</t>
  </si>
  <si>
    <t>032702</t>
  </si>
  <si>
    <t>TUNIER</t>
  </si>
  <si>
    <t>152309</t>
  </si>
  <si>
    <t>SINCLAIR</t>
  </si>
  <si>
    <t>HERITAGE HILL</t>
  </si>
  <si>
    <t>058602</t>
  </si>
  <si>
    <t>DAVISON RD</t>
  </si>
  <si>
    <t>017604</t>
  </si>
  <si>
    <t>DIVISION</t>
  </si>
  <si>
    <t>115903</t>
  </si>
  <si>
    <t>BRADLEY</t>
  </si>
  <si>
    <t>108201</t>
  </si>
  <si>
    <t>HUBBARD</t>
  </si>
  <si>
    <t>036904</t>
  </si>
  <si>
    <t>DEWING</t>
  </si>
  <si>
    <t>028901</t>
  </si>
  <si>
    <t>UTLEY ROAD</t>
  </si>
  <si>
    <t>071202</t>
  </si>
  <si>
    <t>COLLEGE PARK</t>
  </si>
  <si>
    <t>MADISON</t>
  </si>
  <si>
    <t>036903</t>
  </si>
  <si>
    <t>ROSE</t>
  </si>
  <si>
    <t>115904</t>
  </si>
  <si>
    <t>HOSPITAL</t>
  </si>
  <si>
    <t>058606</t>
  </si>
  <si>
    <t>LEITH</t>
  </si>
  <si>
    <t>008507</t>
  </si>
  <si>
    <t>ELM STREET</t>
  </si>
  <si>
    <t>CHAMPION</t>
  </si>
  <si>
    <t>077404</t>
  </si>
  <si>
    <t>BRIDGEWATER</t>
  </si>
  <si>
    <t>061801</t>
  </si>
  <si>
    <t>PRESS</t>
  </si>
  <si>
    <t>036906</t>
  </si>
  <si>
    <t>EXCHANGE</t>
  </si>
  <si>
    <t>076507</t>
  </si>
  <si>
    <t>HENRIETTA</t>
  </si>
  <si>
    <t>072704</t>
  </si>
  <si>
    <t>ROBIN</t>
  </si>
  <si>
    <t>008504</t>
  </si>
  <si>
    <t>VAN BUREN</t>
  </si>
  <si>
    <t>090304</t>
  </si>
  <si>
    <t>KIRTLAND</t>
  </si>
  <si>
    <t>070703</t>
  </si>
  <si>
    <t>Campau</t>
  </si>
  <si>
    <t>032001</t>
  </si>
  <si>
    <t>STADIUM</t>
  </si>
  <si>
    <t>NORMAL</t>
  </si>
  <si>
    <t>061802</t>
  </si>
  <si>
    <t>OAKES</t>
  </si>
  <si>
    <t>050102</t>
  </si>
  <si>
    <t>EAST</t>
  </si>
  <si>
    <t>025104</t>
  </si>
  <si>
    <t>NORTH MUSKEGON</t>
  </si>
  <si>
    <t>SANITARIUM</t>
  </si>
  <si>
    <t>023505</t>
  </si>
  <si>
    <t>BURTON HEIGHTS</t>
  </si>
  <si>
    <t>060702</t>
  </si>
  <si>
    <t>076510</t>
  </si>
  <si>
    <t>MEDIC</t>
  </si>
  <si>
    <t>010907</t>
  </si>
  <si>
    <t>WESTON</t>
  </si>
  <si>
    <t>165901</t>
  </si>
  <si>
    <t>PITCHER</t>
  </si>
  <si>
    <t>091601</t>
  </si>
  <si>
    <t>WELDER</t>
  </si>
  <si>
    <t>010914</t>
  </si>
  <si>
    <t>OTTAWA</t>
  </si>
  <si>
    <t>010912</t>
  </si>
  <si>
    <t>CIVIC</t>
  </si>
  <si>
    <t>010911</t>
  </si>
  <si>
    <t>HERPOLSHEIMER</t>
  </si>
  <si>
    <t>006104</t>
  </si>
  <si>
    <t>HARRISON STREET</t>
  </si>
  <si>
    <t>061806</t>
  </si>
  <si>
    <t>COLLEGE</t>
  </si>
  <si>
    <t>078402</t>
  </si>
  <si>
    <t>FOUNTAIN</t>
  </si>
  <si>
    <t>DOWNTOWN</t>
  </si>
  <si>
    <t>010906</t>
  </si>
  <si>
    <t>HOUSEMAN MAIN</t>
  </si>
  <si>
    <t>076509</t>
  </si>
  <si>
    <t>FINE ARTS</t>
  </si>
  <si>
    <t>008506</t>
  </si>
  <si>
    <t>MONROE</t>
  </si>
  <si>
    <t>078401</t>
  </si>
  <si>
    <t>SOUTH</t>
  </si>
  <si>
    <t>070704</t>
  </si>
  <si>
    <t>HYNES</t>
  </si>
  <si>
    <t>044002</t>
  </si>
  <si>
    <t>FAIRBANKS</t>
  </si>
  <si>
    <t>IONIA-ROWE</t>
  </si>
  <si>
    <t>010910</t>
  </si>
  <si>
    <t>010916</t>
  </si>
  <si>
    <t>THEATER</t>
  </si>
  <si>
    <t>010926</t>
  </si>
  <si>
    <t>ELLSWORTH-FAIRBANKS TIE</t>
  </si>
  <si>
    <t>010927</t>
  </si>
  <si>
    <t>WILLIAMS-HOUSEMAN ARENA</t>
  </si>
  <si>
    <t>010929</t>
  </si>
  <si>
    <t>LOUIS-KLINGMAN</t>
  </si>
  <si>
    <t>036905</t>
  </si>
  <si>
    <t>BURDICK</t>
  </si>
  <si>
    <t>044001</t>
  </si>
  <si>
    <t>WATERS</t>
  </si>
  <si>
    <t>044004</t>
  </si>
  <si>
    <t>POST OFFCE</t>
  </si>
  <si>
    <t>044006</t>
  </si>
  <si>
    <t>ARMORY</t>
  </si>
  <si>
    <t>061807</t>
  </si>
  <si>
    <t>LAFAYETTE</t>
  </si>
  <si>
    <t>5-Year Avg SAIDI incl MEDs</t>
  </si>
  <si>
    <t>&lt;163</t>
  </si>
  <si>
    <t>6 Q1 ckts were in other quartiles for 2023 only</t>
  </si>
  <si>
    <t>163-250</t>
  </si>
  <si>
    <t>28 Q2 ckts were in other quartiles for 2023 only</t>
  </si>
  <si>
    <t>250-455</t>
  </si>
  <si>
    <t>31 Q3 ckts were in other quartiles for 2023 only</t>
  </si>
  <si>
    <t>&gt;455</t>
  </si>
  <si>
    <t>19 Q4 ckts were in other quartiles for 2023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</si>
</sst>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</borders>
  <cellStyleXfs count="2">
    <xf numFmtId="0" fontId="0" fillId="0" borderId="0"/>
    <xf numFmtId="0" fontId="2" fillId="2" borderId="1">
      <alignment horizontal="left"/>
    </xf>
  </cellStyleXfs>
  <cellXfs count="44">
    <xf numFmtId="0" fontId="0" fillId="0" borderId="0" xfId="0"/>
    <xf numFmtId="3" fontId="2" fillId="2" borderId="2" xfId="1" applyNumberFormat="1" applyBorder="1" applyAlignment="1">
      <alignment horizontal="center"/>
    </xf>
    <xf numFmtId="164" fontId="2" fillId="2" borderId="2" xfId="1" applyNumberFormat="1" applyBorder="1" applyAlignment="1">
      <alignment horizontal="center"/>
    </xf>
    <xf numFmtId="0" fontId="1" fillId="3" borderId="0" xfId="0" applyFont="1" applyFill="1"/>
    <xf numFmtId="0" fontId="0" fillId="4" borderId="0" xfId="0" applyFill="1"/>
    <xf numFmtId="3" fontId="0" fillId="4" borderId="0" xfId="0" applyNumberFormat="1" applyFill="1"/>
    <xf numFmtId="165" fontId="0" fillId="4" borderId="0" xfId="0" applyNumberFormat="1" applyFill="1"/>
    <xf numFmtId="164" fontId="0" fillId="4" borderId="0" xfId="0" applyNumberFormat="1" applyFill="1"/>
    <xf numFmtId="0" fontId="2" fillId="2" borderId="0" xfId="1" applyBorder="1">
      <alignment horizontal="left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1" fontId="0" fillId="0" borderId="9" xfId="0" applyNumberFormat="1" applyBorder="1"/>
    <xf numFmtId="3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5" borderId="0" xfId="0" applyFill="1"/>
    <xf numFmtId="3" fontId="0" fillId="5" borderId="0" xfId="0" applyNumberFormat="1" applyFill="1"/>
    <xf numFmtId="165" fontId="0" fillId="5" borderId="0" xfId="0" applyNumberFormat="1" applyFill="1"/>
    <xf numFmtId="164" fontId="0" fillId="5" borderId="0" xfId="0" applyNumberFormat="1" applyFill="1"/>
    <xf numFmtId="0" fontId="0" fillId="6" borderId="0" xfId="0" applyFill="1"/>
    <xf numFmtId="3" fontId="0" fillId="6" borderId="0" xfId="0" applyNumberFormat="1" applyFill="1"/>
    <xf numFmtId="165" fontId="0" fillId="6" borderId="0" xfId="0" applyNumberFormat="1" applyFill="1"/>
    <xf numFmtId="164" fontId="0" fillId="6" borderId="0" xfId="0" applyNumberFormat="1" applyFill="1"/>
    <xf numFmtId="0" fontId="0" fillId="7" borderId="0" xfId="0" applyFill="1"/>
    <xf numFmtId="3" fontId="0" fillId="7" borderId="0" xfId="0" applyNumberFormat="1" applyFill="1"/>
    <xf numFmtId="165" fontId="0" fillId="7" borderId="0" xfId="0" applyNumberFormat="1" applyFill="1"/>
    <xf numFmtId="164" fontId="0" fillId="7" borderId="0" xfId="0" applyNumberFormat="1" applyFill="1"/>
    <xf numFmtId="164" fontId="0" fillId="0" borderId="0" xfId="0" applyNumberFormat="1"/>
    <xf numFmtId="3" fontId="2" fillId="2" borderId="4" xfId="1" applyNumberFormat="1" applyBorder="1" applyAlignment="1">
      <alignment horizontal="center"/>
    </xf>
    <xf numFmtId="1" fontId="0" fillId="0" borderId="0" xfId="0" applyNumberFormat="1"/>
    <xf numFmtId="0" fontId="1" fillId="4" borderId="0" xfId="0" applyFont="1" applyFill="1" applyAlignment="1">
      <alignment vertical="center" textRotation="90"/>
    </xf>
    <xf numFmtId="3" fontId="2" fillId="2" borderId="2" xfId="1" applyNumberFormat="1" applyBorder="1" applyAlignment="1">
      <alignment horizontal="center"/>
    </xf>
    <xf numFmtId="0" fontId="1" fillId="4" borderId="6" xfId="0" applyFont="1" applyFill="1" applyBorder="1" applyAlignment="1">
      <alignment horizontal="center" vertical="center" textRotation="90"/>
    </xf>
    <xf numFmtId="0" fontId="1" fillId="4" borderId="0" xfId="0" applyFont="1" applyFill="1" applyAlignment="1">
      <alignment horizontal="center" vertical="center" textRotation="90"/>
    </xf>
    <xf numFmtId="0" fontId="2" fillId="2" borderId="2" xfId="1" applyBorder="1" applyAlignment="1">
      <alignment horizontal="center"/>
    </xf>
    <xf numFmtId="0" fontId="2" fillId="2" borderId="2" xfId="1" applyBorder="1" applyAlignment="1">
      <alignment horizontal="center" vertical="center"/>
    </xf>
    <xf numFmtId="0" fontId="1" fillId="5" borderId="0" xfId="0" applyFont="1" applyFill="1" applyAlignment="1">
      <alignment horizontal="center" vertical="center" textRotation="90"/>
    </xf>
    <xf numFmtId="0" fontId="1" fillId="6" borderId="0" xfId="0" applyFont="1" applyFill="1" applyAlignment="1">
      <alignment horizontal="center" vertical="center" textRotation="90"/>
    </xf>
    <xf numFmtId="0" fontId="1" fillId="7" borderId="0" xfId="0" applyFont="1" applyFill="1" applyAlignment="1">
      <alignment horizontal="center" vertical="center" textRotation="90"/>
    </xf>
    <xf numFmtId="0" fontId="2" fillId="2" borderId="3" xfId="1" applyBorder="1" applyAlignment="1">
      <alignment horizontal="center" vertical="center" wrapText="1"/>
    </xf>
    <xf numFmtId="0" fontId="2" fillId="2" borderId="4" xfId="1" applyBorder="1" applyAlignment="1">
      <alignment horizontal="center" vertical="center" wrapText="1"/>
    </xf>
    <xf numFmtId="0" fontId="2" fillId="2" borderId="5" xfId="1" applyBorder="1" applyAlignment="1">
      <alignment horizontal="center" vertical="center" wrapText="1"/>
    </xf>
  </cellXfs>
  <cellStyles count="2">
    <cellStyle name="Normal" xfId="0" builtinId="0"/>
    <cellStyle name="STYLE0" xfId="1" xr:uid="{632B8160-F916-4EF1-A9D9-A5CC8CA43887}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5"/>
        </right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5"/>
        </left>
        <right/>
        <top style="thin">
          <color theme="5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EJ-Serving</a:t>
            </a:r>
            <a:r>
              <a:rPr lang="en-US" baseline="0"/>
              <a:t> Circuits by Quartile - 5-Year Average excl MEDs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96-45AB-B57B-C706AFC918A9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896-45AB-B57B-C706AFC918A9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896-45AB-B57B-C706AFC918A9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896-45AB-B57B-C706AFC918A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2C30F0A-7959-4B8D-8809-5AA42201700B}" type="VALUE">
                      <a:rPr lang="en-US"/>
                      <a:pPr/>
                      <a:t>[VALUE]</a:t>
                    </a:fld>
                    <a:r>
                      <a:rPr lang="en-US"/>
                      <a:t> ckts, 63K customers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896-45AB-B57B-C706AFC918A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C9D02B7-A3B7-4FB5-92EC-F34C3F0B4B6F}" type="VALUE">
                      <a:rPr lang="en-US"/>
                      <a:pPr/>
                      <a:t>[VALUE]</a:t>
                    </a:fld>
                    <a:r>
                      <a:rPr lang="en-US"/>
                      <a:t> ckts, 42K customers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896-45AB-B57B-C706AFC918A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66BAA31-7157-4C0A-9FED-76E19D0D9A4C}" type="VALUE">
                      <a:rPr lang="en-US"/>
                      <a:pPr/>
                      <a:t>[VALUE]</a:t>
                    </a:fld>
                    <a:r>
                      <a:rPr lang="en-US"/>
                      <a:t> ckts, 33K customers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0896-45AB-B57B-C706AFC918A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9DA17FF-45AE-4528-99B8-327560869CFE}" type="VALUE">
                      <a:rPr lang="en-US"/>
                      <a:pPr/>
                      <a:t>[VALUE]</a:t>
                    </a:fld>
                    <a:r>
                      <a:rPr lang="en-US"/>
                      <a:t> ckts, 37K customers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0896-45AB-B57B-C706AFC918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'SAIDI excl MEDs sort (5-yr avg)'!$AC$11:$AD$15</c15:sqref>
                  </c15:fullRef>
                </c:ext>
              </c:extLst>
              <c:f>'SAIDI excl MEDs sort (5-yr avg)'!$AC$12:$AD$15</c:f>
              <c:multiLvlStrCache>
                <c:ptCount val="4"/>
                <c:lvl>
                  <c:pt idx="0">
                    <c:v>&lt;90</c:v>
                  </c:pt>
                  <c:pt idx="1">
                    <c:v>90-131</c:v>
                  </c:pt>
                  <c:pt idx="2">
                    <c:v>131-191</c:v>
                  </c:pt>
                  <c:pt idx="3">
                    <c:v>&gt;191</c:v>
                  </c:pt>
                </c:lvl>
                <c:lvl>
                  <c:pt idx="0">
                    <c:v>Q1 SAIDI</c:v>
                  </c:pt>
                  <c:pt idx="1">
                    <c:v>Q2 SAIDI</c:v>
                  </c:pt>
                  <c:pt idx="2">
                    <c:v>Q3 SAIDI</c:v>
                  </c:pt>
                  <c:pt idx="3">
                    <c:v>Q4 SAIDI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'SAIDI excl MEDs sort (5-yr avg)'!$AE$11:$AE$15</c15:sqref>
                  </c15:fullRef>
                </c:ext>
              </c:extLst>
              <c:f>'SAIDI excl MEDs sort (5-yr avg)'!$AE$12:$AE$15</c:f>
              <c:numCache>
                <c:formatCode>0</c:formatCode>
                <c:ptCount val="4"/>
                <c:pt idx="0">
                  <c:v>80</c:v>
                </c:pt>
                <c:pt idx="1" formatCode="General">
                  <c:v>38</c:v>
                </c:pt>
                <c:pt idx="2" formatCode="General">
                  <c:v>35</c:v>
                </c:pt>
                <c:pt idx="3" formatCode="General">
                  <c:v>37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8-0896-45AB-B57B-C706AFC918A9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0896-45AB-B57B-C706AFC918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0896-45AB-B57B-C706AFC918A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0896-45AB-B57B-C706AFC918A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0896-45AB-B57B-C706AFC918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'SAIDI excl MEDs sort (5-yr avg)'!$AC$11:$AD$15</c15:sqref>
                  </c15:fullRef>
                </c:ext>
              </c:extLst>
              <c:f>'SAIDI excl MEDs sort (5-yr avg)'!$AC$12:$AD$15</c:f>
              <c:multiLvlStrCache>
                <c:ptCount val="4"/>
                <c:lvl>
                  <c:pt idx="0">
                    <c:v>&lt;90</c:v>
                  </c:pt>
                  <c:pt idx="1">
                    <c:v>90-131</c:v>
                  </c:pt>
                  <c:pt idx="2">
                    <c:v>131-191</c:v>
                  </c:pt>
                  <c:pt idx="3">
                    <c:v>&gt;191</c:v>
                  </c:pt>
                </c:lvl>
                <c:lvl>
                  <c:pt idx="0">
                    <c:v>Q1 SAIDI</c:v>
                  </c:pt>
                  <c:pt idx="1">
                    <c:v>Q2 SAIDI</c:v>
                  </c:pt>
                  <c:pt idx="2">
                    <c:v>Q3 SAIDI</c:v>
                  </c:pt>
                  <c:pt idx="3">
                    <c:v>Q4 SAIDI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'SAIDI excl MEDs sort (5-yr avg)'!$AF$11:$AF$15</c15:sqref>
                  </c15:fullRef>
                </c:ext>
              </c:extLst>
              <c:f>'SAIDI excl MEDs sort (5-yr avg)'!$AF$12:$AF$15</c:f>
              <c:numCache>
                <c:formatCode>#,##0</c:formatCode>
                <c:ptCount val="4"/>
                <c:pt idx="0">
                  <c:v>62676.566258999999</c:v>
                </c:pt>
                <c:pt idx="1">
                  <c:v>41688.737693000003</c:v>
                </c:pt>
                <c:pt idx="2">
                  <c:v>32578.752775000004</c:v>
                </c:pt>
                <c:pt idx="3">
                  <c:v>37432.256742999998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11-0896-45AB-B57B-C706AFC918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EJ-Serving Circuits by Quartile - 5-Year</a:t>
            </a:r>
            <a:r>
              <a:rPr lang="en-US" baseline="0"/>
              <a:t> Average incl MEDs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8F-42FA-A44B-9B80E267FABA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8F-42FA-A44B-9B80E267FAB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E8F-42FA-A44B-9B80E267FABA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E8F-42FA-A44B-9B80E267FA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'SAIDI incl MEDs sort (5-yr avg)'!$AC$12:$AD$16</c15:sqref>
                  </c15:fullRef>
                </c:ext>
              </c:extLst>
              <c:f>'SAIDI incl MEDs sort (5-yr avg)'!$AC$13:$AD$16</c:f>
              <c:multiLvlStrCache>
                <c:ptCount val="4"/>
                <c:lvl>
                  <c:pt idx="0">
                    <c:v>&lt;163</c:v>
                  </c:pt>
                  <c:pt idx="1">
                    <c:v>163-250</c:v>
                  </c:pt>
                  <c:pt idx="2">
                    <c:v>250-455</c:v>
                  </c:pt>
                  <c:pt idx="3">
                    <c:v>&gt;455</c:v>
                  </c:pt>
                </c:lvl>
                <c:lvl>
                  <c:pt idx="0">
                    <c:v>Q1 SAIDI</c:v>
                  </c:pt>
                  <c:pt idx="1">
                    <c:v>Q2 SAIDI</c:v>
                  </c:pt>
                  <c:pt idx="2">
                    <c:v>Q3 SAIDI</c:v>
                  </c:pt>
                  <c:pt idx="3">
                    <c:v>Q4 SAIDI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'SAIDI incl MEDs sort (5-yr avg)'!$AE$12:$AE$16</c15:sqref>
                  </c15:fullRef>
                </c:ext>
              </c:extLst>
              <c:f>'SAIDI incl MEDs sort (5-yr avg)'!$AE$13:$AE$16</c:f>
              <c:numCache>
                <c:formatCode>0</c:formatCode>
                <c:ptCount val="4"/>
                <c:pt idx="0">
                  <c:v>61</c:v>
                </c:pt>
                <c:pt idx="1" formatCode="General">
                  <c:v>34</c:v>
                </c:pt>
                <c:pt idx="2" formatCode="General">
                  <c:v>43</c:v>
                </c:pt>
                <c:pt idx="3" formatCode="General">
                  <c:v>52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8-0E8F-42FA-A44B-9B80E267FABA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0E8F-42FA-A44B-9B80E267FA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0E8F-42FA-A44B-9B80E267FA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0E8F-42FA-A44B-9B80E267FAB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0E8F-42FA-A44B-9B80E267FA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'SAIDI incl MEDs sort (5-yr avg)'!$AC$12:$AD$16</c15:sqref>
                  </c15:fullRef>
                </c:ext>
              </c:extLst>
              <c:f>'SAIDI incl MEDs sort (5-yr avg)'!$AC$13:$AD$16</c:f>
              <c:multiLvlStrCache>
                <c:ptCount val="4"/>
                <c:lvl>
                  <c:pt idx="0">
                    <c:v>&lt;163</c:v>
                  </c:pt>
                  <c:pt idx="1">
                    <c:v>163-250</c:v>
                  </c:pt>
                  <c:pt idx="2">
                    <c:v>250-455</c:v>
                  </c:pt>
                  <c:pt idx="3">
                    <c:v>&gt;455</c:v>
                  </c:pt>
                </c:lvl>
                <c:lvl>
                  <c:pt idx="0">
                    <c:v>Q1 SAIDI</c:v>
                  </c:pt>
                  <c:pt idx="1">
                    <c:v>Q2 SAIDI</c:v>
                  </c:pt>
                  <c:pt idx="2">
                    <c:v>Q3 SAIDI</c:v>
                  </c:pt>
                  <c:pt idx="3">
                    <c:v>Q4 SAIDI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'SAIDI incl MEDs sort (5-yr avg)'!$AF$12:$AF$16</c15:sqref>
                  </c15:fullRef>
                </c:ext>
              </c:extLst>
              <c:f>'SAIDI incl MEDs sort (5-yr avg)'!$AF$13:$AF$16</c:f>
              <c:numCache>
                <c:formatCode>#,##0</c:formatCode>
                <c:ptCount val="4"/>
                <c:pt idx="0">
                  <c:v>30518.419834</c:v>
                </c:pt>
                <c:pt idx="1">
                  <c:v>33565.340075999993</c:v>
                </c:pt>
                <c:pt idx="2">
                  <c:v>54862.510709000002</c:v>
                </c:pt>
                <c:pt idx="3">
                  <c:v>55430.042850999991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11-0E8F-42FA-A44B-9B80E267FA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484187</xdr:colOff>
      <xdr:row>23</xdr:row>
      <xdr:rowOff>0</xdr:rowOff>
    </xdr:from>
    <xdr:to>
      <xdr:col>40</xdr:col>
      <xdr:colOff>1587</xdr:colOff>
      <xdr:row>37</xdr:row>
      <xdr:rowOff>149225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00BE1C-3AEF-445F-80A4-B61B7BC84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350837</xdr:colOff>
      <xdr:row>18</xdr:row>
      <xdr:rowOff>9525</xdr:rowOff>
    </xdr:from>
    <xdr:to>
      <xdr:col>34</xdr:col>
      <xdr:colOff>484187</xdr:colOff>
      <xdr:row>33</xdr:row>
      <xdr:rowOff>34925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E4B258-71D1-4994-ABA9-C789FB44C4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eams/ElectricDistributionStrategy/Shared%20Documents/Strategy%20Projects/EJ/Reliability%20by%20Feeder%20-%20MIEJ%20-%20SAIDI%20sort%20v2.xlsx" TargetMode="External"/><Relationship Id="rId2" Type="http://schemas.openxmlformats.org/officeDocument/2006/relationships/externalLinkPath" Target="https://consumersenergy.sharepoint.com/teams/ElectricDistributionStrategy/Shared%20Documents/Strategy%20Projects/EJ/Reliability%20by%20Feeder%20-%20MIEJ%20-%20SAIDI%20sort%20v2.xlsx" TargetMode="External"/><Relationship Id="rId1" Type="http://schemas.openxmlformats.org/officeDocument/2006/relationships/externalLinkPath" Target="/teams/ElectricDistributionStrategy/Shared%20Documents/Strategy%20Projects/EJ/Reliability%20by%20Feeder%20-%20MIEJ%20-%20SAIDI%20sort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AIDI excl MEDs sort (OG)"/>
      <sheetName val="SAIDI incl MEDs sort (OG)"/>
      <sheetName val="SAIDI excl MEDs sort (2023)"/>
      <sheetName val="SAIDI incl MEDs sort (2023)"/>
      <sheetName val="SAIDI excl MEDs sort (5-yr avg)"/>
      <sheetName val="SAIDI incl MEDs sort (5-yr avg)"/>
      <sheetName val="raw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A1" t="str">
            <v>feeder_id</v>
          </cell>
          <cell r="B1" t="str">
            <v>2023_custs</v>
          </cell>
          <cell r="C1" t="str">
            <v>2023_1_saidi</v>
          </cell>
          <cell r="D1" t="str">
            <v>2023_1_saifi</v>
          </cell>
          <cell r="E1" t="str">
            <v>2023_0_saidi</v>
          </cell>
          <cell r="F1" t="str">
            <v>2023_0_saifi</v>
          </cell>
          <cell r="G1" t="str">
            <v>2022_1_saidi</v>
          </cell>
          <cell r="H1" t="str">
            <v>2022_1_saifi</v>
          </cell>
          <cell r="I1" t="str">
            <v>2022_0_saidi</v>
          </cell>
          <cell r="J1" t="str">
            <v>2022_0_saifi</v>
          </cell>
          <cell r="K1" t="str">
            <v>2021_1_saidi</v>
          </cell>
          <cell r="L1" t="str">
            <v>2021_1_saifi</v>
          </cell>
          <cell r="M1" t="str">
            <v>2021_0_saidi</v>
          </cell>
          <cell r="N1" t="str">
            <v>2021_0_saifi</v>
          </cell>
          <cell r="O1" t="str">
            <v>2020_1_saidi</v>
          </cell>
          <cell r="P1" t="str">
            <v>2020_1_saifi</v>
          </cell>
          <cell r="Q1" t="str">
            <v>2020_0_saidi</v>
          </cell>
          <cell r="R1" t="str">
            <v>2020_0_saifi</v>
          </cell>
          <cell r="S1" t="str">
            <v>2019_1_saidi</v>
          </cell>
          <cell r="T1" t="str">
            <v>2019_1_saifi</v>
          </cell>
          <cell r="U1" t="str">
            <v>2019_0_saidi</v>
          </cell>
          <cell r="V1" t="str">
            <v>2019_0_saifi</v>
          </cell>
        </row>
        <row r="2">
          <cell r="A2" t="str">
            <v>000201</v>
          </cell>
          <cell r="B2">
            <v>2150.375</v>
          </cell>
          <cell r="C2">
            <v>25.562048999999998</v>
          </cell>
          <cell r="D2">
            <v>0.16338951310861399</v>
          </cell>
          <cell r="E2">
            <v>25.562048999999998</v>
          </cell>
          <cell r="F2">
            <v>0.16338951310861399</v>
          </cell>
          <cell r="G2">
            <v>8.0748949999999997</v>
          </cell>
          <cell r="H2">
            <v>0.10375173691523799</v>
          </cell>
          <cell r="I2">
            <v>8.0748949999999997</v>
          </cell>
          <cell r="J2">
            <v>0.10375173691523799</v>
          </cell>
          <cell r="K2">
            <v>207.58002300000001</v>
          </cell>
          <cell r="L2">
            <v>0.53231055323105503</v>
          </cell>
          <cell r="M2">
            <v>74.220509000000007</v>
          </cell>
          <cell r="N2">
            <v>0.437470943747094</v>
          </cell>
          <cell r="O2">
            <v>78.681939999999997</v>
          </cell>
          <cell r="P2">
            <v>0.43367346938775497</v>
          </cell>
          <cell r="Q2">
            <v>53.89676</v>
          </cell>
          <cell r="R2">
            <v>0.28849721706864501</v>
          </cell>
          <cell r="S2">
            <v>1589.4644679999999</v>
          </cell>
          <cell r="T2">
            <v>2.1215649743828502</v>
          </cell>
          <cell r="U2">
            <v>497.91276099999999</v>
          </cell>
          <cell r="V2">
            <v>1.09222170470423</v>
          </cell>
        </row>
        <row r="3">
          <cell r="A3" t="str">
            <v>000202</v>
          </cell>
          <cell r="B3">
            <v>2107.8000000000002</v>
          </cell>
          <cell r="C3">
            <v>51.048262999999999</v>
          </cell>
          <cell r="D3">
            <v>0.39423984891406899</v>
          </cell>
          <cell r="E3">
            <v>48.247197</v>
          </cell>
          <cell r="F3">
            <v>0.38857412653446599</v>
          </cell>
          <cell r="G3">
            <v>94.535872999999995</v>
          </cell>
          <cell r="H3">
            <v>0.46139359698681698</v>
          </cell>
          <cell r="I3">
            <v>56.235619999999997</v>
          </cell>
          <cell r="J3">
            <v>0.38088512241054601</v>
          </cell>
          <cell r="K3">
            <v>734.16627800000003</v>
          </cell>
          <cell r="L3">
            <v>1.23029439696106</v>
          </cell>
          <cell r="M3">
            <v>62.777033000000003</v>
          </cell>
          <cell r="N3">
            <v>0.498100664767331</v>
          </cell>
          <cell r="O3">
            <v>71.745293000000004</v>
          </cell>
          <cell r="P3">
            <v>0.43729136862183998</v>
          </cell>
          <cell r="Q3">
            <v>48.458702000000002</v>
          </cell>
          <cell r="R3">
            <v>0.36814496900333799</v>
          </cell>
          <cell r="S3">
            <v>625.74289899999997</v>
          </cell>
          <cell r="T3">
            <v>3.8333333333333299</v>
          </cell>
          <cell r="U3">
            <v>312.34069499999998</v>
          </cell>
          <cell r="V3">
            <v>2.4374403056351399</v>
          </cell>
        </row>
        <row r="4">
          <cell r="A4" t="str">
            <v>000301</v>
          </cell>
          <cell r="B4">
            <v>676</v>
          </cell>
          <cell r="C4">
            <v>4234.917144</v>
          </cell>
          <cell r="D4">
            <v>4.7109489051094799</v>
          </cell>
          <cell r="E4">
            <v>1427.7054350000001</v>
          </cell>
          <cell r="F4">
            <v>3.8773722627737199</v>
          </cell>
          <cell r="G4">
            <v>268.17677600000002</v>
          </cell>
          <cell r="H4">
            <v>0.33284671532846699</v>
          </cell>
          <cell r="I4">
            <v>38.279310000000002</v>
          </cell>
          <cell r="J4">
            <v>0.145985401459854</v>
          </cell>
          <cell r="K4">
            <v>801.62502300000006</v>
          </cell>
          <cell r="L4">
            <v>3.47800586510263</v>
          </cell>
          <cell r="M4">
            <v>479.89469600000001</v>
          </cell>
          <cell r="N4">
            <v>2.4325513196480899</v>
          </cell>
          <cell r="O4">
            <v>1045.9381679999999</v>
          </cell>
          <cell r="P4">
            <v>2.6979166666666599</v>
          </cell>
          <cell r="Q4">
            <v>240.87177500000001</v>
          </cell>
          <cell r="R4">
            <v>1.6369047619047601</v>
          </cell>
          <cell r="S4">
            <v>4871.7864829999999</v>
          </cell>
          <cell r="T4">
            <v>3.8612804878048701</v>
          </cell>
          <cell r="U4">
            <v>430.38503500000002</v>
          </cell>
          <cell r="V4">
            <v>1.8719512195121899</v>
          </cell>
        </row>
        <row r="5">
          <cell r="A5" t="str">
            <v>000302</v>
          </cell>
          <cell r="B5">
            <v>357.8</v>
          </cell>
          <cell r="C5">
            <v>2787.6109879999999</v>
          </cell>
          <cell r="D5">
            <v>4.3671875</v>
          </cell>
          <cell r="E5">
            <v>876.92487500000004</v>
          </cell>
          <cell r="F5">
            <v>3.921875</v>
          </cell>
          <cell r="G5">
            <v>266.817745</v>
          </cell>
          <cell r="H5">
            <v>2.9776536312849098</v>
          </cell>
          <cell r="I5">
            <v>243.321482</v>
          </cell>
          <cell r="J5">
            <v>2.91061452513966</v>
          </cell>
          <cell r="K5">
            <v>117.81026300000001</v>
          </cell>
          <cell r="L5">
            <v>1.0536723163841799</v>
          </cell>
          <cell r="M5">
            <v>2.521798</v>
          </cell>
          <cell r="N5">
            <v>4.8022598870056402E-2</v>
          </cell>
          <cell r="O5">
            <v>239.469942</v>
          </cell>
          <cell r="P5">
            <v>0.27920227920227902</v>
          </cell>
          <cell r="Q5">
            <v>46.563009999999998</v>
          </cell>
          <cell r="R5">
            <v>0.22222222222222199</v>
          </cell>
          <cell r="S5">
            <v>3938.2197839999999</v>
          </cell>
          <cell r="T5">
            <v>2.5380116959064298</v>
          </cell>
          <cell r="U5">
            <v>289.58357599999999</v>
          </cell>
          <cell r="V5">
            <v>1.2485380116959</v>
          </cell>
        </row>
        <row r="6">
          <cell r="A6" t="str">
            <v>000401</v>
          </cell>
          <cell r="B6">
            <v>506.88888800000001</v>
          </cell>
          <cell r="C6">
            <v>123.809224</v>
          </cell>
          <cell r="D6">
            <v>0.56420233463034997</v>
          </cell>
          <cell r="E6">
            <v>123.809224</v>
          </cell>
          <cell r="F6">
            <v>0.56420233463034997</v>
          </cell>
          <cell r="G6">
            <v>63.921337000000001</v>
          </cell>
          <cell r="H6">
            <v>0.277669902912621</v>
          </cell>
          <cell r="I6">
            <v>60.035508999999998</v>
          </cell>
          <cell r="J6">
            <v>0.27184466019417403</v>
          </cell>
          <cell r="K6">
            <v>1009.302296</v>
          </cell>
          <cell r="L6">
            <v>0.75339805825242701</v>
          </cell>
          <cell r="M6">
            <v>91.775889000000006</v>
          </cell>
          <cell r="N6">
            <v>0.21553398058252399</v>
          </cell>
          <cell r="O6">
            <v>300.17676399999999</v>
          </cell>
          <cell r="P6">
            <v>2.0980392156862702</v>
          </cell>
          <cell r="Q6">
            <v>241.51117600000001</v>
          </cell>
          <cell r="R6">
            <v>1.8313725490196</v>
          </cell>
          <cell r="S6">
            <v>545.978477</v>
          </cell>
          <cell r="T6">
            <v>1.82231404958677</v>
          </cell>
          <cell r="U6">
            <v>104.151274</v>
          </cell>
          <cell r="V6">
            <v>0.65289256198347101</v>
          </cell>
        </row>
        <row r="7">
          <cell r="A7" t="str">
            <v>000402</v>
          </cell>
          <cell r="B7">
            <v>979.77777700000001</v>
          </cell>
          <cell r="C7">
            <v>475.95208400000001</v>
          </cell>
          <cell r="D7">
            <v>3.3157894736842102</v>
          </cell>
          <cell r="E7">
            <v>475.95208400000001</v>
          </cell>
          <cell r="F7">
            <v>3.3157894736842102</v>
          </cell>
          <cell r="G7">
            <v>220.205457</v>
          </cell>
          <cell r="H7">
            <v>0.73652085452695804</v>
          </cell>
          <cell r="I7">
            <v>30.504273999999999</v>
          </cell>
          <cell r="J7">
            <v>0.24618514750762899</v>
          </cell>
          <cell r="K7">
            <v>978.85393199999999</v>
          </cell>
          <cell r="L7">
            <v>1.52797558494404</v>
          </cell>
          <cell r="M7">
            <v>233.57870399999999</v>
          </cell>
          <cell r="N7">
            <v>1.3001017293997901</v>
          </cell>
          <cell r="O7">
            <v>318.417641</v>
          </cell>
          <cell r="P7">
            <v>1.7464065708418799</v>
          </cell>
          <cell r="Q7">
            <v>180.56059200000001</v>
          </cell>
          <cell r="R7">
            <v>1.56160164271047</v>
          </cell>
          <cell r="S7">
            <v>875.61617000000001</v>
          </cell>
          <cell r="T7">
            <v>3.7969230769230702</v>
          </cell>
          <cell r="U7">
            <v>250.53881999999999</v>
          </cell>
          <cell r="V7">
            <v>2.0123076923076901</v>
          </cell>
        </row>
        <row r="8">
          <cell r="A8" t="str">
            <v>000403</v>
          </cell>
          <cell r="B8">
            <v>927.25</v>
          </cell>
          <cell r="C8">
            <v>16.662015</v>
          </cell>
          <cell r="D8">
            <v>0.16542948038176</v>
          </cell>
          <cell r="E8">
            <v>16.662015</v>
          </cell>
          <cell r="F8">
            <v>0.16542948038176</v>
          </cell>
          <cell r="G8">
            <v>57.258234999999999</v>
          </cell>
          <cell r="H8">
            <v>0.37420042643923201</v>
          </cell>
          <cell r="I8">
            <v>11.870628999999999</v>
          </cell>
          <cell r="J8">
            <v>9.7014925373134303E-2</v>
          </cell>
          <cell r="K8">
            <v>340.82896299999999</v>
          </cell>
          <cell r="L8">
            <v>0.49787685774946899</v>
          </cell>
          <cell r="M8">
            <v>87.832483999999994</v>
          </cell>
          <cell r="N8">
            <v>0.21974522292993601</v>
          </cell>
          <cell r="O8">
            <v>148.60304099999999</v>
          </cell>
          <cell r="P8">
            <v>1.63927427961579</v>
          </cell>
          <cell r="Q8">
            <v>148.60304099999999</v>
          </cell>
          <cell r="R8">
            <v>1.63927427961579</v>
          </cell>
          <cell r="S8">
            <v>553.02002100000004</v>
          </cell>
          <cell r="T8">
            <v>2.21709786276715</v>
          </cell>
          <cell r="U8">
            <v>171.54445000000001</v>
          </cell>
          <cell r="V8">
            <v>1.11136107986501</v>
          </cell>
        </row>
        <row r="9">
          <cell r="A9" t="str">
            <v>000501</v>
          </cell>
          <cell r="B9">
            <v>1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554</v>
          </cell>
          <cell r="L9">
            <v>2</v>
          </cell>
          <cell r="M9">
            <v>554</v>
          </cell>
          <cell r="N9">
            <v>2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</row>
        <row r="10">
          <cell r="A10" t="str">
            <v>000601</v>
          </cell>
          <cell r="B10">
            <v>987.4</v>
          </cell>
          <cell r="C10">
            <v>34.907178999999999</v>
          </cell>
          <cell r="D10">
            <v>0.32995951417003999</v>
          </cell>
          <cell r="E10">
            <v>34.463859999999997</v>
          </cell>
          <cell r="F10">
            <v>0.32894736842105199</v>
          </cell>
          <cell r="G10">
            <v>465.96133800000001</v>
          </cell>
          <cell r="H10">
            <v>1.02014098690835</v>
          </cell>
          <cell r="I10">
            <v>18.392623</v>
          </cell>
          <cell r="J10">
            <v>9.3655589123866997E-2</v>
          </cell>
          <cell r="K10">
            <v>2180.3657560000001</v>
          </cell>
          <cell r="L10">
            <v>3.58282828282828</v>
          </cell>
          <cell r="M10">
            <v>468.79329899999999</v>
          </cell>
          <cell r="N10">
            <v>1.53939393939393</v>
          </cell>
          <cell r="O10">
            <v>578.783638</v>
          </cell>
          <cell r="P10">
            <v>0.82568807339449501</v>
          </cell>
          <cell r="Q10">
            <v>47.781089999999999</v>
          </cell>
          <cell r="R10">
            <v>0.30581039755351602</v>
          </cell>
          <cell r="S10">
            <v>408.807952</v>
          </cell>
          <cell r="T10">
            <v>1.9106598984771499</v>
          </cell>
          <cell r="U10">
            <v>83.057850999999999</v>
          </cell>
          <cell r="V10">
            <v>0.63553299492385695</v>
          </cell>
        </row>
        <row r="11">
          <cell r="A11" t="str">
            <v>000602</v>
          </cell>
          <cell r="B11">
            <v>961.66666599999996</v>
          </cell>
          <cell r="C11">
            <v>31.290593000000001</v>
          </cell>
          <cell r="D11">
            <v>0.226750261233019</v>
          </cell>
          <cell r="E11">
            <v>31.290593000000001</v>
          </cell>
          <cell r="F11">
            <v>0.226750261233019</v>
          </cell>
          <cell r="G11">
            <v>47.268565000000002</v>
          </cell>
          <cell r="H11">
            <v>0.289719626168224</v>
          </cell>
          <cell r="I11">
            <v>35.797252</v>
          </cell>
          <cell r="J11">
            <v>0.26895119418483898</v>
          </cell>
          <cell r="K11">
            <v>780.09979099999998</v>
          </cell>
          <cell r="L11">
            <v>2.6039501039500998</v>
          </cell>
          <cell r="M11">
            <v>260.74178699999999</v>
          </cell>
          <cell r="N11">
            <v>1.1912681912681899</v>
          </cell>
          <cell r="O11">
            <v>341.71928700000001</v>
          </cell>
          <cell r="P11">
            <v>0.88541666666666596</v>
          </cell>
          <cell r="Q11">
            <v>71.096092999999996</v>
          </cell>
          <cell r="R11">
            <v>0.44166666666666599</v>
          </cell>
          <cell r="S11">
            <v>947.72640000000001</v>
          </cell>
          <cell r="T11">
            <v>2.85165975103734</v>
          </cell>
          <cell r="U11">
            <v>638.63644499999998</v>
          </cell>
          <cell r="V11">
            <v>1.95954356846473</v>
          </cell>
        </row>
        <row r="12">
          <cell r="A12" t="str">
            <v>000702</v>
          </cell>
          <cell r="B12">
            <v>383.85714200000001</v>
          </cell>
          <cell r="C12">
            <v>1085.6509920000001</v>
          </cell>
          <cell r="D12">
            <v>0.96410256410256401</v>
          </cell>
          <cell r="E12">
            <v>9.0368340000000007</v>
          </cell>
          <cell r="F12">
            <v>0.15641025641025599</v>
          </cell>
          <cell r="G12">
            <v>22.971827000000001</v>
          </cell>
          <cell r="H12">
            <v>0.2088772845953</v>
          </cell>
          <cell r="I12">
            <v>22.971827000000001</v>
          </cell>
          <cell r="J12">
            <v>0.2088772845953</v>
          </cell>
          <cell r="K12">
            <v>162.124392</v>
          </cell>
          <cell r="L12">
            <v>0.69270833333333304</v>
          </cell>
          <cell r="M12">
            <v>162.124392</v>
          </cell>
          <cell r="N12">
            <v>0.69270833333333304</v>
          </cell>
          <cell r="O12">
            <v>35.544443999999999</v>
          </cell>
          <cell r="P12">
            <v>0.23177083333333301</v>
          </cell>
          <cell r="Q12">
            <v>35.544443999999999</v>
          </cell>
          <cell r="R12">
            <v>0.23177083333333301</v>
          </cell>
          <cell r="S12">
            <v>270.36300699999998</v>
          </cell>
          <cell r="T12">
            <v>0.51587301587301504</v>
          </cell>
          <cell r="U12">
            <v>194.94135800000001</v>
          </cell>
          <cell r="V12">
            <v>0.43915343915343902</v>
          </cell>
        </row>
        <row r="13">
          <cell r="A13" t="str">
            <v>000703</v>
          </cell>
          <cell r="B13">
            <v>695.4</v>
          </cell>
          <cell r="C13">
            <v>1624.441607</v>
          </cell>
          <cell r="D13">
            <v>1.6024691358024601</v>
          </cell>
          <cell r="E13">
            <v>52.958053</v>
          </cell>
          <cell r="F13">
            <v>0.52592592592592502</v>
          </cell>
          <cell r="G13">
            <v>55.021016000000003</v>
          </cell>
          <cell r="H13">
            <v>0.44812680115273701</v>
          </cell>
          <cell r="I13">
            <v>40.325161000000001</v>
          </cell>
          <cell r="J13">
            <v>0.33285302593659899</v>
          </cell>
          <cell r="K13">
            <v>489.304078</v>
          </cell>
          <cell r="L13">
            <v>1.38888888888888</v>
          </cell>
          <cell r="M13">
            <v>62.016866</v>
          </cell>
          <cell r="N13">
            <v>0.38738738738738698</v>
          </cell>
          <cell r="O13">
            <v>219.499719</v>
          </cell>
          <cell r="P13">
            <v>1.4237804878048701</v>
          </cell>
          <cell r="Q13">
            <v>139.49923699999999</v>
          </cell>
          <cell r="R13">
            <v>1.33079268292682</v>
          </cell>
          <cell r="S13">
            <v>277.331233</v>
          </cell>
          <cell r="T13">
            <v>0.73579109062979997</v>
          </cell>
          <cell r="U13">
            <v>79.423091999999997</v>
          </cell>
          <cell r="V13">
            <v>0.62365591397849396</v>
          </cell>
        </row>
        <row r="14">
          <cell r="A14" t="str">
            <v>000704</v>
          </cell>
          <cell r="B14">
            <v>1070</v>
          </cell>
          <cell r="C14">
            <v>360.84480000000002</v>
          </cell>
          <cell r="D14">
            <v>0.937499999999999</v>
          </cell>
          <cell r="E14">
            <v>66.284291999999994</v>
          </cell>
          <cell r="F14">
            <v>0.73689516129032195</v>
          </cell>
          <cell r="G14">
            <v>71.364641000000006</v>
          </cell>
          <cell r="H14">
            <v>0.450276243093922</v>
          </cell>
          <cell r="I14">
            <v>55.236145999999998</v>
          </cell>
          <cell r="J14">
            <v>0.42633517495395901</v>
          </cell>
          <cell r="K14">
            <v>422.61746799999997</v>
          </cell>
          <cell r="L14">
            <v>1.0663033605812799</v>
          </cell>
          <cell r="M14">
            <v>175.81537900000001</v>
          </cell>
          <cell r="N14">
            <v>0.85831062670299696</v>
          </cell>
          <cell r="O14">
            <v>48.006720999999999</v>
          </cell>
          <cell r="P14">
            <v>0.431569343065693</v>
          </cell>
          <cell r="Q14">
            <v>35.929881000000002</v>
          </cell>
          <cell r="R14">
            <v>0.26642335766423297</v>
          </cell>
          <cell r="S14">
            <v>310.61593699999997</v>
          </cell>
          <cell r="T14">
            <v>2.02790697674418</v>
          </cell>
          <cell r="U14">
            <v>305.601069</v>
          </cell>
          <cell r="V14">
            <v>2.0251162790697599</v>
          </cell>
        </row>
        <row r="15">
          <cell r="A15" t="str">
            <v>000705</v>
          </cell>
          <cell r="B15">
            <v>1004.2</v>
          </cell>
          <cell r="C15">
            <v>68.491254999999995</v>
          </cell>
          <cell r="D15">
            <v>0.434442270058708</v>
          </cell>
          <cell r="E15">
            <v>66.554085999999998</v>
          </cell>
          <cell r="F15">
            <v>0.432485322896281</v>
          </cell>
          <cell r="G15">
            <v>43.969226999999997</v>
          </cell>
          <cell r="H15">
            <v>0.35270935960591099</v>
          </cell>
          <cell r="I15">
            <v>30.80911</v>
          </cell>
          <cell r="J15">
            <v>0.314285714285714</v>
          </cell>
          <cell r="K15">
            <v>128.58022700000001</v>
          </cell>
          <cell r="L15">
            <v>1.5203171456888001</v>
          </cell>
          <cell r="M15">
            <v>77.854789999999994</v>
          </cell>
          <cell r="N15">
            <v>0.77006937561942501</v>
          </cell>
          <cell r="O15">
            <v>133.45351500000001</v>
          </cell>
          <cell r="P15">
            <v>1.0960000000000001</v>
          </cell>
          <cell r="Q15">
            <v>115.002899</v>
          </cell>
          <cell r="R15">
            <v>1.0249999999999999</v>
          </cell>
          <cell r="S15">
            <v>526.41341799999998</v>
          </cell>
          <cell r="T15">
            <v>2.7117948717948699</v>
          </cell>
          <cell r="U15">
            <v>374.10885400000001</v>
          </cell>
          <cell r="V15">
            <v>2.44820512820512</v>
          </cell>
        </row>
        <row r="16">
          <cell r="A16" t="str">
            <v>000801</v>
          </cell>
          <cell r="B16">
            <v>442.22222199999999</v>
          </cell>
          <cell r="C16">
            <v>130.224243</v>
          </cell>
          <cell r="D16">
            <v>0.97747747747747704</v>
          </cell>
          <cell r="E16">
            <v>102.086569</v>
          </cell>
          <cell r="F16">
            <v>0.88063063063062996</v>
          </cell>
          <cell r="G16">
            <v>74.743099000000001</v>
          </cell>
          <cell r="H16">
            <v>0.22972972972972899</v>
          </cell>
          <cell r="I16">
            <v>74.743099000000001</v>
          </cell>
          <cell r="J16">
            <v>0.22972972972972899</v>
          </cell>
          <cell r="K16">
            <v>863.39140199999997</v>
          </cell>
          <cell r="L16">
            <v>2.0882352941176401</v>
          </cell>
          <cell r="M16">
            <v>454.71628900000002</v>
          </cell>
          <cell r="N16">
            <v>1.6199095022624399</v>
          </cell>
          <cell r="O16">
            <v>477.34514999999999</v>
          </cell>
          <cell r="P16">
            <v>2.16363636363636</v>
          </cell>
          <cell r="Q16">
            <v>437.88102199999997</v>
          </cell>
          <cell r="R16">
            <v>2.07045454545454</v>
          </cell>
          <cell r="S16">
            <v>524.407691</v>
          </cell>
          <cell r="T16">
            <v>0.46606334841628899</v>
          </cell>
          <cell r="U16">
            <v>43.558256999999998</v>
          </cell>
          <cell r="V16">
            <v>0.29864253393665102</v>
          </cell>
        </row>
        <row r="17">
          <cell r="A17" t="str">
            <v>000802</v>
          </cell>
          <cell r="B17">
            <v>576.20000000000005</v>
          </cell>
          <cell r="C17">
            <v>410.40427699999998</v>
          </cell>
          <cell r="D17">
            <v>0.72664359861591599</v>
          </cell>
          <cell r="E17">
            <v>160.66031799999999</v>
          </cell>
          <cell r="F17">
            <v>0.652249134948096</v>
          </cell>
          <cell r="G17">
            <v>232.259041</v>
          </cell>
          <cell r="H17">
            <v>0.99826989619377104</v>
          </cell>
          <cell r="I17">
            <v>141.14788899999999</v>
          </cell>
          <cell r="J17">
            <v>0.71626297577854603</v>
          </cell>
          <cell r="K17">
            <v>187.62957700000001</v>
          </cell>
          <cell r="L17">
            <v>0.62564991334488695</v>
          </cell>
          <cell r="M17">
            <v>17.045377999999999</v>
          </cell>
          <cell r="N17">
            <v>0.164644714038128</v>
          </cell>
          <cell r="O17">
            <v>1010.414168</v>
          </cell>
          <cell r="P17">
            <v>0.84494773519163702</v>
          </cell>
          <cell r="Q17">
            <v>152.51991799999999</v>
          </cell>
          <cell r="R17">
            <v>0.43554006968641101</v>
          </cell>
          <cell r="S17">
            <v>120.247821</v>
          </cell>
          <cell r="T17">
            <v>0.99651567944250796</v>
          </cell>
          <cell r="U17">
            <v>98.601567000000003</v>
          </cell>
          <cell r="V17">
            <v>0.94599303135888502</v>
          </cell>
        </row>
        <row r="18">
          <cell r="A18" t="str">
            <v>000901</v>
          </cell>
          <cell r="B18">
            <v>874.2</v>
          </cell>
          <cell r="C18">
            <v>1811.9182410000001</v>
          </cell>
          <cell r="D18">
            <v>1.86898096304591</v>
          </cell>
          <cell r="E18">
            <v>211.54865799999999</v>
          </cell>
          <cell r="F18">
            <v>0.84546472564389596</v>
          </cell>
          <cell r="G18">
            <v>279.06374</v>
          </cell>
          <cell r="H18">
            <v>0.80294450736126799</v>
          </cell>
          <cell r="I18">
            <v>112.079913</v>
          </cell>
          <cell r="J18">
            <v>0.57644394110985198</v>
          </cell>
          <cell r="K18">
            <v>949.77397699999995</v>
          </cell>
          <cell r="L18">
            <v>1.8029782359679201</v>
          </cell>
          <cell r="M18">
            <v>401.89747899999998</v>
          </cell>
          <cell r="N18">
            <v>1.4868270332187801</v>
          </cell>
          <cell r="O18">
            <v>158.85840899999999</v>
          </cell>
          <cell r="P18">
            <v>0.53341013824884698</v>
          </cell>
          <cell r="Q18">
            <v>106.739304</v>
          </cell>
          <cell r="R18">
            <v>0.495391705069124</v>
          </cell>
          <cell r="S18">
            <v>1361.423262</v>
          </cell>
          <cell r="T18">
            <v>1.86885245901639</v>
          </cell>
          <cell r="U18">
            <v>853.98571400000003</v>
          </cell>
          <cell r="V18">
            <v>1.72014051522248</v>
          </cell>
        </row>
        <row r="19">
          <cell r="A19" t="str">
            <v>000902</v>
          </cell>
          <cell r="B19">
            <v>292.60000000000002</v>
          </cell>
          <cell r="C19">
            <v>3218.0111780000002</v>
          </cell>
          <cell r="D19">
            <v>3.37627118644067</v>
          </cell>
          <cell r="E19">
            <v>614.235409</v>
          </cell>
          <cell r="F19">
            <v>2.1491525423728799</v>
          </cell>
          <cell r="G19">
            <v>225.49631400000001</v>
          </cell>
          <cell r="H19">
            <v>1.9864406779660999</v>
          </cell>
          <cell r="I19">
            <v>150.68100100000001</v>
          </cell>
          <cell r="J19">
            <v>1.06779661016949</v>
          </cell>
          <cell r="K19">
            <v>3297.685958</v>
          </cell>
          <cell r="L19">
            <v>6.9760273972602702</v>
          </cell>
          <cell r="M19">
            <v>1632.5519400000001</v>
          </cell>
          <cell r="N19">
            <v>6.3184931506849296</v>
          </cell>
          <cell r="O19">
            <v>608.36991899999998</v>
          </cell>
          <cell r="P19">
            <v>2.1541095890410902</v>
          </cell>
          <cell r="Q19">
            <v>263.20696299999997</v>
          </cell>
          <cell r="R19">
            <v>1.72260273972602</v>
          </cell>
          <cell r="S19">
            <v>1068.929122</v>
          </cell>
          <cell r="T19">
            <v>2.0657439446366701</v>
          </cell>
          <cell r="U19">
            <v>343.95847700000002</v>
          </cell>
          <cell r="V19">
            <v>1.8719723183390999</v>
          </cell>
        </row>
        <row r="20">
          <cell r="A20" t="str">
            <v>001101</v>
          </cell>
          <cell r="B20">
            <v>595</v>
          </cell>
          <cell r="C20">
            <v>294.36432200000002</v>
          </cell>
          <cell r="D20">
            <v>0.55254777070063599</v>
          </cell>
          <cell r="E20">
            <v>293.60317600000002</v>
          </cell>
          <cell r="F20">
            <v>0.55095541401273795</v>
          </cell>
          <cell r="G20">
            <v>10.869375</v>
          </cell>
          <cell r="H20">
            <v>3.4201954397394103E-2</v>
          </cell>
          <cell r="I20">
            <v>2.3199930000000002</v>
          </cell>
          <cell r="J20">
            <v>1.4657980456025999E-2</v>
          </cell>
          <cell r="K20">
            <v>244.31404800000001</v>
          </cell>
          <cell r="L20">
            <v>2.16385135135135</v>
          </cell>
          <cell r="M20">
            <v>244.31404800000001</v>
          </cell>
          <cell r="N20">
            <v>2.16385135135135</v>
          </cell>
          <cell r="O20">
            <v>1.7102200000000001</v>
          </cell>
          <cell r="P20">
            <v>2.2648083623693301E-2</v>
          </cell>
          <cell r="Q20">
            <v>1.7102200000000001</v>
          </cell>
          <cell r="R20">
            <v>2.2648083623693301E-2</v>
          </cell>
          <cell r="S20">
            <v>4379.730329</v>
          </cell>
          <cell r="T20">
            <v>2.8972972972972899</v>
          </cell>
          <cell r="U20">
            <v>18.23066</v>
          </cell>
          <cell r="V20">
            <v>0.18198198198198101</v>
          </cell>
        </row>
        <row r="21">
          <cell r="A21" t="str">
            <v>001102</v>
          </cell>
          <cell r="B21">
            <v>928.33333300000004</v>
          </cell>
          <cell r="C21">
            <v>711.04752199999996</v>
          </cell>
          <cell r="D21">
            <v>0.48465608465608401</v>
          </cell>
          <cell r="E21">
            <v>88.116423999999995</v>
          </cell>
          <cell r="F21">
            <v>0.30899470899470799</v>
          </cell>
          <cell r="G21">
            <v>328.38527599999998</v>
          </cell>
          <cell r="H21">
            <v>0.42398286937901403</v>
          </cell>
          <cell r="I21">
            <v>80.015844999999999</v>
          </cell>
          <cell r="J21">
            <v>0.23447537473233401</v>
          </cell>
          <cell r="K21">
            <v>531.276475</v>
          </cell>
          <cell r="L21">
            <v>0.56155507559395201</v>
          </cell>
          <cell r="M21">
            <v>88.364974000000004</v>
          </cell>
          <cell r="N21">
            <v>0.46760259179265601</v>
          </cell>
          <cell r="O21">
            <v>77.735872000000001</v>
          </cell>
          <cell r="P21">
            <v>0.67138193688792103</v>
          </cell>
          <cell r="Q21">
            <v>77.735872000000001</v>
          </cell>
          <cell r="R21">
            <v>0.67138193688792103</v>
          </cell>
          <cell r="S21">
            <v>2682.7955809999999</v>
          </cell>
          <cell r="T21">
            <v>2.80175246440306</v>
          </cell>
          <cell r="U21">
            <v>314.43508500000002</v>
          </cell>
          <cell r="V21">
            <v>0.82694414019715201</v>
          </cell>
        </row>
        <row r="22">
          <cell r="A22" t="str">
            <v>001301</v>
          </cell>
          <cell r="B22">
            <v>1066.2</v>
          </cell>
          <cell r="C22">
            <v>127.392306</v>
          </cell>
          <cell r="D22">
            <v>0.685927306616961</v>
          </cell>
          <cell r="E22">
            <v>92.563404000000006</v>
          </cell>
          <cell r="F22">
            <v>0.63560111835973898</v>
          </cell>
          <cell r="G22">
            <v>2167.1254319999998</v>
          </cell>
          <cell r="H22">
            <v>2.9793427230046898</v>
          </cell>
          <cell r="I22">
            <v>1612.574554</v>
          </cell>
          <cell r="J22">
            <v>2.4319248826291</v>
          </cell>
          <cell r="K22">
            <v>2888.3909640000002</v>
          </cell>
          <cell r="L22">
            <v>4.3099250936329501</v>
          </cell>
          <cell r="M22">
            <v>1157.4696469999999</v>
          </cell>
          <cell r="N22">
            <v>3.8642322097378199</v>
          </cell>
          <cell r="O22">
            <v>117.112396</v>
          </cell>
          <cell r="P22">
            <v>0.60207939508506603</v>
          </cell>
          <cell r="Q22">
            <v>88.571250000000006</v>
          </cell>
          <cell r="R22">
            <v>0.46313799621928098</v>
          </cell>
          <cell r="S22">
            <v>687.68567599999994</v>
          </cell>
          <cell r="T22">
            <v>3.63167760074976</v>
          </cell>
          <cell r="U22">
            <v>677.305701</v>
          </cell>
          <cell r="V22">
            <v>3.6044985941893102</v>
          </cell>
        </row>
        <row r="23">
          <cell r="A23" t="str">
            <v>001302</v>
          </cell>
          <cell r="B23">
            <v>1307.4000000000001</v>
          </cell>
          <cell r="C23">
            <v>568.44199100000003</v>
          </cell>
          <cell r="D23">
            <v>2.8345740281224101</v>
          </cell>
          <cell r="E23">
            <v>120.15503</v>
          </cell>
          <cell r="F23">
            <v>0.96939619520264597</v>
          </cell>
          <cell r="G23">
            <v>310.80388599999998</v>
          </cell>
          <cell r="H23">
            <v>1.67388059701492</v>
          </cell>
          <cell r="I23">
            <v>285.94792200000001</v>
          </cell>
          <cell r="J23">
            <v>1.57164179104477</v>
          </cell>
          <cell r="K23">
            <v>6652.5990929999998</v>
          </cell>
          <cell r="L23">
            <v>6.93894266567386</v>
          </cell>
          <cell r="M23">
            <v>1396.566517</v>
          </cell>
          <cell r="N23">
            <v>5.4787788533134698</v>
          </cell>
          <cell r="O23">
            <v>437.773055</v>
          </cell>
          <cell r="P23">
            <v>3.2037878787878702</v>
          </cell>
          <cell r="Q23">
            <v>427.442386</v>
          </cell>
          <cell r="R23">
            <v>3.16363636363636</v>
          </cell>
          <cell r="S23">
            <v>835.24216300000001</v>
          </cell>
          <cell r="T23">
            <v>3.9690566037735802</v>
          </cell>
          <cell r="U23">
            <v>623.539132</v>
          </cell>
          <cell r="V23">
            <v>3.3018867924528301</v>
          </cell>
        </row>
        <row r="24">
          <cell r="A24" t="str">
            <v>001303</v>
          </cell>
          <cell r="B24">
            <v>255.8</v>
          </cell>
          <cell r="C24">
            <v>869.55062099999998</v>
          </cell>
          <cell r="D24">
            <v>3.33206106870229</v>
          </cell>
          <cell r="E24">
            <v>343.93594200000001</v>
          </cell>
          <cell r="F24">
            <v>2.9007633587786201</v>
          </cell>
          <cell r="G24">
            <v>909.45705899999996</v>
          </cell>
          <cell r="H24">
            <v>3.6875</v>
          </cell>
          <cell r="I24">
            <v>806.91380700000002</v>
          </cell>
          <cell r="J24">
            <v>3.5625</v>
          </cell>
          <cell r="K24">
            <v>5277.6692350000003</v>
          </cell>
          <cell r="L24">
            <v>3.63241106719367</v>
          </cell>
          <cell r="M24">
            <v>510.53214700000001</v>
          </cell>
          <cell r="N24">
            <v>2.3913043478260798</v>
          </cell>
          <cell r="O24">
            <v>210.604232</v>
          </cell>
          <cell r="P24">
            <v>0.702380952380952</v>
          </cell>
          <cell r="Q24">
            <v>98.157407000000006</v>
          </cell>
          <cell r="R24">
            <v>0.42857142857142799</v>
          </cell>
          <cell r="S24">
            <v>371.138215</v>
          </cell>
          <cell r="T24">
            <v>2.53125</v>
          </cell>
          <cell r="U24">
            <v>365.579947</v>
          </cell>
          <cell r="V24">
            <v>2.52734375</v>
          </cell>
        </row>
        <row r="25">
          <cell r="A25" t="str">
            <v>001401</v>
          </cell>
          <cell r="B25">
            <v>285</v>
          </cell>
          <cell r="C25">
            <v>1329.7244370000001</v>
          </cell>
          <cell r="D25">
            <v>1.15624999999999</v>
          </cell>
          <cell r="E25">
            <v>231.738179</v>
          </cell>
          <cell r="F25">
            <v>0.21527777777777701</v>
          </cell>
          <cell r="G25">
            <v>745.85995800000001</v>
          </cell>
          <cell r="H25">
            <v>1.5454545454545401</v>
          </cell>
          <cell r="I25">
            <v>737.42051400000003</v>
          </cell>
          <cell r="J25">
            <v>1.5419580419580401</v>
          </cell>
          <cell r="K25">
            <v>606.33497</v>
          </cell>
          <cell r="L25">
            <v>2.6035087719298202</v>
          </cell>
          <cell r="M25">
            <v>395.15274799999997</v>
          </cell>
          <cell r="N25">
            <v>2.2280701754385901</v>
          </cell>
          <cell r="O25">
            <v>7099.287601</v>
          </cell>
          <cell r="P25">
            <v>3.1754385964912202</v>
          </cell>
          <cell r="Q25">
            <v>125.34701699999999</v>
          </cell>
          <cell r="R25">
            <v>1.30526315789473</v>
          </cell>
          <cell r="S25">
            <v>538.25023599999997</v>
          </cell>
          <cell r="T25">
            <v>2.5907473309608502</v>
          </cell>
          <cell r="U25">
            <v>320.03333300000003</v>
          </cell>
          <cell r="V25">
            <v>1.5373665480426999</v>
          </cell>
        </row>
        <row r="26">
          <cell r="A26" t="str">
            <v>001402</v>
          </cell>
          <cell r="B26">
            <v>111.5</v>
          </cell>
          <cell r="C26">
            <v>15.090137</v>
          </cell>
          <cell r="D26">
            <v>4.9019607843137199E-2</v>
          </cell>
          <cell r="E26">
            <v>13.300660000000001</v>
          </cell>
          <cell r="F26">
            <v>3.9215686274509803E-2</v>
          </cell>
          <cell r="G26">
            <v>10.450279</v>
          </cell>
          <cell r="H26">
            <v>0.15652173913043399</v>
          </cell>
          <cell r="I26">
            <v>10.450279</v>
          </cell>
          <cell r="J26">
            <v>0.15652173913043399</v>
          </cell>
          <cell r="K26">
            <v>39.901304000000003</v>
          </cell>
          <cell r="L26">
            <v>0.29565217391304299</v>
          </cell>
          <cell r="M26">
            <v>39.901304000000003</v>
          </cell>
          <cell r="N26">
            <v>0.29565217391304299</v>
          </cell>
          <cell r="O26">
            <v>4444.1127530000003</v>
          </cell>
          <cell r="P26">
            <v>1.03478260869565</v>
          </cell>
          <cell r="Q26">
            <v>5.4273910000000001</v>
          </cell>
          <cell r="R26">
            <v>2.6086956521739101E-2</v>
          </cell>
          <cell r="S26">
            <v>163.579531</v>
          </cell>
          <cell r="T26">
            <v>1.62280701754385</v>
          </cell>
          <cell r="U26">
            <v>127.460526</v>
          </cell>
          <cell r="V26">
            <v>0.63157894736842102</v>
          </cell>
        </row>
        <row r="27">
          <cell r="A27" t="str">
            <v>001901</v>
          </cell>
          <cell r="B27">
            <v>1562.4</v>
          </cell>
          <cell r="C27">
            <v>6695.0826230000002</v>
          </cell>
          <cell r="D27">
            <v>2.3239795918367299</v>
          </cell>
          <cell r="E27">
            <v>37.145474999999998</v>
          </cell>
          <cell r="F27">
            <v>0.34630102040816302</v>
          </cell>
          <cell r="G27">
            <v>760.16528200000005</v>
          </cell>
          <cell r="H27">
            <v>1.98917886696371</v>
          </cell>
          <cell r="I27">
            <v>208.561384</v>
          </cell>
          <cell r="J27">
            <v>1.4481222151495801</v>
          </cell>
          <cell r="K27">
            <v>61.598567000000003</v>
          </cell>
          <cell r="L27">
            <v>0.250795671546785</v>
          </cell>
          <cell r="M27">
            <v>48.414852000000003</v>
          </cell>
          <cell r="N27">
            <v>0.20432845321451301</v>
          </cell>
          <cell r="O27">
            <v>118.008635</v>
          </cell>
          <cell r="P27">
            <v>1.09392971246006</v>
          </cell>
          <cell r="Q27">
            <v>106.837997</v>
          </cell>
          <cell r="R27">
            <v>1.06325878594249</v>
          </cell>
          <cell r="S27">
            <v>93.368139999999997</v>
          </cell>
          <cell r="T27">
            <v>0.72088484059856806</v>
          </cell>
          <cell r="U27">
            <v>93.327640000000002</v>
          </cell>
          <cell r="V27">
            <v>0.72023422251138502</v>
          </cell>
        </row>
        <row r="28">
          <cell r="A28" t="str">
            <v>001902</v>
          </cell>
          <cell r="B28">
            <v>1112.4000000000001</v>
          </cell>
          <cell r="C28">
            <v>6296.8697439999996</v>
          </cell>
          <cell r="D28">
            <v>2.1173333333333302</v>
          </cell>
          <cell r="E28">
            <v>14.162353</v>
          </cell>
          <cell r="F28">
            <v>0.101333333333333</v>
          </cell>
          <cell r="G28">
            <v>4.1588909999999997</v>
          </cell>
          <cell r="H28">
            <v>2.6905829596412498E-2</v>
          </cell>
          <cell r="I28">
            <v>1.7728010000000001</v>
          </cell>
          <cell r="J28">
            <v>2.6008968609865402E-2</v>
          </cell>
          <cell r="K28">
            <v>312.660866</v>
          </cell>
          <cell r="L28">
            <v>2.1596412556053801</v>
          </cell>
          <cell r="M28">
            <v>312.59559000000002</v>
          </cell>
          <cell r="N28">
            <v>2.1587443946188301</v>
          </cell>
          <cell r="O28">
            <v>279.62682899999999</v>
          </cell>
          <cell r="P28">
            <v>2.55013550135501</v>
          </cell>
          <cell r="Q28">
            <v>276.264363</v>
          </cell>
          <cell r="R28">
            <v>2.5311653116531101</v>
          </cell>
          <cell r="S28">
            <v>33.200211000000003</v>
          </cell>
          <cell r="T28">
            <v>1.0654545454545401</v>
          </cell>
          <cell r="U28">
            <v>15.319984</v>
          </cell>
          <cell r="V28">
            <v>1.0536363636363599</v>
          </cell>
        </row>
        <row r="29">
          <cell r="A29" t="str">
            <v>001903</v>
          </cell>
          <cell r="B29">
            <v>490.6</v>
          </cell>
          <cell r="C29">
            <v>3646.735463</v>
          </cell>
          <cell r="D29">
            <v>2.1683569979716002</v>
          </cell>
          <cell r="E29">
            <v>256.82989300000003</v>
          </cell>
          <cell r="F29">
            <v>1.04868154158215</v>
          </cell>
          <cell r="G29">
            <v>191.02836099999999</v>
          </cell>
          <cell r="H29">
            <v>1.2020408163265299</v>
          </cell>
          <cell r="I29">
            <v>184.79260300000001</v>
          </cell>
          <cell r="J29">
            <v>1.19591836734693</v>
          </cell>
          <cell r="K29">
            <v>181.55433500000001</v>
          </cell>
          <cell r="L29">
            <v>0.203252032520325</v>
          </cell>
          <cell r="M29">
            <v>9.4368560000000006</v>
          </cell>
          <cell r="N29">
            <v>0.17886178861788599</v>
          </cell>
          <cell r="O29">
            <v>463.89207099999999</v>
          </cell>
          <cell r="P29">
            <v>2.5506072874493899</v>
          </cell>
          <cell r="Q29">
            <v>381.273954</v>
          </cell>
          <cell r="R29">
            <v>2.4757085020242902</v>
          </cell>
          <cell r="S29">
            <v>25.253889999999998</v>
          </cell>
          <cell r="T29">
            <v>8.0578512396694196E-2</v>
          </cell>
          <cell r="U29">
            <v>6.6074719999999996</v>
          </cell>
          <cell r="V29">
            <v>6.6115702479338803E-2</v>
          </cell>
        </row>
        <row r="30">
          <cell r="A30" t="str">
            <v>001904</v>
          </cell>
          <cell r="B30">
            <v>358.83333299999998</v>
          </cell>
          <cell r="C30">
            <v>2444.77054</v>
          </cell>
          <cell r="D30">
            <v>0.53571428571428503</v>
          </cell>
          <cell r="E30">
            <v>111.517708</v>
          </cell>
          <cell r="F30">
            <v>0.115384615384615</v>
          </cell>
          <cell r="G30">
            <v>32.871737000000003</v>
          </cell>
          <cell r="H30">
            <v>0.13150684931506801</v>
          </cell>
          <cell r="I30">
            <v>32.871737000000003</v>
          </cell>
          <cell r="J30">
            <v>0.13150684931506801</v>
          </cell>
          <cell r="K30">
            <v>16.626887</v>
          </cell>
          <cell r="L30">
            <v>0.12983425414364599</v>
          </cell>
          <cell r="M30">
            <v>16.626887</v>
          </cell>
          <cell r="N30">
            <v>0.12983425414364599</v>
          </cell>
          <cell r="O30">
            <v>241.086815</v>
          </cell>
          <cell r="P30">
            <v>1.0919220055710299</v>
          </cell>
          <cell r="Q30">
            <v>241.086815</v>
          </cell>
          <cell r="R30">
            <v>1.0919220055710299</v>
          </cell>
          <cell r="S30">
            <v>14.389282</v>
          </cell>
          <cell r="T30">
            <v>0.17404129793510301</v>
          </cell>
          <cell r="U30">
            <v>14.389282</v>
          </cell>
          <cell r="V30">
            <v>0.17404129793510301</v>
          </cell>
        </row>
        <row r="31">
          <cell r="A31" t="str">
            <v>002001</v>
          </cell>
          <cell r="B31">
            <v>1029.444444</v>
          </cell>
          <cell r="C31">
            <v>599.89657299999999</v>
          </cell>
          <cell r="D31">
            <v>1.88717454194792</v>
          </cell>
          <cell r="E31">
            <v>599.89657299999999</v>
          </cell>
          <cell r="F31">
            <v>1.88717454194792</v>
          </cell>
          <cell r="G31">
            <v>537.28283099999999</v>
          </cell>
          <cell r="H31">
            <v>2.2416107382550301</v>
          </cell>
          <cell r="I31">
            <v>333.41310700000002</v>
          </cell>
          <cell r="J31">
            <v>2.1121764141898298</v>
          </cell>
          <cell r="K31">
            <v>2517.2327380000002</v>
          </cell>
          <cell r="L31">
            <v>3.6817743490838901</v>
          </cell>
          <cell r="M31">
            <v>238.82836699999999</v>
          </cell>
          <cell r="N31">
            <v>1.54291224686595</v>
          </cell>
          <cell r="O31">
            <v>689.55166899999995</v>
          </cell>
          <cell r="P31">
            <v>2.2799607072691499</v>
          </cell>
          <cell r="Q31">
            <v>549.52999299999999</v>
          </cell>
          <cell r="R31">
            <v>2.1129666011787802</v>
          </cell>
          <cell r="S31">
            <v>372.514139</v>
          </cell>
          <cell r="T31">
            <v>2.7923228346456601</v>
          </cell>
          <cell r="U31">
            <v>337.099737</v>
          </cell>
          <cell r="V31">
            <v>2.7696850393700698</v>
          </cell>
        </row>
        <row r="32">
          <cell r="A32" t="str">
            <v>002002</v>
          </cell>
          <cell r="B32">
            <v>1233.6666660000001</v>
          </cell>
          <cell r="C32">
            <v>74.549987999999999</v>
          </cell>
          <cell r="D32">
            <v>0.56285028022417904</v>
          </cell>
          <cell r="E32">
            <v>74.549987999999999</v>
          </cell>
          <cell r="F32">
            <v>0.56285028022417904</v>
          </cell>
          <cell r="G32">
            <v>544.98394399999995</v>
          </cell>
          <cell r="H32">
            <v>2.0209677419354799</v>
          </cell>
          <cell r="I32">
            <v>246.41660999999999</v>
          </cell>
          <cell r="J32">
            <v>1.7395161290322501</v>
          </cell>
          <cell r="K32">
            <v>5578.090083</v>
          </cell>
          <cell r="L32">
            <v>8.8827809215844695</v>
          </cell>
          <cell r="M32">
            <v>1834.854163</v>
          </cell>
          <cell r="N32">
            <v>5.5068714632174602</v>
          </cell>
          <cell r="O32">
            <v>1344.091347</v>
          </cell>
          <cell r="P32">
            <v>4.2587469487388097</v>
          </cell>
          <cell r="Q32">
            <v>704.191822</v>
          </cell>
          <cell r="R32">
            <v>2.8291293734743599</v>
          </cell>
          <cell r="S32">
            <v>1174.8398569999999</v>
          </cell>
          <cell r="T32">
            <v>2.1310401310401299</v>
          </cell>
          <cell r="U32">
            <v>459.50463999999999</v>
          </cell>
          <cell r="V32">
            <v>1.08927108927108</v>
          </cell>
        </row>
        <row r="33">
          <cell r="A33" t="str">
            <v>002201</v>
          </cell>
          <cell r="B33">
            <v>1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106.35</v>
          </cell>
          <cell r="T33">
            <v>1</v>
          </cell>
          <cell r="U33">
            <v>106.35</v>
          </cell>
          <cell r="V33">
            <v>1</v>
          </cell>
        </row>
        <row r="34">
          <cell r="A34" t="str">
            <v>002301</v>
          </cell>
          <cell r="B34">
            <v>115.4</v>
          </cell>
          <cell r="C34">
            <v>119.051739</v>
          </cell>
          <cell r="D34">
            <v>1.01739130434782</v>
          </cell>
          <cell r="E34">
            <v>119.051739</v>
          </cell>
          <cell r="F34">
            <v>1.01739130434782</v>
          </cell>
          <cell r="G34">
            <v>149.104027</v>
          </cell>
          <cell r="H34">
            <v>0.47008547008547003</v>
          </cell>
          <cell r="I34">
            <v>149.104027</v>
          </cell>
          <cell r="J34">
            <v>0.47008547008547003</v>
          </cell>
          <cell r="K34">
            <v>1409.9892239999999</v>
          </cell>
          <cell r="L34">
            <v>0.99137931034482696</v>
          </cell>
          <cell r="M34">
            <v>1409.9892239999999</v>
          </cell>
          <cell r="N34">
            <v>0.99137931034482696</v>
          </cell>
          <cell r="O34">
            <v>5.8432469999999999</v>
          </cell>
          <cell r="P34">
            <v>1.72413793103448E-2</v>
          </cell>
          <cell r="Q34">
            <v>5.8432469999999999</v>
          </cell>
          <cell r="R34">
            <v>1.72413793103448E-2</v>
          </cell>
          <cell r="S34">
            <v>61.285398000000001</v>
          </cell>
          <cell r="T34">
            <v>4.4247787610619399E-2</v>
          </cell>
          <cell r="U34">
            <v>61.285398000000001</v>
          </cell>
          <cell r="V34">
            <v>4.4247787610619399E-2</v>
          </cell>
        </row>
        <row r="35">
          <cell r="A35" t="str">
            <v>002302</v>
          </cell>
          <cell r="B35">
            <v>2228.888888</v>
          </cell>
          <cell r="C35">
            <v>129.677468</v>
          </cell>
          <cell r="D35">
            <v>1.13836477987421</v>
          </cell>
          <cell r="E35">
            <v>129.677468</v>
          </cell>
          <cell r="F35">
            <v>1.13836477987421</v>
          </cell>
          <cell r="G35">
            <v>73.814530000000005</v>
          </cell>
          <cell r="H35">
            <v>0.27415026833631401</v>
          </cell>
          <cell r="I35">
            <v>69.844437999999997</v>
          </cell>
          <cell r="J35">
            <v>0.27280858676207498</v>
          </cell>
          <cell r="K35">
            <v>724.61427700000002</v>
          </cell>
          <cell r="L35">
            <v>1.39946260635915</v>
          </cell>
          <cell r="M35">
            <v>720.59385699999996</v>
          </cell>
          <cell r="N35">
            <v>1.3851321092700399</v>
          </cell>
          <cell r="O35">
            <v>27.896757000000001</v>
          </cell>
          <cell r="P35">
            <v>0.149146451033243</v>
          </cell>
          <cell r="Q35">
            <v>20.906168999999998</v>
          </cell>
          <cell r="R35">
            <v>0.13926325247079899</v>
          </cell>
          <cell r="S35">
            <v>47.98301</v>
          </cell>
          <cell r="T35">
            <v>0.164266426642664</v>
          </cell>
          <cell r="U35">
            <v>41.921016999999999</v>
          </cell>
          <cell r="V35">
            <v>0.16066606660666</v>
          </cell>
        </row>
        <row r="36">
          <cell r="A36" t="str">
            <v>002303</v>
          </cell>
          <cell r="B36">
            <v>2141</v>
          </cell>
          <cell r="C36">
            <v>656.86881200000005</v>
          </cell>
          <cell r="D36">
            <v>2.6223744292237399</v>
          </cell>
          <cell r="E36">
            <v>381.733361</v>
          </cell>
          <cell r="F36">
            <v>1.8547945205479399</v>
          </cell>
          <cell r="G36">
            <v>170.573441</v>
          </cell>
          <cell r="H36">
            <v>0.91255813953488296</v>
          </cell>
          <cell r="I36">
            <v>169.12115499999999</v>
          </cell>
          <cell r="J36">
            <v>0.90976744186046499</v>
          </cell>
          <cell r="K36">
            <v>1544.107481</v>
          </cell>
          <cell r="L36">
            <v>1.84227718152123</v>
          </cell>
          <cell r="M36">
            <v>1105.0436070000001</v>
          </cell>
          <cell r="N36">
            <v>1.51516565562295</v>
          </cell>
          <cell r="O36">
            <v>48.184418000000001</v>
          </cell>
          <cell r="P36">
            <v>0.33333333333333298</v>
          </cell>
          <cell r="Q36">
            <v>40.605305000000001</v>
          </cell>
          <cell r="R36">
            <v>0.32255039849976502</v>
          </cell>
          <cell r="S36">
            <v>275.479128</v>
          </cell>
          <cell r="T36">
            <v>1.67257060794638</v>
          </cell>
          <cell r="U36">
            <v>226.421254</v>
          </cell>
          <cell r="V36">
            <v>1.52225945428434</v>
          </cell>
        </row>
        <row r="37">
          <cell r="A37" t="str">
            <v>002304</v>
          </cell>
          <cell r="B37">
            <v>13</v>
          </cell>
          <cell r="C37">
            <v>117.016666</v>
          </cell>
          <cell r="D37">
            <v>1</v>
          </cell>
          <cell r="E37">
            <v>117.016666</v>
          </cell>
          <cell r="F37">
            <v>1</v>
          </cell>
          <cell r="G37">
            <v>58.967838</v>
          </cell>
          <cell r="H37">
            <v>0.46153846153846101</v>
          </cell>
          <cell r="I37">
            <v>58.967838</v>
          </cell>
          <cell r="J37">
            <v>0.46153846153846101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4.5974349999999999</v>
          </cell>
          <cell r="T37">
            <v>0.15384615384615299</v>
          </cell>
          <cell r="U37">
            <v>4.5974349999999999</v>
          </cell>
          <cell r="V37">
            <v>0.15384615384615299</v>
          </cell>
        </row>
        <row r="38">
          <cell r="A38" t="str">
            <v>002401</v>
          </cell>
          <cell r="B38">
            <v>870.55555500000003</v>
          </cell>
          <cell r="C38">
            <v>67.111581999999999</v>
          </cell>
          <cell r="D38">
            <v>0.52004333694474503</v>
          </cell>
          <cell r="E38">
            <v>67.111581999999999</v>
          </cell>
          <cell r="F38">
            <v>0.52004333694474503</v>
          </cell>
          <cell r="G38">
            <v>428.31365799999998</v>
          </cell>
          <cell r="H38">
            <v>2.8649835345773802</v>
          </cell>
          <cell r="I38">
            <v>275.70063099999999</v>
          </cell>
          <cell r="J38">
            <v>2.7058177826564198</v>
          </cell>
          <cell r="K38">
            <v>1060.3679159999999</v>
          </cell>
          <cell r="L38">
            <v>2.6154734411085401</v>
          </cell>
          <cell r="M38">
            <v>315.77413300000001</v>
          </cell>
          <cell r="N38">
            <v>1.57852193995381</v>
          </cell>
          <cell r="O38">
            <v>250.895535</v>
          </cell>
          <cell r="P38">
            <v>1.7812865497076</v>
          </cell>
          <cell r="Q38">
            <v>159.19586699999999</v>
          </cell>
          <cell r="R38">
            <v>1.5859649122807</v>
          </cell>
          <cell r="S38">
            <v>182.626374</v>
          </cell>
          <cell r="T38">
            <v>0.91868932038834905</v>
          </cell>
          <cell r="U38">
            <v>134.38389900000001</v>
          </cell>
          <cell r="V38">
            <v>0.76577669902912604</v>
          </cell>
        </row>
        <row r="39">
          <cell r="A39" t="str">
            <v>002402</v>
          </cell>
          <cell r="B39">
            <v>1246</v>
          </cell>
          <cell r="C39">
            <v>82.280015000000006</v>
          </cell>
          <cell r="D39">
            <v>0.78130081300813004</v>
          </cell>
          <cell r="E39">
            <v>82.280015000000006</v>
          </cell>
          <cell r="F39">
            <v>0.78130081300813004</v>
          </cell>
          <cell r="G39">
            <v>207.71559099999999</v>
          </cell>
          <cell r="H39">
            <v>1.0040749796251001</v>
          </cell>
          <cell r="I39">
            <v>153.28112400000001</v>
          </cell>
          <cell r="J39">
            <v>0.84678076609616904</v>
          </cell>
          <cell r="K39">
            <v>679.90856799999995</v>
          </cell>
          <cell r="L39">
            <v>1.2480314960629899</v>
          </cell>
          <cell r="M39">
            <v>264.19199400000002</v>
          </cell>
          <cell r="N39">
            <v>0.89842519685039302</v>
          </cell>
          <cell r="O39">
            <v>396.46263199999999</v>
          </cell>
          <cell r="P39">
            <v>2.0960317460317399</v>
          </cell>
          <cell r="Q39">
            <v>193.855119</v>
          </cell>
          <cell r="R39">
            <v>1.68730158730158</v>
          </cell>
          <cell r="S39">
            <v>465.12136199999998</v>
          </cell>
          <cell r="T39">
            <v>2.2963562753036402</v>
          </cell>
          <cell r="U39">
            <v>164.39850200000001</v>
          </cell>
          <cell r="V39">
            <v>1.7085020242914899</v>
          </cell>
        </row>
        <row r="40">
          <cell r="A40" t="str">
            <v>002501</v>
          </cell>
          <cell r="B40">
            <v>261.85714200000001</v>
          </cell>
          <cell r="C40">
            <v>42.579611999999997</v>
          </cell>
          <cell r="D40">
            <v>0.37878787878787801</v>
          </cell>
          <cell r="E40">
            <v>42.579611999999997</v>
          </cell>
          <cell r="F40">
            <v>0.37878787878787801</v>
          </cell>
          <cell r="G40">
            <v>2.7165300000000001</v>
          </cell>
          <cell r="H40">
            <v>1.52091254752851E-2</v>
          </cell>
          <cell r="I40">
            <v>2.7165300000000001</v>
          </cell>
          <cell r="J40">
            <v>1.52091254752851E-2</v>
          </cell>
          <cell r="K40">
            <v>1154.5256649999999</v>
          </cell>
          <cell r="L40">
            <v>2.0228136882129202</v>
          </cell>
          <cell r="M40">
            <v>612.39835200000005</v>
          </cell>
          <cell r="N40">
            <v>1.1863117870722399</v>
          </cell>
          <cell r="O40">
            <v>497.00306399999999</v>
          </cell>
          <cell r="P40">
            <v>1.4942528735632099</v>
          </cell>
          <cell r="Q40">
            <v>481.98250300000001</v>
          </cell>
          <cell r="R40">
            <v>1.4865900383141699</v>
          </cell>
          <cell r="S40">
            <v>373.10645899999997</v>
          </cell>
          <cell r="T40">
            <v>2.8217054263565799</v>
          </cell>
          <cell r="U40">
            <v>373.10645899999997</v>
          </cell>
          <cell r="V40">
            <v>2.8217054263565799</v>
          </cell>
        </row>
        <row r="41">
          <cell r="A41" t="str">
            <v>002502</v>
          </cell>
          <cell r="B41">
            <v>843</v>
          </cell>
          <cell r="C41">
            <v>222.79310699999999</v>
          </cell>
          <cell r="D41">
            <v>1.2942555685814701</v>
          </cell>
          <cell r="E41">
            <v>222.79310699999999</v>
          </cell>
          <cell r="F41">
            <v>1.2942555685814701</v>
          </cell>
          <cell r="G41">
            <v>77.594644000000002</v>
          </cell>
          <cell r="H41">
            <v>0.40540540540540498</v>
          </cell>
          <cell r="I41">
            <v>67.875224000000003</v>
          </cell>
          <cell r="J41">
            <v>0.39952996474735603</v>
          </cell>
          <cell r="K41">
            <v>745.09629900000004</v>
          </cell>
          <cell r="L41">
            <v>1.4521841794568999</v>
          </cell>
          <cell r="M41">
            <v>120.97038499999999</v>
          </cell>
          <cell r="N41">
            <v>0.54545454545454497</v>
          </cell>
          <cell r="O41">
            <v>122.17915600000001</v>
          </cell>
          <cell r="P41">
            <v>0.28859857482185203</v>
          </cell>
          <cell r="Q41">
            <v>83.366864000000007</v>
          </cell>
          <cell r="R41">
            <v>0.26959619952494002</v>
          </cell>
          <cell r="S41">
            <v>697.96757300000002</v>
          </cell>
          <cell r="T41">
            <v>1.42442563482466</v>
          </cell>
          <cell r="U41">
            <v>631.86346200000003</v>
          </cell>
          <cell r="V41">
            <v>1.36154776299879</v>
          </cell>
        </row>
        <row r="42">
          <cell r="A42" t="str">
            <v>002601</v>
          </cell>
          <cell r="B42">
            <v>1917.2857140000001</v>
          </cell>
          <cell r="C42">
            <v>778.86149699999999</v>
          </cell>
          <cell r="D42">
            <v>0.29802699896157803</v>
          </cell>
          <cell r="E42">
            <v>41.654102000000002</v>
          </cell>
          <cell r="F42">
            <v>9.0342679127725797E-2</v>
          </cell>
          <cell r="G42">
            <v>33.168456999999997</v>
          </cell>
          <cell r="H42">
            <v>1.0551508844953099</v>
          </cell>
          <cell r="I42">
            <v>33.168456999999997</v>
          </cell>
          <cell r="J42">
            <v>1.0551508844953099</v>
          </cell>
          <cell r="K42">
            <v>179.18058199999999</v>
          </cell>
          <cell r="L42">
            <v>1.29880270692347</v>
          </cell>
          <cell r="M42">
            <v>148.26628400000001</v>
          </cell>
          <cell r="N42">
            <v>1.23581467985424</v>
          </cell>
          <cell r="O42">
            <v>197.84619499999999</v>
          </cell>
          <cell r="P42">
            <v>2.2402292860865001</v>
          </cell>
          <cell r="Q42">
            <v>197.84619499999999</v>
          </cell>
          <cell r="R42">
            <v>2.2402292860865001</v>
          </cell>
          <cell r="S42">
            <v>8.7660479999999996</v>
          </cell>
          <cell r="T42">
            <v>0.124602332979851</v>
          </cell>
          <cell r="U42">
            <v>8.7660479999999996</v>
          </cell>
          <cell r="V42">
            <v>0.124602332979851</v>
          </cell>
        </row>
        <row r="43">
          <cell r="A43" t="str">
            <v>002602</v>
          </cell>
          <cell r="B43">
            <v>773.71428500000002</v>
          </cell>
          <cell r="C43">
            <v>118.187574</v>
          </cell>
          <cell r="D43">
            <v>5.7217165149544801E-2</v>
          </cell>
          <cell r="E43">
            <v>0.28706700000000002</v>
          </cell>
          <cell r="F43">
            <v>7.8023407022106599E-3</v>
          </cell>
          <cell r="G43">
            <v>391.843211</v>
          </cell>
          <cell r="H43">
            <v>2.01806451612903</v>
          </cell>
          <cell r="I43">
            <v>364.459745</v>
          </cell>
          <cell r="J43">
            <v>1.8593548387096701</v>
          </cell>
          <cell r="K43">
            <v>134.25866600000001</v>
          </cell>
          <cell r="L43">
            <v>1.0658064516129</v>
          </cell>
          <cell r="M43">
            <v>134.25866600000001</v>
          </cell>
          <cell r="N43">
            <v>1.0658064516129</v>
          </cell>
          <cell r="O43">
            <v>70.847502000000006</v>
          </cell>
          <cell r="P43">
            <v>1.0465116279069699</v>
          </cell>
          <cell r="Q43">
            <v>70.847502000000006</v>
          </cell>
          <cell r="R43">
            <v>1.0465116279069699</v>
          </cell>
          <cell r="S43">
            <v>44.727128</v>
          </cell>
          <cell r="T43">
            <v>8.0872913992297804E-2</v>
          </cell>
          <cell r="U43">
            <v>44.727128</v>
          </cell>
          <cell r="V43">
            <v>8.0872913992297804E-2</v>
          </cell>
        </row>
        <row r="44">
          <cell r="A44" t="str">
            <v>002701</v>
          </cell>
          <cell r="B44">
            <v>1169.142857</v>
          </cell>
          <cell r="C44">
            <v>32.496839999999999</v>
          </cell>
          <cell r="D44">
            <v>0.649210307564422</v>
          </cell>
          <cell r="E44">
            <v>32.496839999999999</v>
          </cell>
          <cell r="F44">
            <v>0.649210307564422</v>
          </cell>
          <cell r="G44">
            <v>6.6815670000000003</v>
          </cell>
          <cell r="H44">
            <v>3.4053156146179403E-2</v>
          </cell>
          <cell r="I44">
            <v>6.5652749999999997</v>
          </cell>
          <cell r="J44">
            <v>3.32225913621262E-2</v>
          </cell>
          <cell r="K44">
            <v>9.4770230000000009</v>
          </cell>
          <cell r="L44">
            <v>5.7908383751080303E-2</v>
          </cell>
          <cell r="M44">
            <v>9.4770230000000009</v>
          </cell>
          <cell r="N44">
            <v>5.7908383751080303E-2</v>
          </cell>
          <cell r="O44">
            <v>71.356823000000006</v>
          </cell>
          <cell r="P44">
            <v>0.494773519163763</v>
          </cell>
          <cell r="Q44">
            <v>71.356823000000006</v>
          </cell>
          <cell r="R44">
            <v>0.494773519163763</v>
          </cell>
          <cell r="S44">
            <v>51.758566999999999</v>
          </cell>
          <cell r="T44">
            <v>0.38359788359788299</v>
          </cell>
          <cell r="U44">
            <v>28.346031</v>
          </cell>
          <cell r="V44">
            <v>0.16490299823633101</v>
          </cell>
        </row>
        <row r="45">
          <cell r="A45" t="str">
            <v>002702</v>
          </cell>
          <cell r="B45">
            <v>454.25</v>
          </cell>
          <cell r="C45">
            <v>1.2027890000000001</v>
          </cell>
          <cell r="D45">
            <v>1.1111111111111099E-2</v>
          </cell>
          <cell r="E45">
            <v>1.2027890000000001</v>
          </cell>
          <cell r="F45">
            <v>1.1111111111111099E-2</v>
          </cell>
          <cell r="G45">
            <v>2.313358</v>
          </cell>
          <cell r="H45">
            <v>6.6079295154184998E-3</v>
          </cell>
          <cell r="I45">
            <v>2.313358</v>
          </cell>
          <cell r="J45">
            <v>6.6079295154184998E-3</v>
          </cell>
          <cell r="K45">
            <v>483.50999899999999</v>
          </cell>
          <cell r="L45">
            <v>1.5868131868131801</v>
          </cell>
          <cell r="M45">
            <v>416.86908399999999</v>
          </cell>
          <cell r="N45">
            <v>1.55824175824175</v>
          </cell>
          <cell r="O45">
            <v>39.316409999999998</v>
          </cell>
          <cell r="P45">
            <v>0.20175438596491199</v>
          </cell>
          <cell r="Q45">
            <v>38.709795</v>
          </cell>
          <cell r="R45">
            <v>0.199561403508771</v>
          </cell>
          <cell r="S45">
            <v>68.012921000000006</v>
          </cell>
          <cell r="T45">
            <v>0.23348017621145301</v>
          </cell>
          <cell r="U45">
            <v>6.4074879999999999</v>
          </cell>
          <cell r="V45">
            <v>3.5242290748898598E-2</v>
          </cell>
        </row>
        <row r="46">
          <cell r="A46" t="str">
            <v>002703</v>
          </cell>
          <cell r="B46">
            <v>2138.6666660000001</v>
          </cell>
          <cell r="C46">
            <v>15.88768</v>
          </cell>
          <cell r="D46">
            <v>9.5935727788279704E-2</v>
          </cell>
          <cell r="E46">
            <v>15.88768</v>
          </cell>
          <cell r="F46">
            <v>9.5935727788279704E-2</v>
          </cell>
          <cell r="G46">
            <v>39.942934999999999</v>
          </cell>
          <cell r="H46">
            <v>0.121836925960637</v>
          </cell>
          <cell r="I46">
            <v>38.174441999999999</v>
          </cell>
          <cell r="J46">
            <v>0.11340206185567001</v>
          </cell>
          <cell r="K46">
            <v>186.50469000000001</v>
          </cell>
          <cell r="L46">
            <v>0.70827489481065897</v>
          </cell>
          <cell r="M46">
            <v>184.957067</v>
          </cell>
          <cell r="N46">
            <v>0.69798971482000904</v>
          </cell>
          <cell r="O46">
            <v>67.468841999999995</v>
          </cell>
          <cell r="P46">
            <v>0.44988344988344903</v>
          </cell>
          <cell r="Q46">
            <v>15.614965</v>
          </cell>
          <cell r="R46">
            <v>0.158041958041958</v>
          </cell>
          <cell r="S46">
            <v>236.17818</v>
          </cell>
          <cell r="T46">
            <v>1.2150837988826799</v>
          </cell>
          <cell r="U46">
            <v>151.52809500000001</v>
          </cell>
          <cell r="V46">
            <v>1.0614525139664801</v>
          </cell>
        </row>
        <row r="47">
          <cell r="A47" t="str">
            <v>002704</v>
          </cell>
          <cell r="B47">
            <v>571.75</v>
          </cell>
          <cell r="C47">
            <v>4.7216870000000002</v>
          </cell>
          <cell r="D47">
            <v>6.2608695652173904E-2</v>
          </cell>
          <cell r="E47">
            <v>4.7216870000000002</v>
          </cell>
          <cell r="F47">
            <v>6.2608695652173904E-2</v>
          </cell>
          <cell r="G47">
            <v>3.7070569999999998</v>
          </cell>
          <cell r="H47">
            <v>2.4518388791593598E-2</v>
          </cell>
          <cell r="I47">
            <v>3.7070569999999998</v>
          </cell>
          <cell r="J47">
            <v>2.4518388791593598E-2</v>
          </cell>
          <cell r="K47">
            <v>33.148916999999997</v>
          </cell>
          <cell r="L47">
            <v>3.3333333333333298E-2</v>
          </cell>
          <cell r="M47">
            <v>1.6979230000000001</v>
          </cell>
          <cell r="N47">
            <v>1.9298245614034999E-2</v>
          </cell>
          <cell r="O47">
            <v>264.74294800000001</v>
          </cell>
          <cell r="P47">
            <v>0.32867132867132798</v>
          </cell>
          <cell r="Q47">
            <v>175.068997</v>
          </cell>
          <cell r="R47">
            <v>0.22902097902097901</v>
          </cell>
          <cell r="S47">
            <v>75.694230000000005</v>
          </cell>
          <cell r="T47">
            <v>0.13986013986013901</v>
          </cell>
          <cell r="U47">
            <v>42.335926000000001</v>
          </cell>
          <cell r="V47">
            <v>0.117132867132867</v>
          </cell>
        </row>
        <row r="48">
          <cell r="A48" t="str">
            <v>002801</v>
          </cell>
          <cell r="B48">
            <v>419.2</v>
          </cell>
          <cell r="C48">
            <v>264.26014099999998</v>
          </cell>
          <cell r="D48">
            <v>1.35224586288416</v>
          </cell>
          <cell r="E48">
            <v>263.51309700000002</v>
          </cell>
          <cell r="F48">
            <v>1.3498817966903001</v>
          </cell>
          <cell r="G48">
            <v>3403.8223159999998</v>
          </cell>
          <cell r="H48">
            <v>2.59808612440191</v>
          </cell>
          <cell r="I48">
            <v>1027.4188260000001</v>
          </cell>
          <cell r="J48">
            <v>1.7200956937798999</v>
          </cell>
          <cell r="K48">
            <v>592.55039699999998</v>
          </cell>
          <cell r="L48">
            <v>1.1121718377088301</v>
          </cell>
          <cell r="M48">
            <v>258.73902099999998</v>
          </cell>
          <cell r="N48">
            <v>0.99761336515513099</v>
          </cell>
          <cell r="O48">
            <v>3169.3213129999999</v>
          </cell>
          <cell r="P48">
            <v>2.4014423076922999</v>
          </cell>
          <cell r="Q48">
            <v>129.84411</v>
          </cell>
          <cell r="R48">
            <v>1.14182692307692</v>
          </cell>
          <cell r="S48">
            <v>151.847499</v>
          </cell>
          <cell r="T48">
            <v>1.1595238095238001</v>
          </cell>
          <cell r="U48">
            <v>137.61535699999999</v>
          </cell>
          <cell r="V48">
            <v>1.1452380952380901</v>
          </cell>
        </row>
        <row r="49">
          <cell r="A49" t="str">
            <v>002901</v>
          </cell>
          <cell r="B49">
            <v>661.66666599999996</v>
          </cell>
          <cell r="C49">
            <v>68.874460999999997</v>
          </cell>
          <cell r="D49">
            <v>0.147517730496453</v>
          </cell>
          <cell r="E49">
            <v>68.874460999999997</v>
          </cell>
          <cell r="F49">
            <v>0.147517730496453</v>
          </cell>
          <cell r="G49">
            <v>396.24206700000002</v>
          </cell>
          <cell r="H49">
            <v>0.98725212464589196</v>
          </cell>
          <cell r="I49">
            <v>41.941817999999998</v>
          </cell>
          <cell r="J49">
            <v>0.10764872521246401</v>
          </cell>
          <cell r="K49">
            <v>434.15390200000002</v>
          </cell>
          <cell r="L49">
            <v>1.84899845916795</v>
          </cell>
          <cell r="M49">
            <v>358.38507900000002</v>
          </cell>
          <cell r="N49">
            <v>1.7642526964560801</v>
          </cell>
          <cell r="O49">
            <v>311.632901</v>
          </cell>
          <cell r="P49">
            <v>0.34542314335060398</v>
          </cell>
          <cell r="Q49">
            <v>25.187363000000001</v>
          </cell>
          <cell r="R49">
            <v>0.15716753022452501</v>
          </cell>
          <cell r="S49">
            <v>149.998287</v>
          </cell>
          <cell r="T49">
            <v>0.185238784370477</v>
          </cell>
          <cell r="U49">
            <v>60.256656999999997</v>
          </cell>
          <cell r="V49">
            <v>0.117221418234442</v>
          </cell>
        </row>
        <row r="50">
          <cell r="A50" t="str">
            <v>002902</v>
          </cell>
          <cell r="B50">
            <v>313</v>
          </cell>
          <cell r="C50">
            <v>31.421852999999999</v>
          </cell>
          <cell r="D50">
            <v>9.6153846153846104E-2</v>
          </cell>
          <cell r="E50">
            <v>31.421852999999999</v>
          </cell>
          <cell r="F50">
            <v>9.6153846153846104E-2</v>
          </cell>
          <cell r="G50">
            <v>84.807919999999996</v>
          </cell>
          <cell r="H50">
            <v>0.493589743589743</v>
          </cell>
          <cell r="I50">
            <v>84.807919999999996</v>
          </cell>
          <cell r="J50">
            <v>0.493589743589743</v>
          </cell>
          <cell r="K50">
            <v>519.00316099999998</v>
          </cell>
          <cell r="L50">
            <v>1.8681672025723399</v>
          </cell>
          <cell r="M50">
            <v>435.68000999999998</v>
          </cell>
          <cell r="N50">
            <v>1.80385852090032</v>
          </cell>
          <cell r="O50">
            <v>239.15918099999999</v>
          </cell>
          <cell r="P50">
            <v>0.34394904458598702</v>
          </cell>
          <cell r="Q50">
            <v>59.403874000000002</v>
          </cell>
          <cell r="R50">
            <v>0.28025477707006302</v>
          </cell>
          <cell r="S50">
            <v>83.048782000000003</v>
          </cell>
          <cell r="T50">
            <v>0.38095238095237999</v>
          </cell>
          <cell r="U50">
            <v>45.385342999999999</v>
          </cell>
          <cell r="V50">
            <v>0.32698412698412599</v>
          </cell>
        </row>
        <row r="51">
          <cell r="A51" t="str">
            <v>002903</v>
          </cell>
          <cell r="B51">
            <v>158.88888800000001</v>
          </cell>
          <cell r="C51">
            <v>15.40066</v>
          </cell>
          <cell r="D51">
            <v>7.59493670886075E-2</v>
          </cell>
          <cell r="E51">
            <v>15.40066</v>
          </cell>
          <cell r="F51">
            <v>7.59493670886075E-2</v>
          </cell>
          <cell r="G51">
            <v>49.623068000000004</v>
          </cell>
          <cell r="H51">
            <v>0.26751592356687798</v>
          </cell>
          <cell r="I51">
            <v>32.831457999999998</v>
          </cell>
          <cell r="J51">
            <v>0.210191082802547</v>
          </cell>
          <cell r="K51">
            <v>827.12830099999996</v>
          </cell>
          <cell r="L51">
            <v>2.4465408805031399</v>
          </cell>
          <cell r="M51">
            <v>701.08396200000004</v>
          </cell>
          <cell r="N51">
            <v>2.38993710691823</v>
          </cell>
          <cell r="O51">
            <v>290.04843599999998</v>
          </cell>
          <cell r="P51">
            <v>0.53125</v>
          </cell>
          <cell r="Q51">
            <v>53.948124</v>
          </cell>
          <cell r="R51">
            <v>0.4</v>
          </cell>
          <cell r="S51">
            <v>425.55406199999999</v>
          </cell>
          <cell r="T51">
            <v>1.65625</v>
          </cell>
          <cell r="U51">
            <v>260.17062499999997</v>
          </cell>
          <cell r="V51">
            <v>1.6</v>
          </cell>
        </row>
        <row r="52">
          <cell r="A52" t="str">
            <v>002904</v>
          </cell>
          <cell r="B52">
            <v>38.428570999999998</v>
          </cell>
          <cell r="C52">
            <v>802.333527</v>
          </cell>
          <cell r="D52">
            <v>2.5</v>
          </cell>
          <cell r="E52">
            <v>802.333527</v>
          </cell>
          <cell r="F52">
            <v>2.5</v>
          </cell>
          <cell r="G52">
            <v>27.449249999999999</v>
          </cell>
          <cell r="H52">
            <v>5.8823529411764698E-2</v>
          </cell>
          <cell r="I52">
            <v>5.8519600000000001</v>
          </cell>
          <cell r="J52">
            <v>2.94117647058823E-2</v>
          </cell>
          <cell r="K52">
            <v>2057.3441170000001</v>
          </cell>
          <cell r="L52">
            <v>10.647058823529401</v>
          </cell>
          <cell r="M52">
            <v>2057.3441170000001</v>
          </cell>
          <cell r="N52">
            <v>10.647058823529401</v>
          </cell>
          <cell r="O52">
            <v>14.393939</v>
          </cell>
          <cell r="P52">
            <v>9.0909090909090898E-2</v>
          </cell>
          <cell r="Q52">
            <v>14.393939</v>
          </cell>
          <cell r="R52">
            <v>9.0909090909090898E-2</v>
          </cell>
          <cell r="S52">
            <v>18.252939999999999</v>
          </cell>
          <cell r="T52">
            <v>3.9215686274509803E-2</v>
          </cell>
          <cell r="U52">
            <v>3.25915</v>
          </cell>
          <cell r="V52">
            <v>1.9607843137254902E-2</v>
          </cell>
        </row>
        <row r="53">
          <cell r="A53" t="str">
            <v>003001</v>
          </cell>
          <cell r="B53">
            <v>208.33333300000001</v>
          </cell>
          <cell r="C53">
            <v>115.16252</v>
          </cell>
          <cell r="D53">
            <v>0.96172248803827698</v>
          </cell>
          <cell r="E53">
            <v>115.16252</v>
          </cell>
          <cell r="F53">
            <v>0.96172248803827698</v>
          </cell>
          <cell r="G53">
            <v>5148.5644229999998</v>
          </cell>
          <cell r="H53">
            <v>4.6442307692307603</v>
          </cell>
          <cell r="I53">
            <v>569.31507499999998</v>
          </cell>
          <cell r="J53">
            <v>2.4423076923076898</v>
          </cell>
          <cell r="K53">
            <v>2178.5818239999999</v>
          </cell>
          <cell r="L53">
            <v>2.0047619047618999</v>
          </cell>
          <cell r="M53">
            <v>780.144047</v>
          </cell>
          <cell r="N53">
            <v>1.4952380952380899</v>
          </cell>
          <cell r="O53">
            <v>653.19206599999995</v>
          </cell>
          <cell r="P53">
            <v>2.4375</v>
          </cell>
          <cell r="Q53">
            <v>488.17540000000002</v>
          </cell>
          <cell r="R53">
            <v>2.375</v>
          </cell>
          <cell r="S53">
            <v>136.67278400000001</v>
          </cell>
          <cell r="T53">
            <v>0.376811594202898</v>
          </cell>
          <cell r="U53">
            <v>90.589371</v>
          </cell>
          <cell r="V53">
            <v>0.19323671497584499</v>
          </cell>
        </row>
        <row r="54">
          <cell r="A54" t="str">
            <v>003102</v>
          </cell>
          <cell r="B54">
            <v>1283.4000000000001</v>
          </cell>
          <cell r="C54">
            <v>287.19552099999999</v>
          </cell>
          <cell r="D54">
            <v>1.0630284396617899</v>
          </cell>
          <cell r="E54">
            <v>102.29513300000001</v>
          </cell>
          <cell r="F54">
            <v>0.86010760953112897</v>
          </cell>
          <cell r="G54">
            <v>1044.143026</v>
          </cell>
          <cell r="H54">
            <v>1.88440651667959</v>
          </cell>
          <cell r="I54">
            <v>71.255348999999995</v>
          </cell>
          <cell r="J54">
            <v>0.40961986035686498</v>
          </cell>
          <cell r="K54">
            <v>1955.225604</v>
          </cell>
          <cell r="L54">
            <v>3.9367681498829001</v>
          </cell>
          <cell r="M54">
            <v>187.504436</v>
          </cell>
          <cell r="N54">
            <v>1.3341139734582299</v>
          </cell>
          <cell r="O54">
            <v>664.20523200000002</v>
          </cell>
          <cell r="P54">
            <v>2.1769772905246598</v>
          </cell>
          <cell r="Q54">
            <v>245.346384</v>
          </cell>
          <cell r="R54">
            <v>1.6523101018010899</v>
          </cell>
          <cell r="S54">
            <v>1831.3086940000001</v>
          </cell>
          <cell r="T54">
            <v>3.1970055161544502</v>
          </cell>
          <cell r="U54">
            <v>74.361307999999994</v>
          </cell>
          <cell r="V54">
            <v>0.592592592592592</v>
          </cell>
        </row>
        <row r="55">
          <cell r="A55" t="str">
            <v>003501</v>
          </cell>
          <cell r="B55">
            <v>1296.25</v>
          </cell>
          <cell r="C55">
            <v>37.723666999999999</v>
          </cell>
          <cell r="D55">
            <v>0.23747108712413201</v>
          </cell>
          <cell r="E55">
            <v>37.723666999999999</v>
          </cell>
          <cell r="F55">
            <v>0.23747108712413201</v>
          </cell>
          <cell r="G55">
            <v>786.35389199999997</v>
          </cell>
          <cell r="H55">
            <v>1.8612181958365399</v>
          </cell>
          <cell r="I55">
            <v>147.567387</v>
          </cell>
          <cell r="J55">
            <v>1.07016191210485</v>
          </cell>
          <cell r="K55">
            <v>120.010216</v>
          </cell>
          <cell r="L55">
            <v>0.297318007662835</v>
          </cell>
          <cell r="M55">
            <v>5.762937</v>
          </cell>
          <cell r="N55">
            <v>9.27203065134099E-2</v>
          </cell>
          <cell r="O55">
            <v>483.40354600000001</v>
          </cell>
          <cell r="P55">
            <v>1.41189931350114</v>
          </cell>
          <cell r="Q55">
            <v>479.94301999999999</v>
          </cell>
          <cell r="R55">
            <v>1.39435545385202</v>
          </cell>
          <cell r="S55">
            <v>225.970088</v>
          </cell>
          <cell r="T55">
            <v>1.2702485966319099</v>
          </cell>
          <cell r="U55">
            <v>225.970088</v>
          </cell>
          <cell r="V55">
            <v>1.2702485966319099</v>
          </cell>
        </row>
        <row r="56">
          <cell r="A56" t="str">
            <v>003502</v>
          </cell>
          <cell r="B56">
            <v>1697</v>
          </cell>
          <cell r="C56">
            <v>13.889718</v>
          </cell>
          <cell r="D56">
            <v>9.6153846153846104E-2</v>
          </cell>
          <cell r="E56">
            <v>11.123371000000001</v>
          </cell>
          <cell r="F56">
            <v>6.9347319347319303E-2</v>
          </cell>
          <cell r="G56">
            <v>28.382695999999999</v>
          </cell>
          <cell r="H56">
            <v>0.23103850641773599</v>
          </cell>
          <cell r="I56">
            <v>25.607877999999999</v>
          </cell>
          <cell r="J56">
            <v>0.21820303383897299</v>
          </cell>
          <cell r="K56">
            <v>56.510964000000001</v>
          </cell>
          <cell r="L56">
            <v>0.110526315789473</v>
          </cell>
          <cell r="M56">
            <v>44.851520000000001</v>
          </cell>
          <cell r="N56">
            <v>0.101754385964912</v>
          </cell>
          <cell r="O56">
            <v>460.810406</v>
          </cell>
          <cell r="P56">
            <v>1.2998826291079799</v>
          </cell>
          <cell r="Q56">
            <v>459.78845799999999</v>
          </cell>
          <cell r="R56">
            <v>1.2987089201877899</v>
          </cell>
          <cell r="S56">
            <v>5.890371</v>
          </cell>
          <cell r="T56">
            <v>9.3845216331505096E-2</v>
          </cell>
          <cell r="U56">
            <v>5.7051590000000001</v>
          </cell>
          <cell r="V56">
            <v>9.3235831809871994E-2</v>
          </cell>
        </row>
        <row r="57">
          <cell r="A57" t="str">
            <v>003503</v>
          </cell>
          <cell r="B57">
            <v>1613.375</v>
          </cell>
          <cell r="C57">
            <v>4.6907759999999996</v>
          </cell>
          <cell r="D57">
            <v>5.4254007398273699E-2</v>
          </cell>
          <cell r="E57">
            <v>4.6907759999999996</v>
          </cell>
          <cell r="F57">
            <v>5.4254007398273699E-2</v>
          </cell>
          <cell r="G57">
            <v>10.267701000000001</v>
          </cell>
          <cell r="H57">
            <v>0.10276923076923</v>
          </cell>
          <cell r="I57">
            <v>10.267701000000001</v>
          </cell>
          <cell r="J57">
            <v>0.10276923076923</v>
          </cell>
          <cell r="K57">
            <v>63.354821000000001</v>
          </cell>
          <cell r="L57">
            <v>0.126535626535626</v>
          </cell>
          <cell r="M57">
            <v>5.9323300000000003</v>
          </cell>
          <cell r="N57">
            <v>2.8255528255528201E-2</v>
          </cell>
          <cell r="O57">
            <v>594.64178800000002</v>
          </cell>
          <cell r="P57">
            <v>2.21104294478527</v>
          </cell>
          <cell r="Q57">
            <v>519.83866999999998</v>
          </cell>
          <cell r="R57">
            <v>2.1368098159509201</v>
          </cell>
          <cell r="S57">
            <v>12.741369000000001</v>
          </cell>
          <cell r="T57">
            <v>0.13676844783715</v>
          </cell>
          <cell r="U57">
            <v>12.388930999999999</v>
          </cell>
          <cell r="V57">
            <v>0.13613231552162799</v>
          </cell>
        </row>
        <row r="58">
          <cell r="A58" t="str">
            <v>003506</v>
          </cell>
          <cell r="B58">
            <v>735.55555500000003</v>
          </cell>
          <cell r="C58">
            <v>64.196537000000006</v>
          </cell>
          <cell r="D58">
            <v>0.27056277056277001</v>
          </cell>
          <cell r="E58">
            <v>64.196537000000006</v>
          </cell>
          <cell r="F58">
            <v>0.27056277056277001</v>
          </cell>
          <cell r="G58">
            <v>192.72519</v>
          </cell>
          <cell r="H58">
            <v>0.75869565217391299</v>
          </cell>
          <cell r="I58">
            <v>86.257727000000003</v>
          </cell>
          <cell r="J58">
            <v>0.46956521739130402</v>
          </cell>
          <cell r="K58">
            <v>377.85360400000002</v>
          </cell>
          <cell r="L58">
            <v>1.37306843267108</v>
          </cell>
          <cell r="M58">
            <v>368.52652599999999</v>
          </cell>
          <cell r="N58">
            <v>1.3598233995584901</v>
          </cell>
          <cell r="O58">
            <v>332.00745499999999</v>
          </cell>
          <cell r="P58">
            <v>1.83059210526315</v>
          </cell>
          <cell r="Q58">
            <v>289.01998300000002</v>
          </cell>
          <cell r="R58">
            <v>1.7417763157894699</v>
          </cell>
          <cell r="S58">
            <v>193.089933</v>
          </cell>
          <cell r="T58">
            <v>1.67329910141206</v>
          </cell>
          <cell r="U58">
            <v>171.35383999999999</v>
          </cell>
          <cell r="V58">
            <v>1.57317073170731</v>
          </cell>
        </row>
        <row r="59">
          <cell r="A59" t="str">
            <v>003701</v>
          </cell>
          <cell r="B59">
            <v>1129</v>
          </cell>
          <cell r="C59">
            <v>94.016793000000007</v>
          </cell>
          <cell r="D59">
            <v>0.19380530973451299</v>
          </cell>
          <cell r="E59">
            <v>27.393176</v>
          </cell>
          <cell r="F59">
            <v>0.16283185840707901</v>
          </cell>
          <cell r="G59">
            <v>22.908332000000001</v>
          </cell>
          <cell r="H59">
            <v>2.7457927369353399E-2</v>
          </cell>
          <cell r="I59">
            <v>6.5206150000000003</v>
          </cell>
          <cell r="J59">
            <v>2.21434898139946E-2</v>
          </cell>
          <cell r="K59">
            <v>998.60816299999999</v>
          </cell>
          <cell r="L59">
            <v>0.54561558901682905</v>
          </cell>
          <cell r="M59">
            <v>79.984160000000003</v>
          </cell>
          <cell r="N59">
            <v>0.27900797165633301</v>
          </cell>
          <cell r="O59">
            <v>82.228134999999995</v>
          </cell>
          <cell r="P59">
            <v>0.117383512544802</v>
          </cell>
          <cell r="Q59">
            <v>17.487290000000002</v>
          </cell>
          <cell r="R59">
            <v>9.0501792114695306E-2</v>
          </cell>
          <cell r="S59">
            <v>67.575737000000004</v>
          </cell>
          <cell r="T59">
            <v>0.61262050832602899</v>
          </cell>
          <cell r="U59">
            <v>28.577432000000002</v>
          </cell>
          <cell r="V59">
            <v>0.16126205083260201</v>
          </cell>
        </row>
        <row r="60">
          <cell r="A60" t="str">
            <v>003702</v>
          </cell>
          <cell r="B60">
            <v>961.125</v>
          </cell>
          <cell r="C60">
            <v>71.945409999999995</v>
          </cell>
          <cell r="D60">
            <v>0.23432682425488099</v>
          </cell>
          <cell r="E60">
            <v>71.945409999999995</v>
          </cell>
          <cell r="F60">
            <v>0.23432682425488099</v>
          </cell>
          <cell r="G60">
            <v>49.491126000000001</v>
          </cell>
          <cell r="H60">
            <v>0.202479338842975</v>
          </cell>
          <cell r="I60">
            <v>49.491126000000001</v>
          </cell>
          <cell r="J60">
            <v>0.202479338842975</v>
          </cell>
          <cell r="K60">
            <v>181.12062599999999</v>
          </cell>
          <cell r="L60">
            <v>0.39462809917355302</v>
          </cell>
          <cell r="M60">
            <v>83.863738999999995</v>
          </cell>
          <cell r="N60">
            <v>0.35330578512396599</v>
          </cell>
          <cell r="O60">
            <v>174.07646500000001</v>
          </cell>
          <cell r="P60">
            <v>0.57955742887249695</v>
          </cell>
          <cell r="Q60">
            <v>169.71819400000001</v>
          </cell>
          <cell r="R60">
            <v>0.57744994731296095</v>
          </cell>
          <cell r="S60">
            <v>98.050521000000003</v>
          </cell>
          <cell r="T60">
            <v>0.31138975966562099</v>
          </cell>
          <cell r="U60">
            <v>42.281765</v>
          </cell>
          <cell r="V60">
            <v>0.230929989550679</v>
          </cell>
        </row>
        <row r="61">
          <cell r="A61" t="str">
            <v>003703</v>
          </cell>
          <cell r="B61">
            <v>1389.4</v>
          </cell>
          <cell r="C61">
            <v>128.90061</v>
          </cell>
          <cell r="D61">
            <v>0.56702508960573395</v>
          </cell>
          <cell r="E61">
            <v>119.189919</v>
          </cell>
          <cell r="F61">
            <v>0.37777777777777699</v>
          </cell>
          <cell r="G61">
            <v>199.41460799999999</v>
          </cell>
          <cell r="H61">
            <v>0.65832737669764096</v>
          </cell>
          <cell r="I61">
            <v>155.61041</v>
          </cell>
          <cell r="J61">
            <v>0.55825589706933498</v>
          </cell>
          <cell r="K61">
            <v>316.26072499999998</v>
          </cell>
          <cell r="L61">
            <v>0.54831782390837502</v>
          </cell>
          <cell r="M61">
            <v>93.227738000000002</v>
          </cell>
          <cell r="N61">
            <v>0.41302791696492402</v>
          </cell>
          <cell r="O61">
            <v>166.51592400000001</v>
          </cell>
          <cell r="P61">
            <v>0.43941605839415998</v>
          </cell>
          <cell r="Q61">
            <v>151.89621600000001</v>
          </cell>
          <cell r="R61">
            <v>0.43065693430656898</v>
          </cell>
          <cell r="S61">
            <v>24.736640000000001</v>
          </cell>
          <cell r="T61">
            <v>0.124819624819624</v>
          </cell>
          <cell r="U61">
            <v>23.712084999999998</v>
          </cell>
          <cell r="V61">
            <v>0.124098124098124</v>
          </cell>
        </row>
        <row r="62">
          <cell r="A62" t="str">
            <v>003801</v>
          </cell>
          <cell r="B62">
            <v>1096.875</v>
          </cell>
          <cell r="C62">
            <v>690.87702100000001</v>
          </cell>
          <cell r="D62">
            <v>1.0878316559926799</v>
          </cell>
          <cell r="E62">
            <v>92.175453000000005</v>
          </cell>
          <cell r="F62">
            <v>0.64684354986276305</v>
          </cell>
          <cell r="G62">
            <v>619.227712</v>
          </cell>
          <cell r="H62">
            <v>0.69672131147540906</v>
          </cell>
          <cell r="I62">
            <v>27.389509</v>
          </cell>
          <cell r="J62">
            <v>0.11111111111111099</v>
          </cell>
          <cell r="K62">
            <v>789.20313799999997</v>
          </cell>
          <cell r="L62">
            <v>4.43144424131627</v>
          </cell>
          <cell r="M62">
            <v>789.20313799999997</v>
          </cell>
          <cell r="N62">
            <v>4.43144424131627</v>
          </cell>
          <cell r="O62">
            <v>57.509950000000003</v>
          </cell>
          <cell r="P62">
            <v>0.25457875457875401</v>
          </cell>
          <cell r="Q62">
            <v>56.267550999999997</v>
          </cell>
          <cell r="R62">
            <v>0.25366300366300298</v>
          </cell>
          <cell r="S62">
            <v>37.994917000000001</v>
          </cell>
          <cell r="T62">
            <v>0.201793721973094</v>
          </cell>
          <cell r="U62">
            <v>37.994917000000001</v>
          </cell>
          <cell r="V62">
            <v>0.201793721973094</v>
          </cell>
        </row>
        <row r="63">
          <cell r="A63" t="str">
            <v>003802</v>
          </cell>
          <cell r="B63">
            <v>686.22222199999999</v>
          </cell>
          <cell r="C63">
            <v>152.06306599999999</v>
          </cell>
          <cell r="D63">
            <v>0.55555555555555503</v>
          </cell>
          <cell r="E63">
            <v>39.472676</v>
          </cell>
          <cell r="F63">
            <v>0.34722222222222199</v>
          </cell>
          <cell r="G63">
            <v>61.871896999999997</v>
          </cell>
          <cell r="H63">
            <v>8.4745762711864403E-2</v>
          </cell>
          <cell r="I63">
            <v>28.961822999999999</v>
          </cell>
          <cell r="J63">
            <v>6.0734463276836098E-2</v>
          </cell>
          <cell r="K63">
            <v>527.48740499999997</v>
          </cell>
          <cell r="L63">
            <v>1.7161016949152501</v>
          </cell>
          <cell r="M63">
            <v>363.742796</v>
          </cell>
          <cell r="N63">
            <v>1.56497175141242</v>
          </cell>
          <cell r="O63">
            <v>140.22969000000001</v>
          </cell>
          <cell r="P63">
            <v>1.27714285714285</v>
          </cell>
          <cell r="Q63">
            <v>131.20719</v>
          </cell>
          <cell r="R63">
            <v>1.22714285714285</v>
          </cell>
          <cell r="S63">
            <v>43.364403000000003</v>
          </cell>
          <cell r="T63">
            <v>0.11574074074074001</v>
          </cell>
          <cell r="U63">
            <v>43.364403000000003</v>
          </cell>
          <cell r="V63">
            <v>0.11574074074074001</v>
          </cell>
        </row>
        <row r="64">
          <cell r="A64" t="str">
            <v>003803</v>
          </cell>
          <cell r="B64">
            <v>925.4</v>
          </cell>
          <cell r="C64">
            <v>300.917013</v>
          </cell>
          <cell r="D64">
            <v>0.73399999999999999</v>
          </cell>
          <cell r="E64">
            <v>88.870716999999999</v>
          </cell>
          <cell r="F64">
            <v>0.45400000000000001</v>
          </cell>
          <cell r="G64">
            <v>66.059111999999999</v>
          </cell>
          <cell r="H64">
            <v>4.0384615384615297E-2</v>
          </cell>
          <cell r="I64">
            <v>1.5775239999999999</v>
          </cell>
          <cell r="J64">
            <v>3.8461538461538399E-3</v>
          </cell>
          <cell r="K64">
            <v>1894.8494209999999</v>
          </cell>
          <cell r="L64">
            <v>2.17613089509143</v>
          </cell>
          <cell r="M64">
            <v>299.89797800000002</v>
          </cell>
          <cell r="N64">
            <v>1.1414821944177</v>
          </cell>
          <cell r="O64">
            <v>126.059248</v>
          </cell>
          <cell r="P64">
            <v>0.52575315840621895</v>
          </cell>
          <cell r="Q64">
            <v>78.246080000000006</v>
          </cell>
          <cell r="R64">
            <v>0.39358600583090297</v>
          </cell>
          <cell r="S64">
            <v>147.21813800000001</v>
          </cell>
          <cell r="T64">
            <v>0.29833169774288498</v>
          </cell>
          <cell r="U64">
            <v>5.7353120000000004</v>
          </cell>
          <cell r="V64">
            <v>5.3974484789008799E-2</v>
          </cell>
        </row>
        <row r="65">
          <cell r="A65" t="str">
            <v>003901</v>
          </cell>
          <cell r="B65">
            <v>1789.8</v>
          </cell>
          <cell r="C65">
            <v>2342.7303619999998</v>
          </cell>
          <cell r="D65">
            <v>2.1749136939010301</v>
          </cell>
          <cell r="E65">
            <v>160.19562099999999</v>
          </cell>
          <cell r="F65">
            <v>1.18642117376294</v>
          </cell>
          <cell r="G65">
            <v>144.38390699999999</v>
          </cell>
          <cell r="H65">
            <v>0.643433179723502</v>
          </cell>
          <cell r="I65">
            <v>75.302671000000004</v>
          </cell>
          <cell r="J65">
            <v>0.62384792626728103</v>
          </cell>
          <cell r="K65">
            <v>2143.7532409999999</v>
          </cell>
          <cell r="L65">
            <v>1.2723112128146401</v>
          </cell>
          <cell r="M65">
            <v>78.417467000000002</v>
          </cell>
          <cell r="N65">
            <v>0.33237986270022801</v>
          </cell>
          <cell r="O65">
            <v>439.323373</v>
          </cell>
          <cell r="P65">
            <v>3.1780185758513899</v>
          </cell>
          <cell r="Q65">
            <v>425.32118100000002</v>
          </cell>
          <cell r="R65">
            <v>3.1341589267285799</v>
          </cell>
          <cell r="S65">
            <v>311.86291199999999</v>
          </cell>
          <cell r="T65">
            <v>1.36556735606484</v>
          </cell>
          <cell r="U65">
            <v>302.95351199999999</v>
          </cell>
          <cell r="V65">
            <v>1.3482392397987699</v>
          </cell>
        </row>
        <row r="66">
          <cell r="A66" t="str">
            <v>003902</v>
          </cell>
          <cell r="B66">
            <v>1423.4</v>
          </cell>
          <cell r="C66">
            <v>5540.9072210000004</v>
          </cell>
          <cell r="D66">
            <v>1.68450704225352</v>
          </cell>
          <cell r="E66">
            <v>45.11083</v>
          </cell>
          <cell r="F66">
            <v>0.66830985915492902</v>
          </cell>
          <cell r="G66">
            <v>869.58842000000004</v>
          </cell>
          <cell r="H66">
            <v>3.0140056022408901</v>
          </cell>
          <cell r="I66">
            <v>120.40631</v>
          </cell>
          <cell r="J66">
            <v>1.3970588235294099</v>
          </cell>
          <cell r="K66">
            <v>551.84508800000003</v>
          </cell>
          <cell r="L66">
            <v>3.1547116736990102</v>
          </cell>
          <cell r="M66">
            <v>183.48197300000001</v>
          </cell>
          <cell r="N66">
            <v>2.1540084388185599</v>
          </cell>
          <cell r="O66">
            <v>121.565547</v>
          </cell>
          <cell r="P66">
            <v>1.79860139860139</v>
          </cell>
          <cell r="Q66">
            <v>120.984953</v>
          </cell>
          <cell r="R66">
            <v>1.76993006993006</v>
          </cell>
          <cell r="S66">
            <v>892.23187399999995</v>
          </cell>
          <cell r="T66">
            <v>2.2251235003528498</v>
          </cell>
          <cell r="U66">
            <v>891.73432100000002</v>
          </cell>
          <cell r="V66">
            <v>2.2244177840508099</v>
          </cell>
        </row>
        <row r="67">
          <cell r="A67" t="str">
            <v>004101</v>
          </cell>
          <cell r="B67">
            <v>362.25</v>
          </cell>
          <cell r="C67">
            <v>16.535893000000002</v>
          </cell>
          <cell r="D67">
            <v>0.116343490304709</v>
          </cell>
          <cell r="E67">
            <v>16.535893000000002</v>
          </cell>
          <cell r="F67">
            <v>0.116343490304709</v>
          </cell>
          <cell r="G67">
            <v>14.030030999999999</v>
          </cell>
          <cell r="H67">
            <v>1.6483516483516401E-2</v>
          </cell>
          <cell r="I67">
            <v>4.7978180000000004</v>
          </cell>
          <cell r="J67">
            <v>1.09890109890109E-2</v>
          </cell>
          <cell r="K67">
            <v>809.93631700000003</v>
          </cell>
          <cell r="L67">
            <v>1.08815426997245</v>
          </cell>
          <cell r="M67">
            <v>690.219605</v>
          </cell>
          <cell r="N67">
            <v>1.0495867768595</v>
          </cell>
          <cell r="O67">
            <v>142.92836</v>
          </cell>
          <cell r="P67">
            <v>0.19613259668508201</v>
          </cell>
          <cell r="Q67">
            <v>25.737200000000001</v>
          </cell>
          <cell r="R67">
            <v>0.14088397790055199</v>
          </cell>
          <cell r="S67">
            <v>7.250928</v>
          </cell>
          <cell r="T67">
            <v>0.10306406685236701</v>
          </cell>
          <cell r="U67">
            <v>7.250928</v>
          </cell>
          <cell r="V67">
            <v>0.10306406685236701</v>
          </cell>
        </row>
        <row r="68">
          <cell r="A68" t="str">
            <v>004102</v>
          </cell>
          <cell r="B68">
            <v>1675.2</v>
          </cell>
          <cell r="C68">
            <v>148.49853100000001</v>
          </cell>
          <cell r="D68">
            <v>0.69142512077294604</v>
          </cell>
          <cell r="E68">
            <v>140.162171</v>
          </cell>
          <cell r="F68">
            <v>0.64794685990338097</v>
          </cell>
          <cell r="G68">
            <v>365.81627500000002</v>
          </cell>
          <cell r="H68">
            <v>0.42941874258600199</v>
          </cell>
          <cell r="I68">
            <v>45.934282000000003</v>
          </cell>
          <cell r="J68">
            <v>0.35527876631079403</v>
          </cell>
          <cell r="K68">
            <v>1070.8127119999999</v>
          </cell>
          <cell r="L68">
            <v>2.7181926278240098</v>
          </cell>
          <cell r="M68">
            <v>851.32879500000001</v>
          </cell>
          <cell r="N68">
            <v>2.5850178359096301</v>
          </cell>
          <cell r="O68">
            <v>924.12994100000003</v>
          </cell>
          <cell r="P68">
            <v>1.8090422367638299</v>
          </cell>
          <cell r="Q68">
            <v>210.330467</v>
          </cell>
          <cell r="R68">
            <v>1.13622843545508</v>
          </cell>
          <cell r="S68">
            <v>427.449321</v>
          </cell>
          <cell r="T68">
            <v>1.24117295032914</v>
          </cell>
          <cell r="U68">
            <v>205.58726300000001</v>
          </cell>
          <cell r="V68">
            <v>1.01735487731897</v>
          </cell>
        </row>
        <row r="69">
          <cell r="A69" t="str">
            <v>004201</v>
          </cell>
          <cell r="B69">
            <v>333.42857099999998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359.45681200000001</v>
          </cell>
          <cell r="H69">
            <v>1.07784431137724</v>
          </cell>
          <cell r="I69">
            <v>345.703485</v>
          </cell>
          <cell r="J69">
            <v>1.0718562874251401</v>
          </cell>
          <cell r="K69">
            <v>742.90540599999997</v>
          </cell>
          <cell r="L69">
            <v>1.12797619047619</v>
          </cell>
          <cell r="M69">
            <v>78.362351000000004</v>
          </cell>
          <cell r="N69">
            <v>0.63392857142857095</v>
          </cell>
          <cell r="O69">
            <v>1988.212125</v>
          </cell>
          <cell r="P69">
            <v>0.79341317365269404</v>
          </cell>
          <cell r="Q69">
            <v>77.845858000000007</v>
          </cell>
          <cell r="R69">
            <v>0.17664670658682599</v>
          </cell>
          <cell r="S69">
            <v>245.07796500000001</v>
          </cell>
          <cell r="T69">
            <v>1.9171779141104199</v>
          </cell>
          <cell r="U69">
            <v>245.07796500000001</v>
          </cell>
          <cell r="V69">
            <v>1.9171779141104199</v>
          </cell>
        </row>
        <row r="70">
          <cell r="A70" t="str">
            <v>004501</v>
          </cell>
          <cell r="B70">
            <v>1038.777777</v>
          </cell>
          <cell r="C70">
            <v>189.65182799999999</v>
          </cell>
          <cell r="D70">
            <v>1.48620361560418</v>
          </cell>
          <cell r="E70">
            <v>189.65182799999999</v>
          </cell>
          <cell r="F70">
            <v>1.48620361560418</v>
          </cell>
          <cell r="G70">
            <v>1181.780317</v>
          </cell>
          <cell r="H70">
            <v>6.7992315081652199</v>
          </cell>
          <cell r="I70">
            <v>328.65020099999998</v>
          </cell>
          <cell r="J70">
            <v>2.2929875120076799</v>
          </cell>
          <cell r="K70">
            <v>63.507638</v>
          </cell>
          <cell r="L70">
            <v>0.43992248062015499</v>
          </cell>
          <cell r="M70">
            <v>40.135835999999998</v>
          </cell>
          <cell r="N70">
            <v>0.43023255813953398</v>
          </cell>
          <cell r="O70">
            <v>228.13371900000001</v>
          </cell>
          <cell r="P70">
            <v>0.55888030888030804</v>
          </cell>
          <cell r="Q70">
            <v>222.871509</v>
          </cell>
          <cell r="R70">
            <v>0.55598455598455498</v>
          </cell>
          <cell r="S70">
            <v>470.86450200000002</v>
          </cell>
          <cell r="T70">
            <v>1.2124999999999899</v>
          </cell>
          <cell r="U70">
            <v>126.45556000000001</v>
          </cell>
          <cell r="V70">
            <v>0.200961538461538</v>
          </cell>
        </row>
        <row r="71">
          <cell r="A71" t="str">
            <v>004502</v>
          </cell>
          <cell r="B71">
            <v>1537.1111109999999</v>
          </cell>
          <cell r="C71">
            <v>288.35019399999999</v>
          </cell>
          <cell r="D71">
            <v>1.8080415045395499</v>
          </cell>
          <cell r="E71">
            <v>288.35019399999999</v>
          </cell>
          <cell r="F71">
            <v>1.8080415045395499</v>
          </cell>
          <cell r="G71">
            <v>707.66641900000002</v>
          </cell>
          <cell r="H71">
            <v>4.56744487678339</v>
          </cell>
          <cell r="I71">
            <v>526.27313100000003</v>
          </cell>
          <cell r="J71">
            <v>4.5097276264591404</v>
          </cell>
          <cell r="K71">
            <v>352.15816999999998</v>
          </cell>
          <cell r="L71">
            <v>1.14304291287386</v>
          </cell>
          <cell r="M71">
            <v>42.001831000000003</v>
          </cell>
          <cell r="N71">
            <v>0.12808842652795799</v>
          </cell>
          <cell r="O71">
            <v>741.58655899999997</v>
          </cell>
          <cell r="P71">
            <v>2.3983050847457599</v>
          </cell>
          <cell r="Q71">
            <v>684.76877400000001</v>
          </cell>
          <cell r="R71">
            <v>2.36505867014341</v>
          </cell>
          <cell r="S71">
            <v>189.240567</v>
          </cell>
          <cell r="T71">
            <v>0.64360313315926798</v>
          </cell>
          <cell r="U71">
            <v>56.308289000000002</v>
          </cell>
          <cell r="V71">
            <v>0.434073107049608</v>
          </cell>
        </row>
        <row r="72">
          <cell r="A72" t="str">
            <v>004503</v>
          </cell>
          <cell r="B72">
            <v>943.88888799999995</v>
          </cell>
          <cell r="C72">
            <v>143.65243899999999</v>
          </cell>
          <cell r="D72">
            <v>1.2448512585812299</v>
          </cell>
          <cell r="E72">
            <v>143.65243899999999</v>
          </cell>
          <cell r="F72">
            <v>1.2448512585812299</v>
          </cell>
          <cell r="G72">
            <v>599.70342200000005</v>
          </cell>
          <cell r="H72">
            <v>2.3684210526315699</v>
          </cell>
          <cell r="I72">
            <v>579.20670199999995</v>
          </cell>
          <cell r="J72">
            <v>2.25171624713958</v>
          </cell>
          <cell r="K72">
            <v>1000.006518</v>
          </cell>
          <cell r="L72">
            <v>2.4292035398229999</v>
          </cell>
          <cell r="M72">
            <v>261.46498500000001</v>
          </cell>
          <cell r="N72">
            <v>1.9221238938053</v>
          </cell>
          <cell r="O72">
            <v>289.46016700000001</v>
          </cell>
          <cell r="P72">
            <v>1.6734362307067401</v>
          </cell>
          <cell r="Q72">
            <v>188.38015100000001</v>
          </cell>
          <cell r="R72">
            <v>1.59951259138911</v>
          </cell>
          <cell r="S72">
            <v>175.54911899999999</v>
          </cell>
          <cell r="T72">
            <v>1.5832656376929299</v>
          </cell>
          <cell r="U72">
            <v>104.68643299999999</v>
          </cell>
          <cell r="V72">
            <v>0.497969130787977</v>
          </cell>
        </row>
        <row r="73">
          <cell r="A73" t="str">
            <v>004504</v>
          </cell>
          <cell r="B73">
            <v>1373.4</v>
          </cell>
          <cell r="C73">
            <v>162.55398</v>
          </cell>
          <cell r="D73">
            <v>2.1761904761904698</v>
          </cell>
          <cell r="E73">
            <v>150.94315499999999</v>
          </cell>
          <cell r="F73">
            <v>2.1353741496598602</v>
          </cell>
          <cell r="G73">
            <v>858.54039799999998</v>
          </cell>
          <cell r="H73">
            <v>2.13828337874659</v>
          </cell>
          <cell r="I73">
            <v>550.53791699999999</v>
          </cell>
          <cell r="J73">
            <v>2.0674386920980901</v>
          </cell>
          <cell r="K73">
            <v>126.948859</v>
          </cell>
          <cell r="L73">
            <v>0.72932330827067604</v>
          </cell>
          <cell r="M73">
            <v>67.747856999999996</v>
          </cell>
          <cell r="N73">
            <v>0.68270676691729304</v>
          </cell>
          <cell r="O73">
            <v>139.08825200000001</v>
          </cell>
          <cell r="P73">
            <v>0.22024729520865499</v>
          </cell>
          <cell r="Q73">
            <v>40.775320999999998</v>
          </cell>
          <cell r="R73">
            <v>0.183925811437403</v>
          </cell>
          <cell r="S73">
            <v>158.31393299999999</v>
          </cell>
          <cell r="T73">
            <v>1.2153256704980799</v>
          </cell>
          <cell r="U73">
            <v>96.199438000000001</v>
          </cell>
          <cell r="V73">
            <v>1.1586206896551701</v>
          </cell>
        </row>
        <row r="74">
          <cell r="A74" t="str">
            <v>004601</v>
          </cell>
          <cell r="B74">
            <v>1190.4000000000001</v>
          </cell>
          <cell r="C74">
            <v>946.43456000000003</v>
          </cell>
          <cell r="D74">
            <v>1.4397993311036701</v>
          </cell>
          <cell r="E74">
            <v>925.66282100000001</v>
          </cell>
          <cell r="F74">
            <v>1.38879598662207</v>
          </cell>
          <cell r="G74">
            <v>270.26859100000001</v>
          </cell>
          <cell r="H74">
            <v>1.0876460767946501</v>
          </cell>
          <cell r="I74">
            <v>122.06555400000001</v>
          </cell>
          <cell r="J74">
            <v>0.52838063439065097</v>
          </cell>
          <cell r="K74">
            <v>1488.438641</v>
          </cell>
          <cell r="L74">
            <v>1.26588628762541</v>
          </cell>
          <cell r="M74">
            <v>109.473759</v>
          </cell>
          <cell r="N74">
            <v>0.58695652173913004</v>
          </cell>
          <cell r="O74">
            <v>426.54323399999998</v>
          </cell>
          <cell r="P74">
            <v>2.21518987341772</v>
          </cell>
          <cell r="Q74">
            <v>194.80665200000001</v>
          </cell>
          <cell r="R74">
            <v>2.0371308016877601</v>
          </cell>
          <cell r="S74">
            <v>330.82122500000003</v>
          </cell>
          <cell r="T74">
            <v>0.67459643160577698</v>
          </cell>
          <cell r="U74">
            <v>159.100155</v>
          </cell>
          <cell r="V74">
            <v>0.56839422259982997</v>
          </cell>
        </row>
        <row r="75">
          <cell r="A75" t="str">
            <v>004602</v>
          </cell>
          <cell r="B75">
            <v>863.22222199999999</v>
          </cell>
          <cell r="C75">
            <v>1077.053441</v>
          </cell>
          <cell r="D75">
            <v>3.1618497109826502</v>
          </cell>
          <cell r="E75">
            <v>1077.053441</v>
          </cell>
          <cell r="F75">
            <v>3.1618497109826502</v>
          </cell>
          <cell r="G75">
            <v>59.149932999999997</v>
          </cell>
          <cell r="H75">
            <v>0.14351851851851799</v>
          </cell>
          <cell r="I75">
            <v>55.378326000000001</v>
          </cell>
          <cell r="J75">
            <v>0.13078703703703701</v>
          </cell>
          <cell r="K75">
            <v>155.71373</v>
          </cell>
          <cell r="L75">
            <v>0.40672074159907301</v>
          </cell>
          <cell r="M75">
            <v>73.862088999999997</v>
          </cell>
          <cell r="N75">
            <v>0.316338354577056</v>
          </cell>
          <cell r="O75">
            <v>775.45335499999999</v>
          </cell>
          <cell r="P75">
            <v>1.63678696158323</v>
          </cell>
          <cell r="Q75">
            <v>115.881334</v>
          </cell>
          <cell r="R75">
            <v>1.2654249126891699</v>
          </cell>
          <cell r="S75">
            <v>131.11016100000001</v>
          </cell>
          <cell r="T75">
            <v>0.62240184757505701</v>
          </cell>
          <cell r="U75">
            <v>82.354118</v>
          </cell>
          <cell r="V75">
            <v>0.53002309468822095</v>
          </cell>
        </row>
        <row r="76">
          <cell r="A76" t="str">
            <v>004603</v>
          </cell>
          <cell r="B76">
            <v>426.66666600000002</v>
          </cell>
          <cell r="C76">
            <v>1180.6841079999999</v>
          </cell>
          <cell r="D76">
            <v>1.9112149532710201</v>
          </cell>
          <cell r="E76">
            <v>1180.6841079999999</v>
          </cell>
          <cell r="F76">
            <v>1.9112149532710201</v>
          </cell>
          <cell r="G76">
            <v>423.11962399999999</v>
          </cell>
          <cell r="H76">
            <v>0.63170163170163096</v>
          </cell>
          <cell r="I76">
            <v>4.5318690000000004</v>
          </cell>
          <cell r="J76">
            <v>3.4965034965034898E-2</v>
          </cell>
          <cell r="K76">
            <v>878.95860600000003</v>
          </cell>
          <cell r="L76">
            <v>1.22769953051643</v>
          </cell>
          <cell r="M76">
            <v>250.40942799999999</v>
          </cell>
          <cell r="N76">
            <v>0.78169014084507005</v>
          </cell>
          <cell r="O76">
            <v>1745.785914</v>
          </cell>
          <cell r="P76">
            <v>5.2441314553990601</v>
          </cell>
          <cell r="Q76">
            <v>975.94072700000004</v>
          </cell>
          <cell r="R76">
            <v>3.8356807511737001</v>
          </cell>
          <cell r="S76">
            <v>985.99090000000001</v>
          </cell>
          <cell r="T76">
            <v>2.7647058823529398</v>
          </cell>
          <cell r="U76">
            <v>551.07399899999996</v>
          </cell>
          <cell r="V76">
            <v>2.1035294117647001</v>
          </cell>
        </row>
        <row r="77">
          <cell r="A77" t="str">
            <v>004701</v>
          </cell>
          <cell r="B77">
            <v>700.6</v>
          </cell>
          <cell r="C77">
            <v>297.09268500000002</v>
          </cell>
          <cell r="D77">
            <v>1.9206798866855499</v>
          </cell>
          <cell r="E77">
            <v>195.44258099999999</v>
          </cell>
          <cell r="F77">
            <v>1.40793201133144</v>
          </cell>
          <cell r="G77">
            <v>479.691778</v>
          </cell>
          <cell r="H77">
            <v>3.3026874115983</v>
          </cell>
          <cell r="I77">
            <v>279.58422400000001</v>
          </cell>
          <cell r="J77">
            <v>2.6067892503536001</v>
          </cell>
          <cell r="K77">
            <v>3140.3255060000001</v>
          </cell>
          <cell r="L77">
            <v>2.86421499292786</v>
          </cell>
          <cell r="M77">
            <v>179.99189000000001</v>
          </cell>
          <cell r="N77">
            <v>1.09618104667609</v>
          </cell>
          <cell r="O77">
            <v>320.91020400000002</v>
          </cell>
          <cell r="P77">
            <v>2.5193133047210301</v>
          </cell>
          <cell r="Q77">
            <v>233.06776300000001</v>
          </cell>
          <cell r="R77">
            <v>1.8369098712446299</v>
          </cell>
          <cell r="S77">
            <v>1569.1915200000001</v>
          </cell>
          <cell r="T77">
            <v>3.15935672514619</v>
          </cell>
          <cell r="U77">
            <v>710.76941999999997</v>
          </cell>
          <cell r="V77">
            <v>2.3508771929824501</v>
          </cell>
        </row>
        <row r="78">
          <cell r="A78" t="str">
            <v>004702</v>
          </cell>
          <cell r="B78">
            <v>308.39999999999998</v>
          </cell>
          <cell r="C78">
            <v>2337.6275569999998</v>
          </cell>
          <cell r="D78">
            <v>2.9953917050691201</v>
          </cell>
          <cell r="E78">
            <v>209.77671699999999</v>
          </cell>
          <cell r="F78">
            <v>1.7834101382488401</v>
          </cell>
          <cell r="G78">
            <v>434.97852999999998</v>
          </cell>
          <cell r="H78">
            <v>2.22911694510739</v>
          </cell>
          <cell r="I78">
            <v>336.94771300000002</v>
          </cell>
          <cell r="J78">
            <v>1.9737470167064399</v>
          </cell>
          <cell r="K78">
            <v>749.94636700000001</v>
          </cell>
          <cell r="L78">
            <v>4.7215496368038696</v>
          </cell>
          <cell r="M78">
            <v>567.68256599999995</v>
          </cell>
          <cell r="N78">
            <v>3.9515738498789301</v>
          </cell>
          <cell r="O78">
            <v>195.79186899999999</v>
          </cell>
          <cell r="P78">
            <v>1.1764705882352899</v>
          </cell>
          <cell r="Q78">
            <v>152.08071799999999</v>
          </cell>
          <cell r="R78">
            <v>0.97794117647058798</v>
          </cell>
          <cell r="S78">
            <v>1104.6021559999999</v>
          </cell>
          <cell r="T78">
            <v>2.96470588235294</v>
          </cell>
          <cell r="U78">
            <v>948.528235</v>
          </cell>
          <cell r="V78">
            <v>2.9058823529411701</v>
          </cell>
        </row>
        <row r="79">
          <cell r="A79" t="str">
            <v>004703</v>
          </cell>
          <cell r="B79">
            <v>1202</v>
          </cell>
          <cell r="C79">
            <v>1572.240955</v>
          </cell>
          <cell r="D79">
            <v>2.2236363636363601</v>
          </cell>
          <cell r="E79">
            <v>287.51747799999998</v>
          </cell>
          <cell r="F79">
            <v>0.95363636363636295</v>
          </cell>
          <cell r="G79">
            <v>145.84725299999999</v>
          </cell>
          <cell r="H79">
            <v>0.57864710676446596</v>
          </cell>
          <cell r="I79">
            <v>135.09170700000001</v>
          </cell>
          <cell r="J79">
            <v>0.51915240423797804</v>
          </cell>
          <cell r="K79">
            <v>3225.4239950000001</v>
          </cell>
          <cell r="L79">
            <v>2.8322475570032499</v>
          </cell>
          <cell r="M79">
            <v>43.320588999999998</v>
          </cell>
          <cell r="N79">
            <v>0.275244299674267</v>
          </cell>
          <cell r="O79">
            <v>457.06938200000002</v>
          </cell>
          <cell r="P79">
            <v>3.0741646291768499</v>
          </cell>
          <cell r="Q79">
            <v>252.483183</v>
          </cell>
          <cell r="R79">
            <v>1.9902200488997499</v>
          </cell>
          <cell r="S79">
            <v>2077.6672090000002</v>
          </cell>
          <cell r="T79">
            <v>2.7817589576547199</v>
          </cell>
          <cell r="U79">
            <v>970.37524399999995</v>
          </cell>
          <cell r="V79">
            <v>2.1872964169381102</v>
          </cell>
        </row>
        <row r="80">
          <cell r="A80" t="str">
            <v>004801</v>
          </cell>
          <cell r="B80">
            <v>546.6</v>
          </cell>
          <cell r="C80">
            <v>5896.1213369999996</v>
          </cell>
          <cell r="D80">
            <v>3.24</v>
          </cell>
          <cell r="E80">
            <v>98.344239000000002</v>
          </cell>
          <cell r="F80">
            <v>1.712</v>
          </cell>
          <cell r="G80">
            <v>1726.2494240000001</v>
          </cell>
          <cell r="H80">
            <v>2.5008976660682198</v>
          </cell>
          <cell r="I80">
            <v>327.06573700000001</v>
          </cell>
          <cell r="J80">
            <v>1.91741472172351</v>
          </cell>
          <cell r="K80">
            <v>5247.359152</v>
          </cell>
          <cell r="L80">
            <v>3.6243291592128801</v>
          </cell>
          <cell r="M80">
            <v>381.57501400000001</v>
          </cell>
          <cell r="N80">
            <v>2.48837209302325</v>
          </cell>
          <cell r="O80">
            <v>1455.4269039999999</v>
          </cell>
          <cell r="P80">
            <v>0.78928571428571404</v>
          </cell>
          <cell r="Q80">
            <v>56.627052999999997</v>
          </cell>
          <cell r="R80">
            <v>0.29107142857142798</v>
          </cell>
          <cell r="S80">
            <v>177.34814399999999</v>
          </cell>
          <cell r="T80">
            <v>2.6606822262118399</v>
          </cell>
          <cell r="U80">
            <v>173.256134</v>
          </cell>
          <cell r="V80">
            <v>2.6373429084380602</v>
          </cell>
        </row>
        <row r="81">
          <cell r="A81" t="str">
            <v>004802</v>
          </cell>
          <cell r="B81">
            <v>490</v>
          </cell>
          <cell r="C81">
            <v>2649.1580399999998</v>
          </cell>
          <cell r="D81">
            <v>1.12915851272015</v>
          </cell>
          <cell r="E81">
            <v>47.332825999999997</v>
          </cell>
          <cell r="F81">
            <v>0.45792563600782699</v>
          </cell>
          <cell r="G81">
            <v>1428.7486249999999</v>
          </cell>
          <cell r="H81">
            <v>1.73372781065088</v>
          </cell>
          <cell r="I81">
            <v>335.12678099999999</v>
          </cell>
          <cell r="J81">
            <v>1.3214990138067</v>
          </cell>
          <cell r="K81">
            <v>4472.0134770000004</v>
          </cell>
          <cell r="L81">
            <v>3.8875739644970402</v>
          </cell>
          <cell r="M81">
            <v>473.01906600000001</v>
          </cell>
          <cell r="N81">
            <v>2.5996055226824399</v>
          </cell>
          <cell r="O81">
            <v>464.19765100000001</v>
          </cell>
          <cell r="P81">
            <v>1.01984126984126</v>
          </cell>
          <cell r="Q81">
            <v>151.56001900000001</v>
          </cell>
          <cell r="R81">
            <v>0.84523809523809501</v>
          </cell>
          <cell r="S81">
            <v>511.60391800000002</v>
          </cell>
          <cell r="T81">
            <v>2.42755344418052</v>
          </cell>
          <cell r="U81">
            <v>115.62850299999999</v>
          </cell>
          <cell r="V81">
            <v>1.37529691211401</v>
          </cell>
        </row>
        <row r="82">
          <cell r="A82" t="str">
            <v>005001</v>
          </cell>
          <cell r="B82">
            <v>1</v>
          </cell>
          <cell r="C82">
            <v>97</v>
          </cell>
          <cell r="D82">
            <v>1</v>
          </cell>
          <cell r="E82">
            <v>97</v>
          </cell>
          <cell r="F82">
            <v>1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175.316666</v>
          </cell>
          <cell r="P82">
            <v>1</v>
          </cell>
          <cell r="Q82">
            <v>175.316666</v>
          </cell>
          <cell r="R82">
            <v>1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A83" t="str">
            <v>005201</v>
          </cell>
          <cell r="B83">
            <v>1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894</v>
          </cell>
          <cell r="H83">
            <v>2</v>
          </cell>
          <cell r="I83">
            <v>894</v>
          </cell>
          <cell r="J83">
            <v>2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A84" t="str">
            <v>005401</v>
          </cell>
          <cell r="B84">
            <v>1918</v>
          </cell>
          <cell r="C84">
            <v>330.25626799999998</v>
          </cell>
          <cell r="D84">
            <v>2.0981308411214901</v>
          </cell>
          <cell r="E84">
            <v>304.20528400000001</v>
          </cell>
          <cell r="F84">
            <v>2.0784008307372699</v>
          </cell>
          <cell r="G84">
            <v>114.259034</v>
          </cell>
          <cell r="H84">
            <v>1.18537590113285</v>
          </cell>
          <cell r="I84">
            <v>94.65146</v>
          </cell>
          <cell r="J84">
            <v>1.17198764160659</v>
          </cell>
          <cell r="K84">
            <v>422.57879400000002</v>
          </cell>
          <cell r="L84">
            <v>1.4708612686952001</v>
          </cell>
          <cell r="M84">
            <v>343.94781599999999</v>
          </cell>
          <cell r="N84">
            <v>1.3285198555956601</v>
          </cell>
          <cell r="O84">
            <v>92.351550000000003</v>
          </cell>
          <cell r="P84">
            <v>0.29573804573804502</v>
          </cell>
          <cell r="Q84">
            <v>81.191805000000002</v>
          </cell>
          <cell r="R84">
            <v>0.288981288981288</v>
          </cell>
          <cell r="S84">
            <v>346.89222599999999</v>
          </cell>
          <cell r="T84">
            <v>0.32974717590102198</v>
          </cell>
          <cell r="U84">
            <v>50.465069999999997</v>
          </cell>
          <cell r="V84">
            <v>0.223238300161377</v>
          </cell>
        </row>
        <row r="85">
          <cell r="A85" t="str">
            <v>005402</v>
          </cell>
          <cell r="B85">
            <v>1367.8</v>
          </cell>
          <cell r="C85">
            <v>178.59329600000001</v>
          </cell>
          <cell r="D85">
            <v>0.30510948905109397</v>
          </cell>
          <cell r="E85">
            <v>37.760731</v>
          </cell>
          <cell r="F85">
            <v>0.17810218978102099</v>
          </cell>
          <cell r="G85">
            <v>486.44742300000001</v>
          </cell>
          <cell r="H85">
            <v>2.46423357664233</v>
          </cell>
          <cell r="I85">
            <v>181.03006600000001</v>
          </cell>
          <cell r="J85">
            <v>2.2518248175182398</v>
          </cell>
          <cell r="K85">
            <v>440.812453</v>
          </cell>
          <cell r="L85">
            <v>1.92352512745812</v>
          </cell>
          <cell r="M85">
            <v>437.505765</v>
          </cell>
          <cell r="N85">
            <v>1.92134013109978</v>
          </cell>
          <cell r="O85">
            <v>163.433089</v>
          </cell>
          <cell r="P85">
            <v>0.33138686131386802</v>
          </cell>
          <cell r="Q85">
            <v>119.61327199999999</v>
          </cell>
          <cell r="R85">
            <v>0.31459854014598498</v>
          </cell>
          <cell r="S85">
            <v>120.46111000000001</v>
          </cell>
          <cell r="T85">
            <v>0.26917404129793499</v>
          </cell>
          <cell r="U85">
            <v>51.904805000000003</v>
          </cell>
          <cell r="V85">
            <v>0.23230088495575199</v>
          </cell>
        </row>
        <row r="86">
          <cell r="A86" t="str">
            <v>005501</v>
          </cell>
          <cell r="B86">
            <v>1549.333333</v>
          </cell>
          <cell r="C86">
            <v>291.293316</v>
          </cell>
          <cell r="D86">
            <v>1.02699228791773</v>
          </cell>
          <cell r="E86">
            <v>291.293316</v>
          </cell>
          <cell r="F86">
            <v>1.02699228791773</v>
          </cell>
          <cell r="G86">
            <v>36.063800999999998</v>
          </cell>
          <cell r="H86">
            <v>0.114249037227214</v>
          </cell>
          <cell r="I86">
            <v>14.064958000000001</v>
          </cell>
          <cell r="J86">
            <v>8.6007702182284901E-2</v>
          </cell>
          <cell r="K86">
            <v>226.07386700000001</v>
          </cell>
          <cell r="L86">
            <v>1.18158403090792</v>
          </cell>
          <cell r="M86">
            <v>197.04226199999999</v>
          </cell>
          <cell r="N86">
            <v>1.10753380553766</v>
          </cell>
          <cell r="O86">
            <v>137.696709</v>
          </cell>
          <cell r="P86">
            <v>0.22653721682847799</v>
          </cell>
          <cell r="Q86">
            <v>36.849654000000001</v>
          </cell>
          <cell r="R86">
            <v>0.158576051779935</v>
          </cell>
          <cell r="S86">
            <v>305.41954800000002</v>
          </cell>
          <cell r="T86">
            <v>1.0546163849154699</v>
          </cell>
          <cell r="U86">
            <v>7.7830079999999997</v>
          </cell>
          <cell r="V86">
            <v>5.3315994798439501E-2</v>
          </cell>
        </row>
        <row r="87">
          <cell r="A87" t="str">
            <v>005502</v>
          </cell>
          <cell r="B87">
            <v>1428.8</v>
          </cell>
          <cell r="C87">
            <v>15.884461999999999</v>
          </cell>
          <cell r="D87">
            <v>0.172916666666666</v>
          </cell>
          <cell r="E87">
            <v>15.488179000000001</v>
          </cell>
          <cell r="F87">
            <v>0.172222222222222</v>
          </cell>
          <cell r="G87">
            <v>1997.7689909999999</v>
          </cell>
          <cell r="H87">
            <v>1.8300835654596099</v>
          </cell>
          <cell r="I87">
            <v>122.246088</v>
          </cell>
          <cell r="J87">
            <v>0.755571030640668</v>
          </cell>
          <cell r="K87">
            <v>233.39234300000001</v>
          </cell>
          <cell r="L87">
            <v>1.23739495798319</v>
          </cell>
          <cell r="M87">
            <v>206.17123000000001</v>
          </cell>
          <cell r="N87">
            <v>1.1603641456582601</v>
          </cell>
          <cell r="O87">
            <v>36.392645000000002</v>
          </cell>
          <cell r="P87">
            <v>0.24419422941590399</v>
          </cell>
          <cell r="Q87">
            <v>32.162714000000001</v>
          </cell>
          <cell r="R87">
            <v>0.24067558057705801</v>
          </cell>
          <cell r="S87">
            <v>11.276297</v>
          </cell>
          <cell r="T87">
            <v>6.9062720225510896E-2</v>
          </cell>
          <cell r="U87">
            <v>10.230338</v>
          </cell>
          <cell r="V87">
            <v>6.5539112050739895E-2</v>
          </cell>
        </row>
        <row r="88">
          <cell r="A88" t="str">
            <v>005601</v>
          </cell>
          <cell r="B88">
            <v>1396.6</v>
          </cell>
          <cell r="C88">
            <v>336.76710800000001</v>
          </cell>
          <cell r="D88">
            <v>0.63498920086392996</v>
          </cell>
          <cell r="E88">
            <v>97.033615999999995</v>
          </cell>
          <cell r="F88">
            <v>0.42548596112310999</v>
          </cell>
          <cell r="G88">
            <v>171.913915</v>
          </cell>
          <cell r="H88">
            <v>0.31148696264975301</v>
          </cell>
          <cell r="I88">
            <v>46.144759000000001</v>
          </cell>
          <cell r="J88">
            <v>0.14658210007047201</v>
          </cell>
          <cell r="K88">
            <v>3351.177072</v>
          </cell>
          <cell r="L88">
            <v>5.8419560595322402</v>
          </cell>
          <cell r="M88">
            <v>1089.9450979999999</v>
          </cell>
          <cell r="N88">
            <v>4.3224663359319599</v>
          </cell>
          <cell r="O88">
            <v>458.55845199999999</v>
          </cell>
          <cell r="P88">
            <v>2.171469740634</v>
          </cell>
          <cell r="Q88">
            <v>456.67338999999998</v>
          </cell>
          <cell r="R88">
            <v>2.1657060518731899</v>
          </cell>
          <cell r="S88">
            <v>78.067671000000004</v>
          </cell>
          <cell r="T88">
            <v>0.18531976744185999</v>
          </cell>
          <cell r="U88">
            <v>39.499563000000002</v>
          </cell>
          <cell r="V88">
            <v>0.14026162790697599</v>
          </cell>
        </row>
        <row r="89">
          <cell r="A89" t="str">
            <v>005602</v>
          </cell>
          <cell r="B89">
            <v>925.11111100000005</v>
          </cell>
          <cell r="C89">
            <v>1251.5479250000001</v>
          </cell>
          <cell r="D89">
            <v>0.53655793025871701</v>
          </cell>
          <cell r="E89">
            <v>32.147233</v>
          </cell>
          <cell r="F89">
            <v>9.4488188976377896E-2</v>
          </cell>
          <cell r="G89">
            <v>40.182676000000001</v>
          </cell>
          <cell r="H89">
            <v>0.49099099099098997</v>
          </cell>
          <cell r="I89">
            <v>28.511081999999998</v>
          </cell>
          <cell r="J89">
            <v>0.45045045045045001</v>
          </cell>
          <cell r="K89">
            <v>2870.6290650000001</v>
          </cell>
          <cell r="L89">
            <v>6.2770199370409197</v>
          </cell>
          <cell r="M89">
            <v>611.84048600000006</v>
          </cell>
          <cell r="N89">
            <v>2.7922350472192998</v>
          </cell>
          <cell r="O89">
            <v>11.776460999999999</v>
          </cell>
          <cell r="P89">
            <v>3.3402922755741103E-2</v>
          </cell>
          <cell r="Q89">
            <v>8.3694500000000005</v>
          </cell>
          <cell r="R89">
            <v>2.2964509394572001E-2</v>
          </cell>
          <cell r="S89">
            <v>470.76552600000002</v>
          </cell>
          <cell r="T89">
            <v>2.0336842105263102</v>
          </cell>
          <cell r="U89">
            <v>470.76552600000002</v>
          </cell>
          <cell r="V89">
            <v>2.0336842105263102</v>
          </cell>
        </row>
        <row r="90">
          <cell r="A90" t="str">
            <v>005701</v>
          </cell>
          <cell r="B90">
            <v>1188.5555549999999</v>
          </cell>
          <cell r="C90">
            <v>52.586294000000002</v>
          </cell>
          <cell r="D90">
            <v>0.167926112510495</v>
          </cell>
          <cell r="E90">
            <v>23.738239</v>
          </cell>
          <cell r="F90">
            <v>0.15617128463475999</v>
          </cell>
          <cell r="G90">
            <v>206.34938299999999</v>
          </cell>
          <cell r="H90">
            <v>0.59293523969722395</v>
          </cell>
          <cell r="I90">
            <v>206.34938299999999</v>
          </cell>
          <cell r="J90">
            <v>0.59293523969722395</v>
          </cell>
          <cell r="K90">
            <v>297.04846500000002</v>
          </cell>
          <cell r="L90">
            <v>0.59581589958158898</v>
          </cell>
          <cell r="M90">
            <v>178.232789</v>
          </cell>
          <cell r="N90">
            <v>0.56317991631799103</v>
          </cell>
          <cell r="O90">
            <v>422.61200600000001</v>
          </cell>
          <cell r="P90">
            <v>0.72466216216216195</v>
          </cell>
          <cell r="Q90">
            <v>160.03576799999999</v>
          </cell>
          <cell r="R90">
            <v>0.33361486486486402</v>
          </cell>
          <cell r="S90">
            <v>541.71907299999998</v>
          </cell>
          <cell r="T90">
            <v>0.55658783783783705</v>
          </cell>
          <cell r="U90">
            <v>275.99498799999998</v>
          </cell>
          <cell r="V90">
            <v>0.40793918918918898</v>
          </cell>
        </row>
        <row r="91">
          <cell r="A91" t="str">
            <v>005702</v>
          </cell>
          <cell r="B91">
            <v>1451.6666660000001</v>
          </cell>
          <cell r="C91">
            <v>250.38447199999999</v>
          </cell>
          <cell r="D91">
            <v>0.14639175257731901</v>
          </cell>
          <cell r="E91">
            <v>16.444365999999999</v>
          </cell>
          <cell r="F91">
            <v>6.4604810996563497E-2</v>
          </cell>
          <cell r="G91">
            <v>117.35238699999999</v>
          </cell>
          <cell r="H91">
            <v>0.16894664842681201</v>
          </cell>
          <cell r="I91">
            <v>11.888083999999999</v>
          </cell>
          <cell r="J91">
            <v>7.2503419972640204E-2</v>
          </cell>
          <cell r="K91">
            <v>16.062721</v>
          </cell>
          <cell r="L91">
            <v>7.5914423740510606E-2</v>
          </cell>
          <cell r="M91">
            <v>16.062721</v>
          </cell>
          <cell r="N91">
            <v>7.5914423740510606E-2</v>
          </cell>
          <cell r="O91">
            <v>154.86599899999999</v>
          </cell>
          <cell r="P91">
            <v>0.350344827586206</v>
          </cell>
          <cell r="Q91">
            <v>84.602688999999998</v>
          </cell>
          <cell r="R91">
            <v>0.30965517241379298</v>
          </cell>
          <cell r="S91">
            <v>102.81045399999999</v>
          </cell>
          <cell r="T91">
            <v>0.21721027064538501</v>
          </cell>
          <cell r="U91">
            <v>52.923270000000002</v>
          </cell>
          <cell r="V91">
            <v>0.13393476752255301</v>
          </cell>
        </row>
        <row r="92">
          <cell r="A92" t="str">
            <v>005703</v>
          </cell>
          <cell r="B92">
            <v>1442.625</v>
          </cell>
          <cell r="C92">
            <v>22.065234</v>
          </cell>
          <cell r="D92">
            <v>7.01030927835051E-2</v>
          </cell>
          <cell r="E92">
            <v>22.065234</v>
          </cell>
          <cell r="F92">
            <v>7.01030927835051E-2</v>
          </cell>
          <cell r="G92">
            <v>93.462356999999997</v>
          </cell>
          <cell r="H92">
            <v>0.48163548163548098</v>
          </cell>
          <cell r="I92">
            <v>85.582455999999993</v>
          </cell>
          <cell r="J92">
            <v>0.47747747747747699</v>
          </cell>
          <cell r="K92">
            <v>15.952969</v>
          </cell>
          <cell r="L92">
            <v>5.5478502080443803E-2</v>
          </cell>
          <cell r="M92">
            <v>15.594255</v>
          </cell>
          <cell r="N92">
            <v>5.2704576976421599E-2</v>
          </cell>
          <cell r="O92">
            <v>218.445311</v>
          </cell>
          <cell r="P92">
            <v>1.93472222222222</v>
          </cell>
          <cell r="Q92">
            <v>99.352452999999997</v>
          </cell>
          <cell r="R92">
            <v>1.34513888888888</v>
          </cell>
          <cell r="S92">
            <v>28.571795999999999</v>
          </cell>
          <cell r="T92">
            <v>1.04247910863509</v>
          </cell>
          <cell r="U92">
            <v>28.571795999999999</v>
          </cell>
          <cell r="V92">
            <v>1.04247910863509</v>
          </cell>
        </row>
        <row r="93">
          <cell r="A93" t="str">
            <v>005801</v>
          </cell>
          <cell r="B93">
            <v>739.33333300000004</v>
          </cell>
          <cell r="C93">
            <v>9.6347179999999994</v>
          </cell>
          <cell r="D93">
            <v>6.0483870967741903E-2</v>
          </cell>
          <cell r="E93">
            <v>9.6347179999999994</v>
          </cell>
          <cell r="F93">
            <v>6.0483870967741903E-2</v>
          </cell>
          <cell r="G93">
            <v>51.930607999999999</v>
          </cell>
          <cell r="H93">
            <v>0.15902964959568699</v>
          </cell>
          <cell r="I93">
            <v>51.608378999999999</v>
          </cell>
          <cell r="J93">
            <v>0.15768194070080799</v>
          </cell>
          <cell r="K93">
            <v>36.599527000000002</v>
          </cell>
          <cell r="L93">
            <v>0.19298245614035001</v>
          </cell>
          <cell r="M93">
            <v>22.662168000000001</v>
          </cell>
          <cell r="N93">
            <v>0.186234817813765</v>
          </cell>
          <cell r="O93">
            <v>75.816868999999997</v>
          </cell>
          <cell r="P93">
            <v>0.51420838971583205</v>
          </cell>
          <cell r="Q93">
            <v>60.334753999999997</v>
          </cell>
          <cell r="R93">
            <v>0.49932341001353098</v>
          </cell>
          <cell r="S93">
            <v>297.93790300000001</v>
          </cell>
          <cell r="T93">
            <v>0.55388813096862199</v>
          </cell>
          <cell r="U93">
            <v>44.254069999999999</v>
          </cell>
          <cell r="V93">
            <v>0.29877216916780303</v>
          </cell>
        </row>
        <row r="94">
          <cell r="A94" t="str">
            <v>005802</v>
          </cell>
          <cell r="B94">
            <v>562.875</v>
          </cell>
          <cell r="C94">
            <v>0.85420799999999997</v>
          </cell>
          <cell r="D94">
            <v>7.0796460176991097E-3</v>
          </cell>
          <cell r="E94">
            <v>0.85420799999999997</v>
          </cell>
          <cell r="F94">
            <v>7.0796460176991097E-3</v>
          </cell>
          <cell r="G94">
            <v>22.258497999999999</v>
          </cell>
          <cell r="H94">
            <v>0.159574468085106</v>
          </cell>
          <cell r="I94">
            <v>22.258497999999999</v>
          </cell>
          <cell r="J94">
            <v>0.159574468085106</v>
          </cell>
          <cell r="K94">
            <v>261.03468900000001</v>
          </cell>
          <cell r="L94">
            <v>0.99646017699114997</v>
          </cell>
          <cell r="M94">
            <v>150.25802300000001</v>
          </cell>
          <cell r="N94">
            <v>0.821238938053097</v>
          </cell>
          <cell r="O94">
            <v>299.73982699999999</v>
          </cell>
          <cell r="P94">
            <v>0.62811387900355797</v>
          </cell>
          <cell r="Q94">
            <v>77.357680000000002</v>
          </cell>
          <cell r="R94">
            <v>0.45373665480427</v>
          </cell>
          <cell r="S94">
            <v>195.58217099999999</v>
          </cell>
          <cell r="T94">
            <v>0.36428571428571399</v>
          </cell>
          <cell r="U94">
            <v>41.667529000000002</v>
          </cell>
          <cell r="V94">
            <v>0.24107142857142799</v>
          </cell>
        </row>
        <row r="95">
          <cell r="A95" t="str">
            <v>006101</v>
          </cell>
          <cell r="B95">
            <v>101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721.15973499999996</v>
          </cell>
          <cell r="P95">
            <v>1.93069306930693</v>
          </cell>
          <cell r="Q95">
            <v>673.72640200000001</v>
          </cell>
          <cell r="R95">
            <v>0.93069306930692997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A96" t="str">
            <v>006103</v>
          </cell>
          <cell r="B96">
            <v>9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80.881480999999994</v>
          </cell>
          <cell r="P96">
            <v>1.1111111111111101</v>
          </cell>
          <cell r="Q96">
            <v>32.881481000000001</v>
          </cell>
          <cell r="R96">
            <v>0.11111111111111099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A97" t="str">
            <v>006104</v>
          </cell>
          <cell r="B97">
            <v>166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1.3485940000000001</v>
          </cell>
          <cell r="L97">
            <v>6.0240963855421603E-3</v>
          </cell>
          <cell r="M97">
            <v>1.3485940000000001</v>
          </cell>
          <cell r="N97">
            <v>6.0240963855421603E-3</v>
          </cell>
          <cell r="O97">
            <v>166.40662499999999</v>
          </cell>
          <cell r="P97">
            <v>1.99999999999999</v>
          </cell>
          <cell r="Q97">
            <v>118.871987</v>
          </cell>
          <cell r="R97">
            <v>0.99397590361445698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8">
          <cell r="A98" t="str">
            <v>006105</v>
          </cell>
          <cell r="B98">
            <v>2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48</v>
          </cell>
          <cell r="P98">
            <v>1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</row>
        <row r="99">
          <cell r="A99" t="str">
            <v>006106</v>
          </cell>
          <cell r="B99">
            <v>41.25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231.346396</v>
          </cell>
          <cell r="L99">
            <v>1.0270270270270201</v>
          </cell>
          <cell r="M99">
            <v>231.346396</v>
          </cell>
          <cell r="N99">
            <v>1.0270270270270201</v>
          </cell>
          <cell r="O99">
            <v>184.30394699999999</v>
          </cell>
          <cell r="P99">
            <v>1.4736842105263099</v>
          </cell>
          <cell r="Q99">
            <v>136.50394700000001</v>
          </cell>
          <cell r="R99">
            <v>0.47368421052631499</v>
          </cell>
          <cell r="S99">
            <v>69.160576000000006</v>
          </cell>
          <cell r="T99">
            <v>0.65384615384615297</v>
          </cell>
          <cell r="U99">
            <v>69.160576000000006</v>
          </cell>
          <cell r="V99">
            <v>0.65384615384615297</v>
          </cell>
        </row>
        <row r="100">
          <cell r="A100" t="str">
            <v>006107</v>
          </cell>
          <cell r="B100">
            <v>119.4</v>
          </cell>
          <cell r="C100">
            <v>78.823547000000005</v>
          </cell>
          <cell r="D100">
            <v>0.61788617886178798</v>
          </cell>
          <cell r="E100">
            <v>78.823547000000005</v>
          </cell>
          <cell r="F100">
            <v>0.61788617886178798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1037.1702660000001</v>
          </cell>
          <cell r="L100">
            <v>1.1919999999999999</v>
          </cell>
          <cell r="M100">
            <v>1037.1702660000001</v>
          </cell>
          <cell r="N100">
            <v>1.1919999999999999</v>
          </cell>
          <cell r="O100">
            <v>56.348610999999998</v>
          </cell>
          <cell r="P100">
            <v>1.0916666666666599</v>
          </cell>
          <cell r="Q100">
            <v>6.7486110000000004</v>
          </cell>
          <cell r="R100">
            <v>5.83333333333333E-2</v>
          </cell>
          <cell r="S100">
            <v>26.214677999999999</v>
          </cell>
          <cell r="T100">
            <v>0.83486238532110002</v>
          </cell>
          <cell r="U100">
            <v>26.214677999999999</v>
          </cell>
          <cell r="V100">
            <v>0.83486238532110002</v>
          </cell>
        </row>
        <row r="101">
          <cell r="A101" t="str">
            <v>006108</v>
          </cell>
          <cell r="B101">
            <v>4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47.833333000000003</v>
          </cell>
          <cell r="P101">
            <v>1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2">
          <cell r="A102" t="str">
            <v>006201</v>
          </cell>
          <cell r="B102">
            <v>1271.1666660000001</v>
          </cell>
          <cell r="C102">
            <v>90.066855000000004</v>
          </cell>
          <cell r="D102">
            <v>0.62079749804534701</v>
          </cell>
          <cell r="E102">
            <v>90.066855000000004</v>
          </cell>
          <cell r="F102">
            <v>0.62079749804534701</v>
          </cell>
          <cell r="G102">
            <v>22.080546999999999</v>
          </cell>
          <cell r="H102">
            <v>8.2547169811320695E-2</v>
          </cell>
          <cell r="I102">
            <v>20.723479000000001</v>
          </cell>
          <cell r="J102">
            <v>8.0974842767295496E-2</v>
          </cell>
          <cell r="K102">
            <v>3.249142</v>
          </cell>
          <cell r="L102">
            <v>2.6920031670625399E-2</v>
          </cell>
          <cell r="M102">
            <v>3.249142</v>
          </cell>
          <cell r="N102">
            <v>2.6920031670625399E-2</v>
          </cell>
          <cell r="O102">
            <v>55.254556999999998</v>
          </cell>
          <cell r="P102">
            <v>0.96059889676910903</v>
          </cell>
          <cell r="Q102">
            <v>55.254556999999998</v>
          </cell>
          <cell r="R102">
            <v>0.96059889676910903</v>
          </cell>
          <cell r="S102">
            <v>358.42849799999999</v>
          </cell>
          <cell r="T102">
            <v>1.06446540880503</v>
          </cell>
          <cell r="U102">
            <v>358.42849799999999</v>
          </cell>
          <cell r="V102">
            <v>1.06446540880503</v>
          </cell>
        </row>
        <row r="103">
          <cell r="A103" t="str">
            <v>006202</v>
          </cell>
          <cell r="B103">
            <v>1313.4</v>
          </cell>
          <cell r="C103">
            <v>14.771141999999999</v>
          </cell>
          <cell r="D103">
            <v>5.8599695585996897E-2</v>
          </cell>
          <cell r="E103">
            <v>12.940192</v>
          </cell>
          <cell r="F103">
            <v>5.7077625570776197E-2</v>
          </cell>
          <cell r="G103">
            <v>494.46485899999999</v>
          </cell>
          <cell r="H103">
            <v>1.38905775075987</v>
          </cell>
          <cell r="I103">
            <v>251.83388400000001</v>
          </cell>
          <cell r="J103">
            <v>1.0911854103343399</v>
          </cell>
          <cell r="K103">
            <v>855.21060299999999</v>
          </cell>
          <cell r="L103">
            <v>1.1149162861491599</v>
          </cell>
          <cell r="M103">
            <v>849.23787400000003</v>
          </cell>
          <cell r="N103">
            <v>1.0898021308980199</v>
          </cell>
          <cell r="O103">
            <v>106.544194</v>
          </cell>
          <cell r="P103">
            <v>1.31021341463414</v>
          </cell>
          <cell r="Q103">
            <v>103.474428</v>
          </cell>
          <cell r="R103">
            <v>1.30868902439024</v>
          </cell>
          <cell r="S103">
            <v>109.368115</v>
          </cell>
          <cell r="T103">
            <v>0.22044241037376</v>
          </cell>
          <cell r="U103">
            <v>33.630434000000001</v>
          </cell>
          <cell r="V103">
            <v>0.167810831426392</v>
          </cell>
        </row>
        <row r="104">
          <cell r="A104" t="str">
            <v>006203</v>
          </cell>
          <cell r="B104">
            <v>102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16.675525</v>
          </cell>
          <cell r="L104">
            <v>0.153153153153153</v>
          </cell>
          <cell r="M104">
            <v>16.675525</v>
          </cell>
          <cell r="N104">
            <v>0.153153153153153</v>
          </cell>
          <cell r="O104">
            <v>99.835784000000004</v>
          </cell>
          <cell r="P104">
            <v>0.18627450980392099</v>
          </cell>
          <cell r="Q104">
            <v>99.835784000000004</v>
          </cell>
          <cell r="R104">
            <v>0.18627450980392099</v>
          </cell>
          <cell r="S104">
            <v>1.6392469999999999</v>
          </cell>
          <cell r="T104">
            <v>3.2258064516128997E-2</v>
          </cell>
          <cell r="U104">
            <v>1.6392469999999999</v>
          </cell>
          <cell r="V104">
            <v>3.2258064516128997E-2</v>
          </cell>
        </row>
        <row r="105">
          <cell r="A105" t="str">
            <v>006301</v>
          </cell>
          <cell r="B105">
            <v>1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148.183333</v>
          </cell>
          <cell r="L105">
            <v>1</v>
          </cell>
          <cell r="M105">
            <v>148.183333</v>
          </cell>
          <cell r="N105">
            <v>1</v>
          </cell>
          <cell r="O105">
            <v>114.38333299999999</v>
          </cell>
          <cell r="P105">
            <v>1</v>
          </cell>
          <cell r="Q105">
            <v>114.38333299999999</v>
          </cell>
          <cell r="R105">
            <v>1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</row>
        <row r="106">
          <cell r="A106" t="str">
            <v>006401</v>
          </cell>
          <cell r="B106">
            <v>281.375</v>
          </cell>
          <cell r="C106">
            <v>3211.011246</v>
          </cell>
          <cell r="D106">
            <v>1.53169014084507</v>
          </cell>
          <cell r="E106">
            <v>197.276186</v>
          </cell>
          <cell r="F106">
            <v>0.71126760563380198</v>
          </cell>
          <cell r="G106">
            <v>81.064815999999993</v>
          </cell>
          <cell r="H106">
            <v>0.43416370106761498</v>
          </cell>
          <cell r="I106">
            <v>81.064815999999993</v>
          </cell>
          <cell r="J106">
            <v>0.43416370106761498</v>
          </cell>
          <cell r="K106">
            <v>20.287009999999999</v>
          </cell>
          <cell r="L106">
            <v>8.5409252669039107E-2</v>
          </cell>
          <cell r="M106">
            <v>9.3793589999999991</v>
          </cell>
          <cell r="N106">
            <v>8.1850533807829098E-2</v>
          </cell>
          <cell r="O106">
            <v>156.79398699999999</v>
          </cell>
          <cell r="P106">
            <v>1.1214285714285701</v>
          </cell>
          <cell r="Q106">
            <v>156.51535699999999</v>
          </cell>
          <cell r="R106">
            <v>1.11785714285714</v>
          </cell>
          <cell r="S106">
            <v>1158.511964</v>
          </cell>
          <cell r="T106">
            <v>3.3107142857142802</v>
          </cell>
          <cell r="U106">
            <v>1158.511964</v>
          </cell>
          <cell r="V106">
            <v>3.3107142857142802</v>
          </cell>
        </row>
        <row r="107">
          <cell r="A107" t="str">
            <v>006402</v>
          </cell>
          <cell r="B107">
            <v>896</v>
          </cell>
          <cell r="C107">
            <v>1584.280722</v>
          </cell>
          <cell r="D107">
            <v>8.6051587301587293</v>
          </cell>
          <cell r="E107">
            <v>963.49289399999998</v>
          </cell>
          <cell r="F107">
            <v>5.9980158730158699</v>
          </cell>
          <cell r="G107">
            <v>138.462243</v>
          </cell>
          <cell r="H107">
            <v>1.5803842264914001</v>
          </cell>
          <cell r="I107">
            <v>137.176367</v>
          </cell>
          <cell r="J107">
            <v>1.5733063700707699</v>
          </cell>
          <cell r="K107">
            <v>18.361093</v>
          </cell>
          <cell r="L107">
            <v>0.231755424063116</v>
          </cell>
          <cell r="M107">
            <v>18.212835999999999</v>
          </cell>
          <cell r="N107">
            <v>0.22978303747534501</v>
          </cell>
          <cell r="O107">
            <v>124.695329</v>
          </cell>
          <cell r="P107">
            <v>1.0238500851788701</v>
          </cell>
          <cell r="Q107">
            <v>124.695329</v>
          </cell>
          <cell r="R107">
            <v>1.0238500851788701</v>
          </cell>
          <cell r="S107">
            <v>831.64991399999997</v>
          </cell>
          <cell r="T107">
            <v>3.0857142857142801</v>
          </cell>
          <cell r="U107">
            <v>831.64991399999997</v>
          </cell>
          <cell r="V107">
            <v>3.0857142857142801</v>
          </cell>
        </row>
        <row r="108">
          <cell r="A108" t="str">
            <v>006403</v>
          </cell>
          <cell r="B108">
            <v>1056</v>
          </cell>
          <cell r="C108">
            <v>321.18407999999999</v>
          </cell>
          <cell r="D108">
            <v>0.54536771728748801</v>
          </cell>
          <cell r="E108">
            <v>105.92225999999999</v>
          </cell>
          <cell r="F108">
            <v>0.44317096466093597</v>
          </cell>
          <cell r="G108">
            <v>153.20786899999999</v>
          </cell>
          <cell r="H108">
            <v>3.1434034416826</v>
          </cell>
          <cell r="I108">
            <v>125.70417399999999</v>
          </cell>
          <cell r="J108">
            <v>2.1300191204588899</v>
          </cell>
          <cell r="K108">
            <v>4.6986990000000004</v>
          </cell>
          <cell r="L108">
            <v>8.1826831588962798E-2</v>
          </cell>
          <cell r="M108">
            <v>4.6986990000000004</v>
          </cell>
          <cell r="N108">
            <v>8.1826831588962798E-2</v>
          </cell>
          <cell r="O108">
            <v>145.69427099999999</v>
          </cell>
          <cell r="P108">
            <v>1.21186440677966</v>
          </cell>
          <cell r="Q108">
            <v>145.69427099999999</v>
          </cell>
          <cell r="R108">
            <v>1.21186440677966</v>
          </cell>
          <cell r="S108">
            <v>543.74017900000001</v>
          </cell>
          <cell r="T108">
            <v>1.15645013723696</v>
          </cell>
          <cell r="U108">
            <v>543.74017900000001</v>
          </cell>
          <cell r="V108">
            <v>1.15645013723696</v>
          </cell>
        </row>
        <row r="109">
          <cell r="A109" t="str">
            <v>006501</v>
          </cell>
          <cell r="B109">
            <v>158.71428499999999</v>
          </cell>
          <cell r="C109">
            <v>17.279489999999999</v>
          </cell>
          <cell r="D109">
            <v>4.9382716049382699E-2</v>
          </cell>
          <cell r="E109">
            <v>17.279489999999999</v>
          </cell>
          <cell r="F109">
            <v>4.9382716049382699E-2</v>
          </cell>
          <cell r="G109">
            <v>115.262017</v>
          </cell>
          <cell r="H109">
            <v>0.32704402515723202</v>
          </cell>
          <cell r="I109">
            <v>5.4286060000000003</v>
          </cell>
          <cell r="J109">
            <v>5.0314465408804999E-2</v>
          </cell>
          <cell r="K109">
            <v>8.4347999999999992</v>
          </cell>
          <cell r="L109">
            <v>5.6603773584905599E-2</v>
          </cell>
          <cell r="M109">
            <v>8.4347999999999992</v>
          </cell>
          <cell r="N109">
            <v>5.6603773584905599E-2</v>
          </cell>
          <cell r="O109">
            <v>1.1764950000000001</v>
          </cell>
          <cell r="P109">
            <v>6.41025641025641E-3</v>
          </cell>
          <cell r="Q109">
            <v>1.1764950000000001</v>
          </cell>
          <cell r="R109">
            <v>6.41025641025641E-3</v>
          </cell>
          <cell r="S109">
            <v>543.35812099999998</v>
          </cell>
          <cell r="T109">
            <v>1.0759493670886</v>
          </cell>
          <cell r="U109">
            <v>514.64683500000001</v>
          </cell>
          <cell r="V109">
            <v>1.0632911392405</v>
          </cell>
        </row>
        <row r="110">
          <cell r="A110" t="str">
            <v>006502</v>
          </cell>
          <cell r="B110">
            <v>762</v>
          </cell>
          <cell r="C110">
            <v>1.9331659999999999</v>
          </cell>
          <cell r="D110">
            <v>5.7142857142857099E-3</v>
          </cell>
          <cell r="E110">
            <v>1.9331659999999999</v>
          </cell>
          <cell r="F110">
            <v>5.7142857142857099E-3</v>
          </cell>
          <cell r="G110">
            <v>186.05068700000001</v>
          </cell>
          <cell r="H110">
            <v>1.31329923273657</v>
          </cell>
          <cell r="I110">
            <v>184.18751599999999</v>
          </cell>
          <cell r="J110">
            <v>1.3120204603580501</v>
          </cell>
          <cell r="K110">
            <v>183.830434</v>
          </cell>
          <cell r="L110">
            <v>0.48721227621483298</v>
          </cell>
          <cell r="M110">
            <v>182.910741</v>
          </cell>
          <cell r="N110">
            <v>0.48209718670076701</v>
          </cell>
          <cell r="O110">
            <v>30.836010000000002</v>
          </cell>
          <cell r="P110">
            <v>0.37569832402234599</v>
          </cell>
          <cell r="Q110">
            <v>26.16527</v>
          </cell>
          <cell r="R110">
            <v>0.35754189944134002</v>
          </cell>
          <cell r="S110">
            <v>2082.007341</v>
          </cell>
          <cell r="T110">
            <v>2.09136420525657</v>
          </cell>
          <cell r="U110">
            <v>525.81697899999995</v>
          </cell>
          <cell r="V110">
            <v>1.1289111389236499</v>
          </cell>
        </row>
        <row r="111">
          <cell r="A111" t="str">
            <v>006601</v>
          </cell>
          <cell r="B111">
            <v>688.8</v>
          </cell>
          <cell r="C111">
            <v>184.655406</v>
          </cell>
          <cell r="D111">
            <v>1.4197530864197501</v>
          </cell>
          <cell r="E111">
            <v>166.86946699999999</v>
          </cell>
          <cell r="F111">
            <v>1.3388203017832601</v>
          </cell>
          <cell r="G111">
            <v>838.26385900000002</v>
          </cell>
          <cell r="H111">
            <v>1.84726224783861</v>
          </cell>
          <cell r="I111">
            <v>130.397368</v>
          </cell>
          <cell r="J111">
            <v>0.85878962536022996</v>
          </cell>
          <cell r="K111">
            <v>2920.3145519999998</v>
          </cell>
          <cell r="L111">
            <v>2.37463556851311</v>
          </cell>
          <cell r="M111">
            <v>79.638555999999994</v>
          </cell>
          <cell r="N111">
            <v>1.1195335276967899</v>
          </cell>
          <cell r="O111">
            <v>85.743322000000006</v>
          </cell>
          <cell r="P111">
            <v>1.09198813056379</v>
          </cell>
          <cell r="Q111">
            <v>64.904673000000003</v>
          </cell>
          <cell r="R111">
            <v>0.92433234421364896</v>
          </cell>
          <cell r="S111">
            <v>6219.3587230000003</v>
          </cell>
          <cell r="T111">
            <v>4.2481089258698903</v>
          </cell>
          <cell r="U111">
            <v>181.42397800000001</v>
          </cell>
          <cell r="V111">
            <v>1.36006051437216</v>
          </cell>
        </row>
        <row r="112">
          <cell r="A112" t="str">
            <v>006602</v>
          </cell>
          <cell r="B112">
            <v>809.11111100000005</v>
          </cell>
          <cell r="C112">
            <v>368.49303300000003</v>
          </cell>
          <cell r="D112">
            <v>1.8871733966745801</v>
          </cell>
          <cell r="E112">
            <v>368.49303300000003</v>
          </cell>
          <cell r="F112">
            <v>1.8871733966745801</v>
          </cell>
          <cell r="G112">
            <v>224.15407500000001</v>
          </cell>
          <cell r="H112">
            <v>1.1688622754491</v>
          </cell>
          <cell r="I112">
            <v>121.188568</v>
          </cell>
          <cell r="J112">
            <v>1.0946107784431101</v>
          </cell>
          <cell r="K112">
            <v>3138.5937469999999</v>
          </cell>
          <cell r="L112">
            <v>2.8407720144752702</v>
          </cell>
          <cell r="M112">
            <v>42.197969000000001</v>
          </cell>
          <cell r="N112">
            <v>0.71170084439083203</v>
          </cell>
          <cell r="O112">
            <v>24.235672999999998</v>
          </cell>
          <cell r="P112">
            <v>0.27360774818401901</v>
          </cell>
          <cell r="Q112">
            <v>18.736037</v>
          </cell>
          <cell r="R112">
            <v>0.26634382566585901</v>
          </cell>
          <cell r="S112">
            <v>1663.70162</v>
          </cell>
          <cell r="T112">
            <v>4.1301369863013599</v>
          </cell>
          <cell r="U112">
            <v>1236.1872599999999</v>
          </cell>
          <cell r="V112">
            <v>3.77534246575342</v>
          </cell>
        </row>
        <row r="113">
          <cell r="A113" t="str">
            <v>006603</v>
          </cell>
          <cell r="B113">
            <v>748.66666599999996</v>
          </cell>
          <cell r="C113">
            <v>1.58609</v>
          </cell>
          <cell r="D113">
            <v>1.1936339522546399E-2</v>
          </cell>
          <cell r="E113">
            <v>1.58609</v>
          </cell>
          <cell r="F113">
            <v>1.1936339522546399E-2</v>
          </cell>
          <cell r="G113">
            <v>502.417979</v>
          </cell>
          <cell r="H113">
            <v>0.26225165562913899</v>
          </cell>
          <cell r="I113">
            <v>5.7443080000000002</v>
          </cell>
          <cell r="J113">
            <v>1.1920529801324501E-2</v>
          </cell>
          <cell r="K113">
            <v>1325.729149</v>
          </cell>
          <cell r="L113">
            <v>1.5750332005312</v>
          </cell>
          <cell r="M113">
            <v>57.581164000000001</v>
          </cell>
          <cell r="N113">
            <v>0.57237715803452804</v>
          </cell>
          <cell r="O113">
            <v>354.40222699999998</v>
          </cell>
          <cell r="P113">
            <v>2.0106951871657701</v>
          </cell>
          <cell r="Q113">
            <v>35.308599999999998</v>
          </cell>
          <cell r="R113">
            <v>1.0106951871657699</v>
          </cell>
          <cell r="S113">
            <v>1787.779777</v>
          </cell>
          <cell r="T113">
            <v>1.44293478260869</v>
          </cell>
          <cell r="U113">
            <v>58.359442000000001</v>
          </cell>
          <cell r="V113">
            <v>0.44293478260869501</v>
          </cell>
        </row>
        <row r="114">
          <cell r="A114" t="str">
            <v>006703</v>
          </cell>
          <cell r="B114">
            <v>504.71428500000002</v>
          </cell>
          <cell r="C114">
            <v>599.69732599999998</v>
          </cell>
          <cell r="D114">
            <v>1.0492091388400699</v>
          </cell>
          <cell r="E114">
            <v>0.98523300000000003</v>
          </cell>
          <cell r="F114">
            <v>3.33919156414762E-2</v>
          </cell>
          <cell r="G114">
            <v>24.726476000000002</v>
          </cell>
          <cell r="H114">
            <v>0.111888111888111</v>
          </cell>
          <cell r="I114">
            <v>24.726476000000002</v>
          </cell>
          <cell r="J114">
            <v>0.111888111888111</v>
          </cell>
          <cell r="K114">
            <v>29.913640999999998</v>
          </cell>
          <cell r="L114">
            <v>0.13438045375218099</v>
          </cell>
          <cell r="M114">
            <v>29.913640999999998</v>
          </cell>
          <cell r="N114">
            <v>0.13438045375218099</v>
          </cell>
          <cell r="O114">
            <v>12.415844999999999</v>
          </cell>
          <cell r="P114">
            <v>6.3380281690140802E-2</v>
          </cell>
          <cell r="Q114">
            <v>12.415844999999999</v>
          </cell>
          <cell r="R114">
            <v>6.3380281690140802E-2</v>
          </cell>
          <cell r="S114">
            <v>4.2680340000000001</v>
          </cell>
          <cell r="T114">
            <v>4.3988269794721403E-2</v>
          </cell>
          <cell r="U114">
            <v>2.8788849999999999</v>
          </cell>
          <cell r="V114">
            <v>4.1055718475073298E-2</v>
          </cell>
        </row>
        <row r="115">
          <cell r="A115" t="str">
            <v>006704</v>
          </cell>
          <cell r="B115">
            <v>208.66666599999999</v>
          </cell>
          <cell r="C115">
            <v>125.984874</v>
          </cell>
          <cell r="D115">
            <v>4.2918454935622297E-2</v>
          </cell>
          <cell r="E115">
            <v>0</v>
          </cell>
          <cell r="F115">
            <v>0</v>
          </cell>
          <cell r="G115">
            <v>3.8008649999999999</v>
          </cell>
          <cell r="H115">
            <v>5.1948051948051903E-2</v>
          </cell>
          <cell r="I115">
            <v>3.8008649999999999</v>
          </cell>
          <cell r="J115">
            <v>5.1948051948051903E-2</v>
          </cell>
          <cell r="K115">
            <v>4.6809419999999999</v>
          </cell>
          <cell r="L115">
            <v>4.2194092827004199E-3</v>
          </cell>
          <cell r="M115">
            <v>4.6809419999999999</v>
          </cell>
          <cell r="N115">
            <v>4.2194092827004199E-3</v>
          </cell>
          <cell r="O115">
            <v>39.586454000000003</v>
          </cell>
          <cell r="P115">
            <v>0.86454183266932205</v>
          </cell>
          <cell r="Q115">
            <v>39.586454000000003</v>
          </cell>
          <cell r="R115">
            <v>0.86454183266932205</v>
          </cell>
          <cell r="S115">
            <v>212.088222</v>
          </cell>
          <cell r="T115">
            <v>0.96666666666666601</v>
          </cell>
          <cell r="U115">
            <v>105.321111</v>
          </cell>
          <cell r="V115">
            <v>0.50666666666666604</v>
          </cell>
        </row>
        <row r="116">
          <cell r="A116" t="str">
            <v>006705</v>
          </cell>
          <cell r="B116">
            <v>509.2</v>
          </cell>
          <cell r="C116">
            <v>21.678553000000001</v>
          </cell>
          <cell r="D116">
            <v>5.2126200274348403E-2</v>
          </cell>
          <cell r="E116">
            <v>21.678553000000001</v>
          </cell>
          <cell r="F116">
            <v>5.2126200274348403E-2</v>
          </cell>
          <cell r="G116">
            <v>0.50961100000000004</v>
          </cell>
          <cell r="H116">
            <v>4.0927694406548403E-3</v>
          </cell>
          <cell r="I116">
            <v>0.50961100000000004</v>
          </cell>
          <cell r="J116">
            <v>4.0927694406548403E-3</v>
          </cell>
          <cell r="K116">
            <v>50.609195999999997</v>
          </cell>
          <cell r="L116">
            <v>0.94822006472491904</v>
          </cell>
          <cell r="M116">
            <v>50.609195999999997</v>
          </cell>
          <cell r="N116">
            <v>0.94822006472491904</v>
          </cell>
          <cell r="O116">
            <v>6.7132899999999998</v>
          </cell>
          <cell r="P116">
            <v>0.12068965517241299</v>
          </cell>
          <cell r="Q116">
            <v>6.7132899999999998</v>
          </cell>
          <cell r="R116">
            <v>0.12068965517241299</v>
          </cell>
          <cell r="S116">
            <v>12.62792</v>
          </cell>
          <cell r="T116">
            <v>0.13675213675213599</v>
          </cell>
          <cell r="U116">
            <v>12.62792</v>
          </cell>
          <cell r="V116">
            <v>0.13675213675213599</v>
          </cell>
        </row>
        <row r="117">
          <cell r="A117" t="str">
            <v>006706</v>
          </cell>
          <cell r="B117">
            <v>2523.7777769999998</v>
          </cell>
          <cell r="C117">
            <v>1279.5950809999999</v>
          </cell>
          <cell r="D117">
            <v>1.3570300157977799</v>
          </cell>
          <cell r="E117">
            <v>29.383815999999999</v>
          </cell>
          <cell r="F117">
            <v>0.122827804107424</v>
          </cell>
          <cell r="G117">
            <v>89.747906</v>
          </cell>
          <cell r="H117">
            <v>0.392009493670886</v>
          </cell>
          <cell r="I117">
            <v>89.747906</v>
          </cell>
          <cell r="J117">
            <v>0.392009493670886</v>
          </cell>
          <cell r="K117">
            <v>37.925224</v>
          </cell>
          <cell r="L117">
            <v>9.5727848101265806E-2</v>
          </cell>
          <cell r="M117">
            <v>11.247408999999999</v>
          </cell>
          <cell r="N117">
            <v>6.5664556962025306E-2</v>
          </cell>
          <cell r="O117">
            <v>474.39948299999998</v>
          </cell>
          <cell r="P117">
            <v>0.51566838556128503</v>
          </cell>
          <cell r="Q117">
            <v>468.38446299999998</v>
          </cell>
          <cell r="R117">
            <v>0.50257834192780604</v>
          </cell>
          <cell r="S117">
            <v>194.752208</v>
          </cell>
          <cell r="T117">
            <v>0.49004777070063599</v>
          </cell>
          <cell r="U117">
            <v>63.061743</v>
          </cell>
          <cell r="V117">
            <v>0.43988853503184699</v>
          </cell>
        </row>
        <row r="118">
          <cell r="A118" t="str">
            <v>006707</v>
          </cell>
          <cell r="B118">
            <v>1532.875</v>
          </cell>
          <cell r="C118">
            <v>18.819734</v>
          </cell>
          <cell r="D118">
            <v>0.13000616142945101</v>
          </cell>
          <cell r="E118">
            <v>18.443270999999999</v>
          </cell>
          <cell r="F118">
            <v>0.12939001848428799</v>
          </cell>
          <cell r="G118">
            <v>95.360872999999998</v>
          </cell>
          <cell r="H118">
            <v>0.34363411619283002</v>
          </cell>
          <cell r="I118">
            <v>67.542325000000005</v>
          </cell>
          <cell r="J118">
            <v>0.31087762669962898</v>
          </cell>
          <cell r="K118">
            <v>7.4429540000000003</v>
          </cell>
          <cell r="L118">
            <v>6.0386473429951598E-2</v>
          </cell>
          <cell r="M118">
            <v>6.6138880000000002</v>
          </cell>
          <cell r="N118">
            <v>5.4750402576489499E-2</v>
          </cell>
          <cell r="O118">
            <v>64.703496000000001</v>
          </cell>
          <cell r="P118">
            <v>0.433705682370082</v>
          </cell>
          <cell r="Q118">
            <v>64.703496000000001</v>
          </cell>
          <cell r="R118">
            <v>0.433705682370082</v>
          </cell>
          <cell r="S118">
            <v>9.1922180000000004</v>
          </cell>
          <cell r="T118">
            <v>0.161550888529886</v>
          </cell>
          <cell r="U118">
            <v>9.1922180000000004</v>
          </cell>
          <cell r="V118">
            <v>0.161550888529886</v>
          </cell>
        </row>
        <row r="119">
          <cell r="A119" t="str">
            <v>006801</v>
          </cell>
          <cell r="B119">
            <v>564.55555500000003</v>
          </cell>
          <cell r="C119">
            <v>161.693444</v>
          </cell>
          <cell r="D119">
            <v>1.95047619047619</v>
          </cell>
          <cell r="E119">
            <v>161.693444</v>
          </cell>
          <cell r="F119">
            <v>1.95047619047619</v>
          </cell>
          <cell r="G119">
            <v>410.61041699999998</v>
          </cell>
          <cell r="H119">
            <v>1.7934027777777699</v>
          </cell>
          <cell r="I119">
            <v>186.80281500000001</v>
          </cell>
          <cell r="J119">
            <v>1.3715277777777699</v>
          </cell>
          <cell r="K119">
            <v>1335.3113519999999</v>
          </cell>
          <cell r="L119">
            <v>2.5383275261324001</v>
          </cell>
          <cell r="M119">
            <v>200.02557999999999</v>
          </cell>
          <cell r="N119">
            <v>1.3989547038327499</v>
          </cell>
          <cell r="O119">
            <v>526.97108200000002</v>
          </cell>
          <cell r="P119">
            <v>1.6342756183745499</v>
          </cell>
          <cell r="Q119">
            <v>246.51852099999999</v>
          </cell>
          <cell r="R119">
            <v>0.75441696113074197</v>
          </cell>
          <cell r="S119">
            <v>468.61957200000001</v>
          </cell>
          <cell r="T119">
            <v>2.9893238434163698</v>
          </cell>
          <cell r="U119">
            <v>143.277995</v>
          </cell>
          <cell r="V119">
            <v>2.0195729537366498</v>
          </cell>
        </row>
        <row r="120">
          <cell r="A120" t="str">
            <v>006802</v>
          </cell>
          <cell r="B120">
            <v>1633.4</v>
          </cell>
          <cell r="C120">
            <v>199.445739</v>
          </cell>
          <cell r="D120">
            <v>1.19999999999999</v>
          </cell>
          <cell r="E120">
            <v>198.478163</v>
          </cell>
          <cell r="F120">
            <v>1.1765957446808499</v>
          </cell>
          <cell r="G120">
            <v>852.19314899999995</v>
          </cell>
          <cell r="H120">
            <v>3.33369863013698</v>
          </cell>
          <cell r="I120">
            <v>553.56881799999996</v>
          </cell>
          <cell r="J120">
            <v>2.5030136986301299</v>
          </cell>
          <cell r="K120">
            <v>2265.1817110000002</v>
          </cell>
          <cell r="L120">
            <v>6.7961538461538398</v>
          </cell>
          <cell r="M120">
            <v>306.72963299999998</v>
          </cell>
          <cell r="N120">
            <v>3.6516483516483502</v>
          </cell>
          <cell r="O120">
            <v>463.41816299999999</v>
          </cell>
          <cell r="P120">
            <v>1.3344425956738699</v>
          </cell>
          <cell r="Q120">
            <v>112.18997899999999</v>
          </cell>
          <cell r="R120">
            <v>0.58402662229617297</v>
          </cell>
          <cell r="S120">
            <v>404.12097499999999</v>
          </cell>
          <cell r="T120">
            <v>3.2259696458684601</v>
          </cell>
          <cell r="U120">
            <v>233.17286799999999</v>
          </cell>
          <cell r="V120">
            <v>2.87015177065767</v>
          </cell>
        </row>
        <row r="121">
          <cell r="A121" t="str">
            <v>007101</v>
          </cell>
          <cell r="B121">
            <v>468</v>
          </cell>
          <cell r="C121">
            <v>1123.514631</v>
          </cell>
          <cell r="D121">
            <v>2.5714285714285698</v>
          </cell>
          <cell r="E121">
            <v>734.99861199999998</v>
          </cell>
          <cell r="F121">
            <v>2.3109243697478901</v>
          </cell>
          <cell r="G121">
            <v>64.230749000000003</v>
          </cell>
          <cell r="H121">
            <v>0.97008547008546997</v>
          </cell>
          <cell r="I121">
            <v>64.230749000000003</v>
          </cell>
          <cell r="J121">
            <v>0.97008547008546997</v>
          </cell>
          <cell r="K121">
            <v>296.51883099999998</v>
          </cell>
          <cell r="L121">
            <v>0.241054613935969</v>
          </cell>
          <cell r="M121">
            <v>14.031983</v>
          </cell>
          <cell r="N121">
            <v>0.12241054613935901</v>
          </cell>
          <cell r="O121">
            <v>507.219559</v>
          </cell>
          <cell r="P121">
            <v>1.0849056603773499</v>
          </cell>
          <cell r="Q121">
            <v>503.39691800000003</v>
          </cell>
          <cell r="R121">
            <v>1.06981132075471</v>
          </cell>
          <cell r="S121">
            <v>132.111954</v>
          </cell>
          <cell r="T121">
            <v>0.84293193717277404</v>
          </cell>
          <cell r="U121">
            <v>109.484031</v>
          </cell>
          <cell r="V121">
            <v>0.25654450261780098</v>
          </cell>
        </row>
        <row r="122">
          <cell r="A122" t="str">
            <v>007102</v>
          </cell>
          <cell r="B122">
            <v>858</v>
          </cell>
          <cell r="C122">
            <v>368.59195899999997</v>
          </cell>
          <cell r="D122">
            <v>0.72027972027971998</v>
          </cell>
          <cell r="E122">
            <v>141.85388</v>
          </cell>
          <cell r="F122">
            <v>0.56410256410256399</v>
          </cell>
          <cell r="G122">
            <v>85.495564999999999</v>
          </cell>
          <cell r="H122">
            <v>0.81468531468531402</v>
          </cell>
          <cell r="I122">
            <v>85.495564999999999</v>
          </cell>
          <cell r="J122">
            <v>0.81468531468531402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</row>
        <row r="123">
          <cell r="A123" t="str">
            <v>007103</v>
          </cell>
          <cell r="B123">
            <v>479</v>
          </cell>
          <cell r="C123">
            <v>190.71634</v>
          </cell>
          <cell r="D123">
            <v>0.25996204933586298</v>
          </cell>
          <cell r="E123">
            <v>18.405618</v>
          </cell>
          <cell r="F123">
            <v>0.100569259962049</v>
          </cell>
          <cell r="G123">
            <v>70.405157000000003</v>
          </cell>
          <cell r="H123">
            <v>1.15559772296015</v>
          </cell>
          <cell r="I123">
            <v>70.343740999999994</v>
          </cell>
          <cell r="J123">
            <v>1.1537001897533199</v>
          </cell>
          <cell r="K123">
            <v>177.60945699999999</v>
          </cell>
          <cell r="L123">
            <v>0.47537473233404698</v>
          </cell>
          <cell r="M123">
            <v>28.852819</v>
          </cell>
          <cell r="N123">
            <v>0.18415417558886499</v>
          </cell>
          <cell r="O123">
            <v>516.45730200000003</v>
          </cell>
          <cell r="P123">
            <v>1.1388286334056299</v>
          </cell>
          <cell r="Q123">
            <v>505.37776500000001</v>
          </cell>
          <cell r="R123">
            <v>1.07809110629067</v>
          </cell>
          <cell r="S123">
            <v>1972.9218310000001</v>
          </cell>
          <cell r="T123">
            <v>5.2058111380145196</v>
          </cell>
          <cell r="U123">
            <v>14.967352</v>
          </cell>
          <cell r="V123">
            <v>0.116222760290556</v>
          </cell>
        </row>
        <row r="124">
          <cell r="A124" t="str">
            <v>007104</v>
          </cell>
          <cell r="B124">
            <v>860.4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505.145218</v>
          </cell>
          <cell r="L124">
            <v>0.32288037166085898</v>
          </cell>
          <cell r="M124">
            <v>1.5277579999999999</v>
          </cell>
          <cell r="N124">
            <v>3.2520325203252001E-2</v>
          </cell>
          <cell r="O124">
            <v>551.17336699999998</v>
          </cell>
          <cell r="P124">
            <v>1.1587485515643099</v>
          </cell>
          <cell r="Q124">
            <v>551.03536099999997</v>
          </cell>
          <cell r="R124">
            <v>1.15643105446118</v>
          </cell>
          <cell r="S124">
            <v>363.53294299999999</v>
          </cell>
          <cell r="T124">
            <v>0.69203747072599497</v>
          </cell>
          <cell r="U124">
            <v>363.53294299999999</v>
          </cell>
          <cell r="V124">
            <v>0.69203747072599497</v>
          </cell>
        </row>
        <row r="125">
          <cell r="A125" t="str">
            <v>007302</v>
          </cell>
          <cell r="B125">
            <v>944</v>
          </cell>
          <cell r="C125">
            <v>32.194420999999998</v>
          </cell>
          <cell r="D125">
            <v>0.15368421052631501</v>
          </cell>
          <cell r="E125">
            <v>32.194420999999998</v>
          </cell>
          <cell r="F125">
            <v>0.15368421052631501</v>
          </cell>
          <cell r="G125">
            <v>150.79892699999999</v>
          </cell>
          <cell r="H125">
            <v>0.83175604626708699</v>
          </cell>
          <cell r="I125">
            <v>28.843667</v>
          </cell>
          <cell r="J125">
            <v>0.35226077812828599</v>
          </cell>
          <cell r="K125">
            <v>260.53772300000003</v>
          </cell>
          <cell r="L125">
            <v>0.164383561643835</v>
          </cell>
          <cell r="M125">
            <v>13.815875999999999</v>
          </cell>
          <cell r="N125">
            <v>7.2708113804004201E-2</v>
          </cell>
          <cell r="O125">
            <v>87.309320999999997</v>
          </cell>
          <cell r="P125">
            <v>0.28919491525423702</v>
          </cell>
          <cell r="Q125">
            <v>75.248374999999996</v>
          </cell>
          <cell r="R125">
            <v>0.241525423728813</v>
          </cell>
          <cell r="S125">
            <v>187.40478899999999</v>
          </cell>
          <cell r="T125">
            <v>1.29817007534983</v>
          </cell>
          <cell r="U125">
            <v>128.54540700000001</v>
          </cell>
          <cell r="V125">
            <v>1.19698600645855</v>
          </cell>
        </row>
        <row r="126">
          <cell r="A126" t="str">
            <v>007303</v>
          </cell>
          <cell r="B126">
            <v>693</v>
          </cell>
          <cell r="C126">
            <v>95.350830999999999</v>
          </cell>
          <cell r="D126">
            <v>0.43081312410841599</v>
          </cell>
          <cell r="E126">
            <v>92.593822000000003</v>
          </cell>
          <cell r="F126">
            <v>0.35092724679029902</v>
          </cell>
          <cell r="G126">
            <v>289.76101199999999</v>
          </cell>
          <cell r="H126">
            <v>2.1535150645624102</v>
          </cell>
          <cell r="I126">
            <v>254.03283099999999</v>
          </cell>
          <cell r="J126">
            <v>2.0789096126255302</v>
          </cell>
          <cell r="K126">
            <v>21.929165000000001</v>
          </cell>
          <cell r="L126">
            <v>0.235632183908045</v>
          </cell>
          <cell r="M126">
            <v>15.462954</v>
          </cell>
          <cell r="N126">
            <v>0.229885057471264</v>
          </cell>
          <cell r="O126">
            <v>37.688358999999998</v>
          </cell>
          <cell r="P126">
            <v>0.12121212121212099</v>
          </cell>
          <cell r="Q126">
            <v>4.1150070000000003</v>
          </cell>
          <cell r="R126">
            <v>4.9062049062049001E-2</v>
          </cell>
          <cell r="S126">
            <v>1033.152482</v>
          </cell>
          <cell r="T126">
            <v>0.55457227138642995</v>
          </cell>
          <cell r="U126">
            <v>40.437142999999999</v>
          </cell>
          <cell r="V126">
            <v>5.8997050147492597E-2</v>
          </cell>
        </row>
        <row r="127">
          <cell r="A127" t="str">
            <v>007304</v>
          </cell>
          <cell r="B127">
            <v>927.55555500000003</v>
          </cell>
          <cell r="C127">
            <v>164.90106299999999</v>
          </cell>
          <cell r="D127">
            <v>1.15491452991452</v>
          </cell>
          <cell r="E127">
            <v>164.90106299999999</v>
          </cell>
          <cell r="F127">
            <v>1.15491452991452</v>
          </cell>
          <cell r="G127">
            <v>96.739140000000006</v>
          </cell>
          <cell r="H127">
            <v>0.391211146838156</v>
          </cell>
          <cell r="I127">
            <v>13.327938</v>
          </cell>
          <cell r="J127">
            <v>0.31725616291532599</v>
          </cell>
          <cell r="K127">
            <v>705.69184399999995</v>
          </cell>
          <cell r="L127">
            <v>1.0591397849462301</v>
          </cell>
          <cell r="M127">
            <v>30.549336</v>
          </cell>
          <cell r="N127">
            <v>0.176344086021505</v>
          </cell>
          <cell r="O127">
            <v>266.416899</v>
          </cell>
          <cell r="P127">
            <v>1.7618534482758601</v>
          </cell>
          <cell r="Q127">
            <v>217.033243</v>
          </cell>
          <cell r="R127">
            <v>1.58620689655172</v>
          </cell>
          <cell r="S127">
            <v>857.15440699999999</v>
          </cell>
          <cell r="T127">
            <v>1.3562841530054599</v>
          </cell>
          <cell r="U127">
            <v>71.104571000000007</v>
          </cell>
          <cell r="V127">
            <v>0.272131147540983</v>
          </cell>
        </row>
        <row r="128">
          <cell r="A128" t="str">
            <v>007401</v>
          </cell>
          <cell r="B128">
            <v>716</v>
          </cell>
          <cell r="C128">
            <v>3498.560477</v>
          </cell>
          <cell r="D128">
            <v>1.10206896551724</v>
          </cell>
          <cell r="E128">
            <v>20.499174</v>
          </cell>
          <cell r="F128">
            <v>0.118620689655172</v>
          </cell>
          <cell r="G128">
            <v>93.481658999999993</v>
          </cell>
          <cell r="H128">
            <v>0.35213204951856902</v>
          </cell>
          <cell r="I128">
            <v>44.073692999999999</v>
          </cell>
          <cell r="J128">
            <v>0.32049518569463498</v>
          </cell>
          <cell r="K128">
            <v>566.28114600000004</v>
          </cell>
          <cell r="L128">
            <v>1.4737569060773399</v>
          </cell>
          <cell r="M128">
            <v>276.80248599999999</v>
          </cell>
          <cell r="N128">
            <v>1.1298342541436399</v>
          </cell>
          <cell r="O128">
            <v>364.74344600000001</v>
          </cell>
          <cell r="P128">
            <v>0.81766381766381702</v>
          </cell>
          <cell r="Q128">
            <v>89.945820999999995</v>
          </cell>
          <cell r="R128">
            <v>0.29202279202279202</v>
          </cell>
          <cell r="S128">
            <v>93.097459000000001</v>
          </cell>
          <cell r="T128">
            <v>0.414529914529914</v>
          </cell>
          <cell r="U128">
            <v>51.932763000000001</v>
          </cell>
          <cell r="V128">
            <v>0.33048433048433001</v>
          </cell>
        </row>
        <row r="129">
          <cell r="A129" t="str">
            <v>007402</v>
          </cell>
          <cell r="B129">
            <v>1115.8</v>
          </cell>
          <cell r="C129">
            <v>3901.0274140000001</v>
          </cell>
          <cell r="D129">
            <v>3.29140127388535</v>
          </cell>
          <cell r="E129">
            <v>149.31857500000001</v>
          </cell>
          <cell r="F129">
            <v>0.85350318471337505</v>
          </cell>
          <cell r="G129">
            <v>758.72612400000003</v>
          </cell>
          <cell r="H129">
            <v>0.800323362974939</v>
          </cell>
          <cell r="I129">
            <v>27.482626</v>
          </cell>
          <cell r="J129">
            <v>0.151172190784155</v>
          </cell>
          <cell r="K129">
            <v>1602.936455</v>
          </cell>
          <cell r="L129">
            <v>2.8767234387672298</v>
          </cell>
          <cell r="M129">
            <v>1372.1926189999999</v>
          </cell>
          <cell r="N129">
            <v>2.7347931873479299</v>
          </cell>
          <cell r="O129">
            <v>1061.255318</v>
          </cell>
          <cell r="P129">
            <v>2.1007252215954799</v>
          </cell>
          <cell r="Q129">
            <v>1020.739699</v>
          </cell>
          <cell r="R129">
            <v>1.86704270749395</v>
          </cell>
          <cell r="S129">
            <v>294.41232400000001</v>
          </cell>
          <cell r="T129">
            <v>1.14758064516129</v>
          </cell>
          <cell r="U129">
            <v>280.091478</v>
          </cell>
          <cell r="V129">
            <v>1.08387096774193</v>
          </cell>
        </row>
        <row r="130">
          <cell r="A130" t="str">
            <v>007701</v>
          </cell>
          <cell r="B130">
            <v>1</v>
          </cell>
          <cell r="C130">
            <v>509</v>
          </cell>
          <cell r="D130">
            <v>1</v>
          </cell>
          <cell r="E130">
            <v>509</v>
          </cell>
          <cell r="F130">
            <v>1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</row>
        <row r="131">
          <cell r="A131" t="str">
            <v>008001</v>
          </cell>
          <cell r="B131">
            <v>1450</v>
          </cell>
          <cell r="C131">
            <v>884.45624199999997</v>
          </cell>
          <cell r="D131">
            <v>3.7560303239145401</v>
          </cell>
          <cell r="E131">
            <v>884.34513800000002</v>
          </cell>
          <cell r="F131">
            <v>3.75534114403859</v>
          </cell>
          <cell r="G131">
            <v>2801.7943310000001</v>
          </cell>
          <cell r="H131">
            <v>3.6133241758241699</v>
          </cell>
          <cell r="I131">
            <v>914.43508299999996</v>
          </cell>
          <cell r="J131">
            <v>2.26030219780219</v>
          </cell>
          <cell r="K131">
            <v>2293.7113159999999</v>
          </cell>
          <cell r="L131">
            <v>2.9442148760330502</v>
          </cell>
          <cell r="M131">
            <v>824.25187000000005</v>
          </cell>
          <cell r="N131">
            <v>2.1177685950413201</v>
          </cell>
          <cell r="O131">
            <v>4067.9168599999998</v>
          </cell>
          <cell r="P131">
            <v>5.2651515151515103</v>
          </cell>
          <cell r="Q131">
            <v>772.98776299999997</v>
          </cell>
          <cell r="R131">
            <v>2.90151515151515</v>
          </cell>
          <cell r="S131">
            <v>626.71147699999995</v>
          </cell>
          <cell r="T131">
            <v>2.87421820708825</v>
          </cell>
          <cell r="U131">
            <v>450.715056</v>
          </cell>
          <cell r="V131">
            <v>2.6205698401667799</v>
          </cell>
        </row>
        <row r="132">
          <cell r="A132" t="str">
            <v>008002</v>
          </cell>
          <cell r="B132">
            <v>385</v>
          </cell>
          <cell r="C132">
            <v>73.623084000000006</v>
          </cell>
          <cell r="D132">
            <v>0.57622739018087799</v>
          </cell>
          <cell r="E132">
            <v>73.623084000000006</v>
          </cell>
          <cell r="F132">
            <v>0.57622739018087799</v>
          </cell>
          <cell r="G132">
            <v>1106.863212</v>
          </cell>
          <cell r="H132">
            <v>1.71688311688311</v>
          </cell>
          <cell r="I132">
            <v>537.80516</v>
          </cell>
          <cell r="J132">
            <v>1.4649350649350601</v>
          </cell>
          <cell r="K132">
            <v>749.289491</v>
          </cell>
          <cell r="L132">
            <v>2.4418604651162701</v>
          </cell>
          <cell r="M132">
            <v>342.016279</v>
          </cell>
          <cell r="N132">
            <v>1.2842377260981901</v>
          </cell>
          <cell r="O132">
            <v>2291.7519520000001</v>
          </cell>
          <cell r="P132">
            <v>3.6484375</v>
          </cell>
          <cell r="Q132">
            <v>359.18658799999997</v>
          </cell>
          <cell r="R132">
            <v>2.2578125</v>
          </cell>
          <cell r="S132">
            <v>130.279764</v>
          </cell>
          <cell r="T132">
            <v>1.94778067885117</v>
          </cell>
          <cell r="U132">
            <v>113.630939</v>
          </cell>
          <cell r="V132">
            <v>1.8798955613577</v>
          </cell>
        </row>
        <row r="133">
          <cell r="A133" t="str">
            <v>008203</v>
          </cell>
          <cell r="B133">
            <v>216.8</v>
          </cell>
          <cell r="C133">
            <v>988.23248899999999</v>
          </cell>
          <cell r="D133">
            <v>1.55737704918032</v>
          </cell>
          <cell r="E133">
            <v>105.04847100000001</v>
          </cell>
          <cell r="F133">
            <v>0.94262295081967196</v>
          </cell>
          <cell r="G133">
            <v>215.67422999999999</v>
          </cell>
          <cell r="H133">
            <v>0.436213991769547</v>
          </cell>
          <cell r="I133">
            <v>49.630847000000003</v>
          </cell>
          <cell r="J133">
            <v>0.36213991769547299</v>
          </cell>
          <cell r="K133">
            <v>2292.985459</v>
          </cell>
          <cell r="L133">
            <v>2.3827160493827102</v>
          </cell>
          <cell r="M133">
            <v>266.39245499999998</v>
          </cell>
          <cell r="N133">
            <v>1.25102880658436</v>
          </cell>
          <cell r="O133">
            <v>567.86937399999999</v>
          </cell>
          <cell r="P133">
            <v>1.2958333333333301</v>
          </cell>
          <cell r="Q133">
            <v>14.204166000000001</v>
          </cell>
          <cell r="R133">
            <v>6.6666666666666596E-2</v>
          </cell>
          <cell r="S133">
            <v>797.47874200000001</v>
          </cell>
          <cell r="T133">
            <v>1.6864406779661001</v>
          </cell>
          <cell r="U133">
            <v>195.3887</v>
          </cell>
          <cell r="V133">
            <v>1.3771186440677901</v>
          </cell>
        </row>
        <row r="134">
          <cell r="A134" t="str">
            <v>008204</v>
          </cell>
          <cell r="B134">
            <v>829.4</v>
          </cell>
          <cell r="C134">
            <v>1172.9334409999999</v>
          </cell>
          <cell r="D134">
            <v>1.8673835125448</v>
          </cell>
          <cell r="E134">
            <v>189.648706</v>
          </cell>
          <cell r="F134">
            <v>0.900836320191158</v>
          </cell>
          <cell r="G134">
            <v>2061.5657329999999</v>
          </cell>
          <cell r="H134">
            <v>4.0047904191616697</v>
          </cell>
          <cell r="I134">
            <v>372.92238700000001</v>
          </cell>
          <cell r="J134">
            <v>3.2898203592814301</v>
          </cell>
          <cell r="K134">
            <v>1020.548143</v>
          </cell>
          <cell r="L134">
            <v>3.6234866828087098</v>
          </cell>
          <cell r="M134">
            <v>144.98069000000001</v>
          </cell>
          <cell r="N134">
            <v>1.4685230024213001</v>
          </cell>
          <cell r="O134">
            <v>156.69305299999999</v>
          </cell>
          <cell r="P134">
            <v>0.38882138517618398</v>
          </cell>
          <cell r="Q134">
            <v>33.440764999999999</v>
          </cell>
          <cell r="R134">
            <v>0.30133657351154303</v>
          </cell>
          <cell r="S134">
            <v>300.093098</v>
          </cell>
          <cell r="T134">
            <v>1.91525423728813</v>
          </cell>
          <cell r="U134">
            <v>292.22617000000002</v>
          </cell>
          <cell r="V134">
            <v>1.86440677966101</v>
          </cell>
        </row>
        <row r="135">
          <cell r="A135" t="str">
            <v>008502</v>
          </cell>
          <cell r="B135">
            <v>2368</v>
          </cell>
          <cell r="C135">
            <v>742.554799</v>
          </cell>
          <cell r="D135">
            <v>4.2911925832279803</v>
          </cell>
          <cell r="E135">
            <v>598.25216899999998</v>
          </cell>
          <cell r="F135">
            <v>4.1951116729877702</v>
          </cell>
          <cell r="G135">
            <v>337.41250000000002</v>
          </cell>
          <cell r="H135">
            <v>2.3738984473352902</v>
          </cell>
          <cell r="I135">
            <v>277.03373699999997</v>
          </cell>
          <cell r="J135">
            <v>2.2245069240453201</v>
          </cell>
          <cell r="K135">
            <v>136.20502099999999</v>
          </cell>
          <cell r="L135">
            <v>2.1056635672020199</v>
          </cell>
          <cell r="M135">
            <v>114.253479</v>
          </cell>
          <cell r="N135">
            <v>2.0819949281487702</v>
          </cell>
          <cell r="O135">
            <v>851.97726399999999</v>
          </cell>
          <cell r="P135">
            <v>1.30990685859441</v>
          </cell>
          <cell r="Q135">
            <v>125.94729700000001</v>
          </cell>
          <cell r="R135">
            <v>1.08890770533446</v>
          </cell>
          <cell r="S135">
            <v>253.28850299999999</v>
          </cell>
          <cell r="T135">
            <v>1.6141765704583999</v>
          </cell>
          <cell r="U135">
            <v>217.86936800000001</v>
          </cell>
          <cell r="V135">
            <v>1.57809847198641</v>
          </cell>
        </row>
        <row r="136">
          <cell r="A136" t="str">
            <v>008503</v>
          </cell>
          <cell r="B136">
            <v>1138.625</v>
          </cell>
          <cell r="C136">
            <v>12.588015</v>
          </cell>
          <cell r="D136">
            <v>0.11800699300699299</v>
          </cell>
          <cell r="E136">
            <v>5.0056430000000001</v>
          </cell>
          <cell r="F136">
            <v>0.11451048951048901</v>
          </cell>
          <cell r="G136">
            <v>150.84326300000001</v>
          </cell>
          <cell r="H136">
            <v>0.72923875432525898</v>
          </cell>
          <cell r="I136">
            <v>14.11407</v>
          </cell>
          <cell r="J136">
            <v>5.3633217993079497E-2</v>
          </cell>
          <cell r="K136">
            <v>211.87866</v>
          </cell>
          <cell r="L136">
            <v>1.6104702750665401</v>
          </cell>
          <cell r="M136">
            <v>211.87866</v>
          </cell>
          <cell r="N136">
            <v>1.6104702750665401</v>
          </cell>
          <cell r="O136">
            <v>2317.6387850000001</v>
          </cell>
          <cell r="P136">
            <v>1.55879752431476</v>
          </cell>
          <cell r="Q136">
            <v>71.828204999999997</v>
          </cell>
          <cell r="R136">
            <v>0.450928381962864</v>
          </cell>
          <cell r="S136">
            <v>14.409717000000001</v>
          </cell>
          <cell r="T136">
            <v>0.10178571428571399</v>
          </cell>
          <cell r="U136">
            <v>14.409717000000001</v>
          </cell>
          <cell r="V136">
            <v>0.10178571428571399</v>
          </cell>
        </row>
        <row r="137">
          <cell r="A137" t="str">
            <v>008504</v>
          </cell>
          <cell r="B137">
            <v>64.333332999999996</v>
          </cell>
          <cell r="C137">
            <v>47.739463999999998</v>
          </cell>
          <cell r="D137">
            <v>1.47058823529411E-2</v>
          </cell>
          <cell r="E137">
            <v>0</v>
          </cell>
          <cell r="F137">
            <v>0</v>
          </cell>
          <cell r="G137">
            <v>133.92506399999999</v>
          </cell>
          <cell r="H137">
            <v>0.97058823529411697</v>
          </cell>
          <cell r="I137">
            <v>133.92506399999999</v>
          </cell>
          <cell r="J137">
            <v>0.97058823529411697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84.679531999999995</v>
          </cell>
          <cell r="P137">
            <v>1.9298245614034999</v>
          </cell>
          <cell r="Q137">
            <v>84.679531999999995</v>
          </cell>
          <cell r="R137">
            <v>1.9298245614034999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</row>
        <row r="138">
          <cell r="A138" t="str">
            <v>008505</v>
          </cell>
          <cell r="B138">
            <v>1645.6</v>
          </cell>
          <cell r="C138">
            <v>245.54000300000001</v>
          </cell>
          <cell r="D138">
            <v>1.5419432709716301</v>
          </cell>
          <cell r="E138">
            <v>178.822408</v>
          </cell>
          <cell r="F138">
            <v>1.46348823174411</v>
          </cell>
          <cell r="G138">
            <v>499.79037899999997</v>
          </cell>
          <cell r="H138">
            <v>2.1101028433151798</v>
          </cell>
          <cell r="I138">
            <v>471.81532199999998</v>
          </cell>
          <cell r="J138">
            <v>1.7725347852389499</v>
          </cell>
          <cell r="K138">
            <v>248.42461</v>
          </cell>
          <cell r="L138">
            <v>0.67495451788963001</v>
          </cell>
          <cell r="M138">
            <v>83.700868999999997</v>
          </cell>
          <cell r="N138">
            <v>0.59126743480897503</v>
          </cell>
          <cell r="O138">
            <v>1816.1807650000001</v>
          </cell>
          <cell r="P138">
            <v>1.7053789731051301</v>
          </cell>
          <cell r="Q138">
            <v>193.44912299999999</v>
          </cell>
          <cell r="R138">
            <v>0.97555012224938797</v>
          </cell>
          <cell r="S138">
            <v>344.814707</v>
          </cell>
          <cell r="T138">
            <v>0.76117575015309202</v>
          </cell>
          <cell r="U138">
            <v>64.296386999999996</v>
          </cell>
          <cell r="V138">
            <v>0.55603184323331201</v>
          </cell>
        </row>
        <row r="139">
          <cell r="A139" t="str">
            <v>008506</v>
          </cell>
          <cell r="B139">
            <v>44.2</v>
          </cell>
          <cell r="C139">
            <v>9.4724240000000002</v>
          </cell>
          <cell r="D139">
            <v>4.3478260869565202E-2</v>
          </cell>
          <cell r="E139">
            <v>9.4724240000000002</v>
          </cell>
          <cell r="F139">
            <v>4.3478260869565202E-2</v>
          </cell>
          <cell r="G139">
            <v>0.57348399999999999</v>
          </cell>
          <cell r="H139">
            <v>4.54545454545454E-2</v>
          </cell>
          <cell r="I139">
            <v>0.57348399999999999</v>
          </cell>
          <cell r="J139">
            <v>4.54545454545454E-2</v>
          </cell>
          <cell r="K139">
            <v>1844.679545</v>
          </cell>
          <cell r="L139">
            <v>0.95454545454545403</v>
          </cell>
          <cell r="M139">
            <v>0</v>
          </cell>
          <cell r="N139">
            <v>0</v>
          </cell>
          <cell r="O139">
            <v>7.6340899999999996</v>
          </cell>
          <cell r="P139">
            <v>0.11363636363636299</v>
          </cell>
          <cell r="Q139">
            <v>7.6340899999999996</v>
          </cell>
          <cell r="R139">
            <v>0.11363636363636299</v>
          </cell>
          <cell r="S139">
            <v>14.065116</v>
          </cell>
          <cell r="T139">
            <v>0.209302325581395</v>
          </cell>
          <cell r="U139">
            <v>14.065116</v>
          </cell>
          <cell r="V139">
            <v>0.209302325581395</v>
          </cell>
        </row>
        <row r="140">
          <cell r="A140" t="str">
            <v>008507</v>
          </cell>
          <cell r="B140">
            <v>1173.1111109999999</v>
          </cell>
          <cell r="C140">
            <v>37.731288999999997</v>
          </cell>
          <cell r="D140">
            <v>0.15893470790378</v>
          </cell>
          <cell r="E140">
            <v>12.554207999999999</v>
          </cell>
          <cell r="F140">
            <v>0.131443298969072</v>
          </cell>
          <cell r="G140">
            <v>180.49183099999999</v>
          </cell>
          <cell r="H140">
            <v>1.1828231292517</v>
          </cell>
          <cell r="I140">
            <v>162.13663099999999</v>
          </cell>
          <cell r="J140">
            <v>1.06377551020408</v>
          </cell>
          <cell r="K140">
            <v>18.454775999999999</v>
          </cell>
          <cell r="L140">
            <v>0.167517006802721</v>
          </cell>
          <cell r="M140">
            <v>18.454775999999999</v>
          </cell>
          <cell r="N140">
            <v>0.167517006802721</v>
          </cell>
          <cell r="O140">
            <v>1219.3193679999999</v>
          </cell>
          <cell r="P140">
            <v>0.57300509337860706</v>
          </cell>
          <cell r="Q140">
            <v>27.978847999999999</v>
          </cell>
          <cell r="R140">
            <v>0.194397283531409</v>
          </cell>
          <cell r="S140">
            <v>54.828643</v>
          </cell>
          <cell r="T140">
            <v>0.192668371696504</v>
          </cell>
          <cell r="U140">
            <v>14.328118</v>
          </cell>
          <cell r="V140">
            <v>0.15601023017902799</v>
          </cell>
        </row>
        <row r="141">
          <cell r="A141" t="str">
            <v>008801</v>
          </cell>
          <cell r="B141">
            <v>1752.2</v>
          </cell>
          <cell r="C141">
            <v>2370.8279120000002</v>
          </cell>
          <cell r="D141">
            <v>2.2952218430034099</v>
          </cell>
          <cell r="E141">
            <v>1670.79267</v>
          </cell>
          <cell r="F141">
            <v>1.4897610921501701</v>
          </cell>
          <cell r="G141">
            <v>1073.8347160000001</v>
          </cell>
          <cell r="H141">
            <v>1.22654462242562</v>
          </cell>
          <cell r="I141">
            <v>181.02894800000001</v>
          </cell>
          <cell r="J141">
            <v>0.70652173913043403</v>
          </cell>
          <cell r="K141">
            <v>6976.6524579999996</v>
          </cell>
          <cell r="L141">
            <v>3.0991452991452899</v>
          </cell>
          <cell r="M141">
            <v>3071.1344720000002</v>
          </cell>
          <cell r="N141">
            <v>1.8159544159544101</v>
          </cell>
          <cell r="O141">
            <v>679.12556500000005</v>
          </cell>
          <cell r="P141">
            <v>2.9463163906339198</v>
          </cell>
          <cell r="Q141">
            <v>433.99634400000002</v>
          </cell>
          <cell r="R141">
            <v>2.7544260422615601</v>
          </cell>
          <cell r="S141">
            <v>1281.0007519999999</v>
          </cell>
          <cell r="T141">
            <v>5.9879931389365302</v>
          </cell>
          <cell r="U141">
            <v>1266.8958640000001</v>
          </cell>
          <cell r="V141">
            <v>5.9748427672955904</v>
          </cell>
        </row>
        <row r="142">
          <cell r="A142" t="str">
            <v>008802</v>
          </cell>
          <cell r="B142">
            <v>1123.2</v>
          </cell>
          <cell r="C142">
            <v>5980.4595060000001</v>
          </cell>
          <cell r="D142">
            <v>3.5329181494661901</v>
          </cell>
          <cell r="E142">
            <v>1718.2112279999999</v>
          </cell>
          <cell r="F142">
            <v>1.7215302491103199</v>
          </cell>
          <cell r="G142">
            <v>200.855694</v>
          </cell>
          <cell r="H142">
            <v>0.65004452359750597</v>
          </cell>
          <cell r="I142">
            <v>106.881056</v>
          </cell>
          <cell r="J142">
            <v>0.41228851291184299</v>
          </cell>
          <cell r="K142">
            <v>3594.4346639999999</v>
          </cell>
          <cell r="L142">
            <v>2.5181898846495101</v>
          </cell>
          <cell r="M142">
            <v>2486.7082369999998</v>
          </cell>
          <cell r="N142">
            <v>1.9769299023957401</v>
          </cell>
          <cell r="O142">
            <v>320.60306300000002</v>
          </cell>
          <cell r="P142">
            <v>1.4031971580817</v>
          </cell>
          <cell r="Q142">
            <v>269.94894900000003</v>
          </cell>
          <cell r="R142">
            <v>1.3774422735346299</v>
          </cell>
          <cell r="S142">
            <v>570.28676700000005</v>
          </cell>
          <cell r="T142">
            <v>1.49103942652329</v>
          </cell>
          <cell r="U142">
            <v>569.19767000000002</v>
          </cell>
          <cell r="V142">
            <v>1.4901433691756201</v>
          </cell>
        </row>
        <row r="143">
          <cell r="A143" t="str">
            <v>008803</v>
          </cell>
          <cell r="B143">
            <v>612</v>
          </cell>
          <cell r="C143">
            <v>7164.3287250000003</v>
          </cell>
          <cell r="D143">
            <v>2.97415185783521</v>
          </cell>
          <cell r="E143">
            <v>1637.4321</v>
          </cell>
          <cell r="F143">
            <v>1.40710823909531</v>
          </cell>
          <cell r="G143">
            <v>318.426222</v>
          </cell>
          <cell r="H143">
            <v>0.56443719412724302</v>
          </cell>
          <cell r="I143">
            <v>190.29912300000001</v>
          </cell>
          <cell r="J143">
            <v>0.471451876019575</v>
          </cell>
          <cell r="K143">
            <v>4230.181122</v>
          </cell>
          <cell r="L143">
            <v>2.5319148936170199</v>
          </cell>
          <cell r="M143">
            <v>2199.538106</v>
          </cell>
          <cell r="N143">
            <v>1.39770867430441</v>
          </cell>
          <cell r="O143">
            <v>774.91622800000005</v>
          </cell>
          <cell r="P143">
            <v>2.4663382594417</v>
          </cell>
          <cell r="Q143">
            <v>302.23752000000002</v>
          </cell>
          <cell r="R143">
            <v>2.1937602627257702</v>
          </cell>
          <cell r="S143">
            <v>527.16359499999999</v>
          </cell>
          <cell r="T143">
            <v>1.5953947368421</v>
          </cell>
          <cell r="U143">
            <v>495.72431399999999</v>
          </cell>
          <cell r="V143">
            <v>1.4786184210526301</v>
          </cell>
        </row>
        <row r="144">
          <cell r="A144" t="str">
            <v>009004</v>
          </cell>
          <cell r="B144">
            <v>1084</v>
          </cell>
          <cell r="C144">
            <v>559.04914299999996</v>
          </cell>
          <cell r="D144">
            <v>0.61353104726598695</v>
          </cell>
          <cell r="E144">
            <v>29.189391000000001</v>
          </cell>
          <cell r="F144">
            <v>0.158480074142724</v>
          </cell>
          <cell r="G144">
            <v>53.172756999999997</v>
          </cell>
          <cell r="H144">
            <v>0.138504155124653</v>
          </cell>
          <cell r="I144">
            <v>41.569600999999999</v>
          </cell>
          <cell r="J144">
            <v>0.11265004616805099</v>
          </cell>
          <cell r="K144">
            <v>456.95318200000003</v>
          </cell>
          <cell r="L144">
            <v>1.2887453874538699</v>
          </cell>
          <cell r="M144">
            <v>431.28451699999999</v>
          </cell>
          <cell r="N144">
            <v>1.23892988929889</v>
          </cell>
          <cell r="O144">
            <v>377.04941400000001</v>
          </cell>
          <cell r="P144">
            <v>1.1800554016620399</v>
          </cell>
          <cell r="Q144">
            <v>323.240273</v>
          </cell>
          <cell r="R144">
            <v>1.1634349030470901</v>
          </cell>
          <cell r="S144">
            <v>300.20824900000002</v>
          </cell>
          <cell r="T144">
            <v>0.48579285059578298</v>
          </cell>
          <cell r="U144">
            <v>100.198961</v>
          </cell>
          <cell r="V144">
            <v>0.307974335472043</v>
          </cell>
        </row>
        <row r="145">
          <cell r="A145" t="str">
            <v>009005</v>
          </cell>
          <cell r="B145">
            <v>1743.8</v>
          </cell>
          <cell r="C145">
            <v>73.438343000000003</v>
          </cell>
          <cell r="D145">
            <v>0.32858769931662801</v>
          </cell>
          <cell r="E145">
            <v>33.626674999999999</v>
          </cell>
          <cell r="F145">
            <v>0.17482915717539799</v>
          </cell>
          <cell r="G145">
            <v>30.927385000000001</v>
          </cell>
          <cell r="H145">
            <v>0.18835616438356101</v>
          </cell>
          <cell r="I145">
            <v>30.680284</v>
          </cell>
          <cell r="J145">
            <v>0.187785388127853</v>
          </cell>
          <cell r="K145">
            <v>26.52233</v>
          </cell>
          <cell r="L145">
            <v>0.156142365097588</v>
          </cell>
          <cell r="M145">
            <v>25.471823000000001</v>
          </cell>
          <cell r="N145">
            <v>0.15556831228473</v>
          </cell>
          <cell r="O145">
            <v>593.597622</v>
          </cell>
          <cell r="P145">
            <v>3.0385278895917098</v>
          </cell>
          <cell r="Q145">
            <v>493.97238800000002</v>
          </cell>
          <cell r="R145">
            <v>2.9976998274870601</v>
          </cell>
          <cell r="S145">
            <v>375.45986399999998</v>
          </cell>
          <cell r="T145">
            <v>0.82832369942196504</v>
          </cell>
          <cell r="U145">
            <v>110.75285100000001</v>
          </cell>
          <cell r="V145">
            <v>0.27572254335260099</v>
          </cell>
        </row>
        <row r="146">
          <cell r="A146" t="str">
            <v>009007</v>
          </cell>
          <cell r="B146">
            <v>1279</v>
          </cell>
          <cell r="C146">
            <v>4.0145650000000002</v>
          </cell>
          <cell r="D146">
            <v>4.2768273716951702E-2</v>
          </cell>
          <cell r="E146">
            <v>3.811706</v>
          </cell>
          <cell r="F146">
            <v>4.1990668740279902E-2</v>
          </cell>
          <cell r="G146">
            <v>9.8533030000000004</v>
          </cell>
          <cell r="H146">
            <v>3.7867078825347698E-2</v>
          </cell>
          <cell r="I146">
            <v>9.1630760000000002</v>
          </cell>
          <cell r="J146">
            <v>3.7094281298299801E-2</v>
          </cell>
          <cell r="K146">
            <v>219.66152700000001</v>
          </cell>
          <cell r="L146">
            <v>0.46522411128284302</v>
          </cell>
          <cell r="M146">
            <v>198.49278699999999</v>
          </cell>
          <cell r="N146">
            <v>0.44667697063369299</v>
          </cell>
          <cell r="O146">
            <v>301.17503199999999</v>
          </cell>
          <cell r="P146">
            <v>1.13245546088303</v>
          </cell>
          <cell r="Q146">
            <v>301.17503199999999</v>
          </cell>
          <cell r="R146">
            <v>1.13245546088303</v>
          </cell>
          <cell r="S146">
            <v>126.974217</v>
          </cell>
          <cell r="T146">
            <v>0.49190938511326798</v>
          </cell>
          <cell r="U146">
            <v>103.803276</v>
          </cell>
          <cell r="V146">
            <v>0.45469255663430402</v>
          </cell>
        </row>
        <row r="147">
          <cell r="A147" t="str">
            <v>009101</v>
          </cell>
          <cell r="B147">
            <v>1642.444444</v>
          </cell>
          <cell r="C147">
            <v>51.816032</v>
          </cell>
          <cell r="D147">
            <v>0.30408653846153799</v>
          </cell>
          <cell r="E147">
            <v>51.816032</v>
          </cell>
          <cell r="F147">
            <v>0.30408653846153799</v>
          </cell>
          <cell r="G147">
            <v>36.283391999999999</v>
          </cell>
          <cell r="H147">
            <v>1.1231971153846101</v>
          </cell>
          <cell r="I147">
            <v>27.521601</v>
          </cell>
          <cell r="J147">
            <v>1.09254807692307</v>
          </cell>
          <cell r="K147">
            <v>56.185980000000001</v>
          </cell>
          <cell r="L147">
            <v>0.394400486914181</v>
          </cell>
          <cell r="M147">
            <v>51.546419</v>
          </cell>
          <cell r="N147">
            <v>0.38466220328667</v>
          </cell>
          <cell r="O147">
            <v>54.723157999999998</v>
          </cell>
          <cell r="P147">
            <v>0.29693251533742299</v>
          </cell>
          <cell r="Q147">
            <v>41.016297999999999</v>
          </cell>
          <cell r="R147">
            <v>0.25766871165644101</v>
          </cell>
          <cell r="S147">
            <v>5.1507699999999996</v>
          </cell>
          <cell r="T147">
            <v>3.9457459926017201E-2</v>
          </cell>
          <cell r="U147">
            <v>3.9764179999999998</v>
          </cell>
          <cell r="V147">
            <v>3.2059186189888997E-2</v>
          </cell>
        </row>
        <row r="148">
          <cell r="A148" t="str">
            <v>009102</v>
          </cell>
          <cell r="B148">
            <v>608.66666599999996</v>
          </cell>
          <cell r="C148">
            <v>26.415596000000001</v>
          </cell>
          <cell r="D148">
            <v>0.31433224755700301</v>
          </cell>
          <cell r="E148">
            <v>26.415596000000001</v>
          </cell>
          <cell r="F148">
            <v>0.31433224755700301</v>
          </cell>
          <cell r="G148">
            <v>209.04321300000001</v>
          </cell>
          <cell r="H148">
            <v>0.29804560260586299</v>
          </cell>
          <cell r="I148">
            <v>52.059283000000001</v>
          </cell>
          <cell r="J148">
            <v>7.3289902280130201E-2</v>
          </cell>
          <cell r="K148">
            <v>1142.081952</v>
          </cell>
          <cell r="L148">
            <v>1.67736486486486</v>
          </cell>
          <cell r="M148">
            <v>258.49059599999998</v>
          </cell>
          <cell r="N148">
            <v>0.91554054054054002</v>
          </cell>
          <cell r="O148">
            <v>81.977188999999996</v>
          </cell>
          <cell r="P148">
            <v>7.4380165289256103E-2</v>
          </cell>
          <cell r="Q148">
            <v>3.2227269999999999</v>
          </cell>
          <cell r="R148">
            <v>2.97520661157024E-2</v>
          </cell>
          <cell r="S148">
            <v>19.144335999999999</v>
          </cell>
          <cell r="T148">
            <v>0.19806763285024101</v>
          </cell>
          <cell r="U148">
            <v>9.8025490000000008</v>
          </cell>
          <cell r="V148">
            <v>0.17069243156199601</v>
          </cell>
        </row>
        <row r="149">
          <cell r="A149" t="str">
            <v>009103</v>
          </cell>
          <cell r="B149">
            <v>492.125</v>
          </cell>
          <cell r="C149">
            <v>11.464154000000001</v>
          </cell>
          <cell r="D149">
            <v>5.3830227743271203E-2</v>
          </cell>
          <cell r="E149">
            <v>11.464154000000001</v>
          </cell>
          <cell r="F149">
            <v>5.3830227743271203E-2</v>
          </cell>
          <cell r="G149">
            <v>400.00235800000002</v>
          </cell>
          <cell r="H149">
            <v>0.643298969072164</v>
          </cell>
          <cell r="I149">
            <v>4.5790829999999998</v>
          </cell>
          <cell r="J149">
            <v>2.4742268041237098E-2</v>
          </cell>
          <cell r="K149">
            <v>49.767488</v>
          </cell>
          <cell r="L149">
            <v>9.4674556213017694E-2</v>
          </cell>
          <cell r="M149">
            <v>38.972254999999997</v>
          </cell>
          <cell r="N149">
            <v>8.4812623274161697E-2</v>
          </cell>
          <cell r="O149">
            <v>13.57175</v>
          </cell>
          <cell r="P149">
            <v>7.8787878787878698E-2</v>
          </cell>
          <cell r="Q149">
            <v>7.5604040000000001</v>
          </cell>
          <cell r="R149">
            <v>7.6767676767676707E-2</v>
          </cell>
          <cell r="S149">
            <v>3.7416659999999999</v>
          </cell>
          <cell r="T149">
            <v>4.1666666666666602E-2</v>
          </cell>
          <cell r="U149">
            <v>3.7416659999999999</v>
          </cell>
          <cell r="V149">
            <v>4.1666666666666602E-2</v>
          </cell>
        </row>
        <row r="150">
          <cell r="A150" t="str">
            <v>009201</v>
          </cell>
          <cell r="B150">
            <v>762.8</v>
          </cell>
          <cell r="C150">
            <v>52.551026</v>
          </cell>
          <cell r="D150">
            <v>0.453124999999999</v>
          </cell>
          <cell r="E150">
            <v>51.036704</v>
          </cell>
          <cell r="F150">
            <v>0.45182291666666602</v>
          </cell>
          <cell r="G150">
            <v>418.91278</v>
          </cell>
          <cell r="H150">
            <v>1.6671035386631701</v>
          </cell>
          <cell r="I150">
            <v>202.38227000000001</v>
          </cell>
          <cell r="J150">
            <v>1.09436435124508</v>
          </cell>
          <cell r="K150">
            <v>139.54190500000001</v>
          </cell>
          <cell r="L150">
            <v>1.53010471204188</v>
          </cell>
          <cell r="M150">
            <v>66.228314999999995</v>
          </cell>
          <cell r="N150">
            <v>0.51570680628272203</v>
          </cell>
          <cell r="O150">
            <v>54.290205</v>
          </cell>
          <cell r="P150">
            <v>0.76284584980237102</v>
          </cell>
          <cell r="Q150">
            <v>54.139370999999997</v>
          </cell>
          <cell r="R150">
            <v>0.76152832674571802</v>
          </cell>
          <cell r="S150">
            <v>243.13162199999999</v>
          </cell>
          <cell r="T150">
            <v>2.1223684210526299</v>
          </cell>
          <cell r="U150">
            <v>172.43852999999999</v>
          </cell>
          <cell r="V150">
            <v>1.0078947368421001</v>
          </cell>
        </row>
        <row r="151">
          <cell r="A151" t="str">
            <v>009202</v>
          </cell>
          <cell r="B151">
            <v>1080</v>
          </cell>
          <cell r="C151">
            <v>85.046076999999997</v>
          </cell>
          <cell r="D151">
            <v>0.17199558985666999</v>
          </cell>
          <cell r="E151">
            <v>24.945734000000002</v>
          </cell>
          <cell r="F151">
            <v>0.1212789415656</v>
          </cell>
          <cell r="G151">
            <v>239.68448100000001</v>
          </cell>
          <cell r="H151">
            <v>0.84276729559748398</v>
          </cell>
          <cell r="I151">
            <v>77.992712999999995</v>
          </cell>
          <cell r="J151">
            <v>0.47439353099730402</v>
          </cell>
          <cell r="K151">
            <v>303.52922599999999</v>
          </cell>
          <cell r="L151">
            <v>1.90956072351421</v>
          </cell>
          <cell r="M151">
            <v>24.650200000000002</v>
          </cell>
          <cell r="N151">
            <v>0.13436692506459899</v>
          </cell>
          <cell r="O151">
            <v>122.866226</v>
          </cell>
          <cell r="P151">
            <v>0.38946378174976398</v>
          </cell>
          <cell r="Q151">
            <v>43.407038999999997</v>
          </cell>
          <cell r="R151">
            <v>0.35371589840075202</v>
          </cell>
          <cell r="S151">
            <v>88.152090000000001</v>
          </cell>
          <cell r="T151">
            <v>1.34861591695501</v>
          </cell>
          <cell r="U151">
            <v>34.565989000000002</v>
          </cell>
          <cell r="V151">
            <v>0.343425605536332</v>
          </cell>
        </row>
        <row r="152">
          <cell r="A152" t="str">
            <v>009203</v>
          </cell>
          <cell r="B152">
            <v>856.8</v>
          </cell>
          <cell r="C152">
            <v>171.925366</v>
          </cell>
          <cell r="D152">
            <v>0.133649289099526</v>
          </cell>
          <cell r="E152">
            <v>8.0617359999999998</v>
          </cell>
          <cell r="F152">
            <v>3.6966824644549701E-2</v>
          </cell>
          <cell r="G152">
            <v>234.448691</v>
          </cell>
          <cell r="H152">
            <v>1.4503546099290701</v>
          </cell>
          <cell r="I152">
            <v>198.73193000000001</v>
          </cell>
          <cell r="J152">
            <v>1.30378250591016</v>
          </cell>
          <cell r="K152">
            <v>104.14394</v>
          </cell>
          <cell r="L152">
            <v>1.9056603773584899</v>
          </cell>
          <cell r="M152">
            <v>48.703102000000001</v>
          </cell>
          <cell r="N152">
            <v>0.90440251572327002</v>
          </cell>
          <cell r="O152">
            <v>169.515221</v>
          </cell>
          <cell r="P152">
            <v>0.80025125628140703</v>
          </cell>
          <cell r="Q152">
            <v>85.110698999999997</v>
          </cell>
          <cell r="R152">
            <v>0.54773869346733595</v>
          </cell>
          <cell r="S152">
            <v>72.374346000000003</v>
          </cell>
          <cell r="T152">
            <v>1.08459595959595</v>
          </cell>
          <cell r="U152">
            <v>18.903261000000001</v>
          </cell>
          <cell r="V152">
            <v>8.2070707070707002E-2</v>
          </cell>
        </row>
        <row r="153">
          <cell r="A153" t="str">
            <v>009701</v>
          </cell>
          <cell r="B153">
            <v>1</v>
          </cell>
          <cell r="C153">
            <v>38.360233000000001</v>
          </cell>
          <cell r="D153">
            <v>1</v>
          </cell>
          <cell r="E153">
            <v>38.360233000000001</v>
          </cell>
          <cell r="F153">
            <v>1</v>
          </cell>
          <cell r="G153">
            <v>1039</v>
          </cell>
          <cell r="H153">
            <v>2</v>
          </cell>
          <cell r="I153">
            <v>1039</v>
          </cell>
          <cell r="J153">
            <v>2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</row>
        <row r="154">
          <cell r="A154" t="str">
            <v>009801</v>
          </cell>
          <cell r="B154">
            <v>1687.875</v>
          </cell>
          <cell r="C154">
            <v>243.79392799999999</v>
          </cell>
          <cell r="D154">
            <v>1.11691394658753</v>
          </cell>
          <cell r="E154">
            <v>243.79392799999999</v>
          </cell>
          <cell r="F154">
            <v>1.11691394658753</v>
          </cell>
          <cell r="G154">
            <v>1504.923274</v>
          </cell>
          <cell r="H154">
            <v>2.0781990521327001</v>
          </cell>
          <cell r="I154">
            <v>186.25775300000001</v>
          </cell>
          <cell r="J154">
            <v>1.32760663507109</v>
          </cell>
          <cell r="K154">
            <v>19.821774000000001</v>
          </cell>
          <cell r="L154">
            <v>9.2899408284023599E-2</v>
          </cell>
          <cell r="M154">
            <v>17.150601000000002</v>
          </cell>
          <cell r="N154">
            <v>9.1715976331360902E-2</v>
          </cell>
          <cell r="O154">
            <v>1112.132276</v>
          </cell>
          <cell r="P154">
            <v>2.1255180580224899</v>
          </cell>
          <cell r="Q154">
            <v>19.085632</v>
          </cell>
          <cell r="R154">
            <v>8.76258140911782E-2</v>
          </cell>
          <cell r="S154">
            <v>1275.624208</v>
          </cell>
          <cell r="T154">
            <v>2.5273159144893098</v>
          </cell>
          <cell r="U154">
            <v>1275.624208</v>
          </cell>
          <cell r="V154">
            <v>2.5273159144893098</v>
          </cell>
        </row>
        <row r="155">
          <cell r="A155" t="str">
            <v>009802</v>
          </cell>
          <cell r="B155">
            <v>1031.5999999999999</v>
          </cell>
          <cell r="C155">
            <v>88.283807999999993</v>
          </cell>
          <cell r="D155">
            <v>0.115198451113262</v>
          </cell>
          <cell r="E155">
            <v>12.573328</v>
          </cell>
          <cell r="F155">
            <v>6.4859632139399798E-2</v>
          </cell>
          <cell r="G155">
            <v>135.117379</v>
          </cell>
          <cell r="H155">
            <v>0.63601161665053196</v>
          </cell>
          <cell r="I155">
            <v>63.800725</v>
          </cell>
          <cell r="J155">
            <v>0.58664085188770498</v>
          </cell>
          <cell r="K155">
            <v>924.32180600000004</v>
          </cell>
          <cell r="L155">
            <v>0.91367604267701197</v>
          </cell>
          <cell r="M155">
            <v>181.78553099999999</v>
          </cell>
          <cell r="N155">
            <v>0.75363724539282195</v>
          </cell>
          <cell r="O155">
            <v>360.19109300000002</v>
          </cell>
          <cell r="P155">
            <v>2.4666021297192602</v>
          </cell>
          <cell r="Q155">
            <v>43.922570999999998</v>
          </cell>
          <cell r="R155">
            <v>0.22749273959341701</v>
          </cell>
          <cell r="S155">
            <v>2410.4678490000001</v>
          </cell>
          <cell r="T155">
            <v>3.7908560311284001</v>
          </cell>
          <cell r="U155">
            <v>2389.1096299999999</v>
          </cell>
          <cell r="V155">
            <v>3.56712062256809</v>
          </cell>
        </row>
        <row r="156">
          <cell r="A156" t="str">
            <v>009901</v>
          </cell>
          <cell r="B156">
            <v>1292.5999999999999</v>
          </cell>
          <cell r="C156">
            <v>178.59755100000001</v>
          </cell>
          <cell r="D156">
            <v>0.99604743083003899</v>
          </cell>
          <cell r="E156">
            <v>178.20200199999999</v>
          </cell>
          <cell r="F156">
            <v>0.99472990777338599</v>
          </cell>
          <cell r="G156">
            <v>1.8730579999999999</v>
          </cell>
          <cell r="H156">
            <v>1.97547683923705E-2</v>
          </cell>
          <cell r="I156">
            <v>1.6763049999999999</v>
          </cell>
          <cell r="J156">
            <v>1.9073569482288801E-2</v>
          </cell>
          <cell r="K156">
            <v>67.631298000000001</v>
          </cell>
          <cell r="L156">
            <v>0.619999999999999</v>
          </cell>
          <cell r="M156">
            <v>64.143435999999994</v>
          </cell>
          <cell r="N156">
            <v>0.60965517241379297</v>
          </cell>
          <cell r="O156">
            <v>36.33614</v>
          </cell>
          <cell r="P156">
            <v>0.39303482587064598</v>
          </cell>
          <cell r="Q156">
            <v>26.077292</v>
          </cell>
          <cell r="R156">
            <v>0.33759772565742702</v>
          </cell>
          <cell r="S156">
            <v>175.96613400000001</v>
          </cell>
          <cell r="T156">
            <v>1.6272661348803401</v>
          </cell>
          <cell r="U156">
            <v>175.89597499999999</v>
          </cell>
          <cell r="V156">
            <v>1.6250906453952101</v>
          </cell>
        </row>
        <row r="157">
          <cell r="A157" t="str">
            <v>009902</v>
          </cell>
          <cell r="B157">
            <v>2065.333333</v>
          </cell>
          <cell r="C157">
            <v>549.87870799999996</v>
          </cell>
          <cell r="D157">
            <v>1.52749301025163</v>
          </cell>
          <cell r="E157">
            <v>549.87870799999996</v>
          </cell>
          <cell r="F157">
            <v>1.52749301025163</v>
          </cell>
          <cell r="G157">
            <v>855.92469300000005</v>
          </cell>
          <cell r="H157">
            <v>1.6890042472864499</v>
          </cell>
          <cell r="I157">
            <v>239.887913</v>
          </cell>
          <cell r="J157">
            <v>0.99811231713072202</v>
          </cell>
          <cell r="K157">
            <v>213.988632</v>
          </cell>
          <cell r="L157">
            <v>0.54674893213099096</v>
          </cell>
          <cell r="M157">
            <v>71.300933000000001</v>
          </cell>
          <cell r="N157">
            <v>0.37066919791172198</v>
          </cell>
          <cell r="O157">
            <v>112.0908</v>
          </cell>
          <cell r="P157">
            <v>0.847152847152847</v>
          </cell>
          <cell r="Q157">
            <v>70.181867999999994</v>
          </cell>
          <cell r="R157">
            <v>0.75424575424575402</v>
          </cell>
          <cell r="S157">
            <v>306.186058</v>
          </cell>
          <cell r="T157">
            <v>0.46562970396387299</v>
          </cell>
          <cell r="U157">
            <v>14.755903</v>
          </cell>
          <cell r="V157">
            <v>0.12142498745609601</v>
          </cell>
        </row>
        <row r="158">
          <cell r="A158" t="str">
            <v>010001</v>
          </cell>
          <cell r="B158">
            <v>2830.6</v>
          </cell>
          <cell r="C158">
            <v>244.18825899999999</v>
          </cell>
          <cell r="D158">
            <v>0.416635302973278</v>
          </cell>
          <cell r="E158">
            <v>12.419475</v>
          </cell>
          <cell r="F158">
            <v>0.13172751223184001</v>
          </cell>
          <cell r="G158">
            <v>415.58631500000001</v>
          </cell>
          <cell r="H158">
            <v>1.74999999999999</v>
          </cell>
          <cell r="I158">
            <v>131.66600500000001</v>
          </cell>
          <cell r="J158">
            <v>1.15443213296398</v>
          </cell>
          <cell r="K158">
            <v>34.848545000000001</v>
          </cell>
          <cell r="L158">
            <v>0.338199513381995</v>
          </cell>
          <cell r="M158">
            <v>33.306776999999997</v>
          </cell>
          <cell r="N158">
            <v>0.33229058046576199</v>
          </cell>
          <cell r="O158">
            <v>258.09109699999999</v>
          </cell>
          <cell r="P158">
            <v>1.4968662952646199</v>
          </cell>
          <cell r="Q158">
            <v>213.92916</v>
          </cell>
          <cell r="R158">
            <v>1.45612813370473</v>
          </cell>
          <cell r="S158">
            <v>519.13898099999994</v>
          </cell>
          <cell r="T158">
            <v>1.6239944036376299</v>
          </cell>
          <cell r="U158">
            <v>90.067977999999997</v>
          </cell>
          <cell r="V158">
            <v>0.52116124519062601</v>
          </cell>
        </row>
        <row r="159">
          <cell r="A159" t="str">
            <v>010002</v>
          </cell>
          <cell r="B159">
            <v>97.5</v>
          </cell>
          <cell r="C159">
            <v>2.0923280000000002</v>
          </cell>
          <cell r="D159">
            <v>2.7027027027027001E-2</v>
          </cell>
          <cell r="E159">
            <v>2.0923280000000002</v>
          </cell>
          <cell r="F159">
            <v>2.7027027027027001E-2</v>
          </cell>
          <cell r="G159">
            <v>10.627008999999999</v>
          </cell>
          <cell r="H159">
            <v>9.1743119266054995E-2</v>
          </cell>
          <cell r="I159">
            <v>10.627008999999999</v>
          </cell>
          <cell r="J159">
            <v>9.1743119266054995E-2</v>
          </cell>
          <cell r="K159">
            <v>33.639042000000003</v>
          </cell>
          <cell r="L159">
            <v>0.101851851851851</v>
          </cell>
          <cell r="M159">
            <v>5.6944439999999998</v>
          </cell>
          <cell r="N159">
            <v>9.2592592592592504E-2</v>
          </cell>
          <cell r="O159">
            <v>143.33301800000001</v>
          </cell>
          <cell r="P159">
            <v>1.02830188679245</v>
          </cell>
          <cell r="Q159">
            <v>143.33301800000001</v>
          </cell>
          <cell r="R159">
            <v>1.02830188679245</v>
          </cell>
          <cell r="S159">
            <v>2794.547286</v>
          </cell>
          <cell r="T159">
            <v>20.558139534883701</v>
          </cell>
          <cell r="U159">
            <v>2794.547286</v>
          </cell>
          <cell r="V159">
            <v>20.558139534883701</v>
          </cell>
        </row>
        <row r="160">
          <cell r="A160" t="str">
            <v>010003</v>
          </cell>
          <cell r="B160">
            <v>1019.5</v>
          </cell>
          <cell r="C160">
            <v>178.919974</v>
          </cell>
          <cell r="D160">
            <v>1.0380333951762499</v>
          </cell>
          <cell r="E160">
            <v>178.919974</v>
          </cell>
          <cell r="F160">
            <v>1.0380333951762499</v>
          </cell>
          <cell r="G160">
            <v>638.49035800000001</v>
          </cell>
          <cell r="H160">
            <v>2.0253411306042799</v>
          </cell>
          <cell r="I160">
            <v>636.813265</v>
          </cell>
          <cell r="J160">
            <v>2.0233918128654902</v>
          </cell>
          <cell r="K160">
            <v>154.49297300000001</v>
          </cell>
          <cell r="L160">
            <v>1.0253164556962</v>
          </cell>
          <cell r="M160">
            <v>154.49297300000001</v>
          </cell>
          <cell r="N160">
            <v>1.0253164556962</v>
          </cell>
          <cell r="O160">
            <v>141.56959900000001</v>
          </cell>
          <cell r="P160">
            <v>1.0048875855327399</v>
          </cell>
          <cell r="Q160">
            <v>141.56959900000001</v>
          </cell>
          <cell r="R160">
            <v>1.0048875855327399</v>
          </cell>
          <cell r="S160">
            <v>3.5634999999999999</v>
          </cell>
          <cell r="T160">
            <v>2.8815368196371299E-2</v>
          </cell>
          <cell r="U160">
            <v>3.5634999999999999</v>
          </cell>
          <cell r="V160">
            <v>2.8815368196371299E-2</v>
          </cell>
        </row>
        <row r="161">
          <cell r="A161" t="str">
            <v>010005</v>
          </cell>
          <cell r="B161">
            <v>111</v>
          </cell>
          <cell r="C161">
            <v>372.971092</v>
          </cell>
          <cell r="D161">
            <v>2.8692307692307599</v>
          </cell>
          <cell r="E161">
            <v>372.971092</v>
          </cell>
          <cell r="F161">
            <v>2.8692307692307599</v>
          </cell>
          <cell r="G161">
            <v>642.08119799999997</v>
          </cell>
          <cell r="H161">
            <v>2.8571428571428501</v>
          </cell>
          <cell r="I161">
            <v>642.08119799999997</v>
          </cell>
          <cell r="J161">
            <v>2.8571428571428501</v>
          </cell>
          <cell r="K161">
            <v>242.96370899999999</v>
          </cell>
          <cell r="L161">
            <v>1.0322580645161199</v>
          </cell>
          <cell r="M161">
            <v>242.96370899999999</v>
          </cell>
          <cell r="N161">
            <v>1.0322580645161199</v>
          </cell>
          <cell r="O161">
            <v>265.76652799999999</v>
          </cell>
          <cell r="P161">
            <v>2.1735537190082601</v>
          </cell>
          <cell r="Q161">
            <v>265.76652799999999</v>
          </cell>
          <cell r="R161">
            <v>2.1735537190082601</v>
          </cell>
          <cell r="S161">
            <v>30.495370000000001</v>
          </cell>
          <cell r="T161">
            <v>0.12962962962962901</v>
          </cell>
          <cell r="U161">
            <v>30.495370000000001</v>
          </cell>
          <cell r="V161">
            <v>0.12962962962962901</v>
          </cell>
        </row>
        <row r="162">
          <cell r="A162" t="str">
            <v>010007</v>
          </cell>
          <cell r="B162">
            <v>776.11111100000005</v>
          </cell>
          <cell r="C162">
            <v>30.099985</v>
          </cell>
          <cell r="D162">
            <v>0.111665004985044</v>
          </cell>
          <cell r="E162">
            <v>18.608654000000001</v>
          </cell>
          <cell r="F162">
            <v>0.101694915254237</v>
          </cell>
          <cell r="G162">
            <v>217.15977899999999</v>
          </cell>
          <cell r="H162">
            <v>2.4722222222222201</v>
          </cell>
          <cell r="I162">
            <v>213.00673599999999</v>
          </cell>
          <cell r="J162">
            <v>2.4412393162393098</v>
          </cell>
          <cell r="K162">
            <v>846.075109</v>
          </cell>
          <cell r="L162">
            <v>1.2838323353293399</v>
          </cell>
          <cell r="M162">
            <v>133.36572799999999</v>
          </cell>
          <cell r="N162">
            <v>1.1017964071856201</v>
          </cell>
          <cell r="O162">
            <v>162.152018</v>
          </cell>
          <cell r="P162">
            <v>1.2435105067985099</v>
          </cell>
          <cell r="Q162">
            <v>162.152018</v>
          </cell>
          <cell r="R162">
            <v>1.2435105067985099</v>
          </cell>
          <cell r="S162">
            <v>574.39570000000003</v>
          </cell>
          <cell r="T162">
            <v>3.0923566878980799</v>
          </cell>
          <cell r="U162">
            <v>482.99888499999997</v>
          </cell>
          <cell r="V162">
            <v>2.96815286624203</v>
          </cell>
        </row>
        <row r="163">
          <cell r="A163" t="str">
            <v>010008</v>
          </cell>
          <cell r="B163">
            <v>1801.2222220000001</v>
          </cell>
          <cell r="C163">
            <v>29.782986000000001</v>
          </cell>
          <cell r="D163">
            <v>0.21078701155751201</v>
          </cell>
          <cell r="E163">
            <v>29.782986000000001</v>
          </cell>
          <cell r="F163">
            <v>0.21078701155751201</v>
          </cell>
          <cell r="G163">
            <v>57.368872000000003</v>
          </cell>
          <cell r="H163">
            <v>0.454345434543454</v>
          </cell>
          <cell r="I163">
            <v>33.126474999999999</v>
          </cell>
          <cell r="J163">
            <v>0.43454345434543401</v>
          </cell>
          <cell r="K163">
            <v>18.046326000000001</v>
          </cell>
          <cell r="L163">
            <v>0.103296703296703</v>
          </cell>
          <cell r="M163">
            <v>6.9902280000000001</v>
          </cell>
          <cell r="N163">
            <v>8.5164835164835098E-2</v>
          </cell>
          <cell r="O163">
            <v>308.55598400000002</v>
          </cell>
          <cell r="P163">
            <v>2.2184546970539101</v>
          </cell>
          <cell r="Q163">
            <v>291.01009800000003</v>
          </cell>
          <cell r="R163">
            <v>2.20511395219566</v>
          </cell>
          <cell r="S163">
            <v>208.37335200000001</v>
          </cell>
          <cell r="T163">
            <v>0.76590909090908998</v>
          </cell>
          <cell r="U163">
            <v>93.570710000000005</v>
          </cell>
          <cell r="V163">
            <v>0.71193181818181805</v>
          </cell>
        </row>
        <row r="164">
          <cell r="A164" t="str">
            <v>010102</v>
          </cell>
          <cell r="B164">
            <v>2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32.333333000000003</v>
          </cell>
          <cell r="P164">
            <v>0.33333333333333298</v>
          </cell>
          <cell r="Q164">
            <v>32.333333000000003</v>
          </cell>
          <cell r="R164">
            <v>0.33333333333333298</v>
          </cell>
          <cell r="S164">
            <v>496.6</v>
          </cell>
          <cell r="T164">
            <v>3</v>
          </cell>
          <cell r="U164">
            <v>0</v>
          </cell>
          <cell r="V164">
            <v>0</v>
          </cell>
        </row>
        <row r="165">
          <cell r="A165" t="str">
            <v>010105</v>
          </cell>
          <cell r="B165">
            <v>1386.8</v>
          </cell>
          <cell r="C165">
            <v>550.33210699999995</v>
          </cell>
          <cell r="D165">
            <v>1.1463112213267199</v>
          </cell>
          <cell r="E165">
            <v>91.335877999999994</v>
          </cell>
          <cell r="F165">
            <v>0.67823930564166102</v>
          </cell>
          <cell r="G165">
            <v>83.687313000000003</v>
          </cell>
          <cell r="H165">
            <v>0.366790582403965</v>
          </cell>
          <cell r="I165">
            <v>79.896744999999996</v>
          </cell>
          <cell r="J165">
            <v>0.30978934324659202</v>
          </cell>
          <cell r="K165">
            <v>2094.8493279999998</v>
          </cell>
          <cell r="L165">
            <v>1.81474597273853</v>
          </cell>
          <cell r="M165">
            <v>93.186089999999993</v>
          </cell>
          <cell r="N165">
            <v>0.469640644361833</v>
          </cell>
          <cell r="O165">
            <v>112.272687</v>
          </cell>
          <cell r="P165">
            <v>0.602731222842954</v>
          </cell>
          <cell r="Q165">
            <v>104.398324</v>
          </cell>
          <cell r="R165">
            <v>0.59217877094972005</v>
          </cell>
          <cell r="S165">
            <v>909.54775199999995</v>
          </cell>
          <cell r="T165">
            <v>4.4792531120331898</v>
          </cell>
          <cell r="U165">
            <v>780.83326399999999</v>
          </cell>
          <cell r="V165">
            <v>4.3485477178423197</v>
          </cell>
        </row>
        <row r="166">
          <cell r="A166" t="str">
            <v>010106</v>
          </cell>
          <cell r="B166">
            <v>1736</v>
          </cell>
          <cell r="C166">
            <v>28.479469999999999</v>
          </cell>
          <cell r="D166">
            <v>3.7058152793614497E-2</v>
          </cell>
          <cell r="E166">
            <v>2.0636160000000001</v>
          </cell>
          <cell r="F166">
            <v>1.6533637400228E-2</v>
          </cell>
          <cell r="G166">
            <v>14.968885</v>
          </cell>
          <cell r="H166">
            <v>7.1674311926605505E-2</v>
          </cell>
          <cell r="I166">
            <v>14.178967</v>
          </cell>
          <cell r="J166">
            <v>7.0527522935779796E-2</v>
          </cell>
          <cell r="K166">
            <v>1155.09286</v>
          </cell>
          <cell r="L166">
            <v>1.58721934369602</v>
          </cell>
          <cell r="M166">
            <v>108.682124</v>
          </cell>
          <cell r="N166">
            <v>0.24179620034542301</v>
          </cell>
          <cell r="O166">
            <v>43.826830999999999</v>
          </cell>
          <cell r="P166">
            <v>0.18176572417772599</v>
          </cell>
          <cell r="Q166">
            <v>40.280495999999999</v>
          </cell>
          <cell r="R166">
            <v>0.17484131563762201</v>
          </cell>
          <cell r="S166">
            <v>182.04721499999999</v>
          </cell>
          <cell r="T166">
            <v>1.1734813084112099</v>
          </cell>
          <cell r="U166">
            <v>21.992289</v>
          </cell>
          <cell r="V166">
            <v>0.17523364485981299</v>
          </cell>
        </row>
        <row r="167">
          <cell r="A167" t="str">
            <v>010202</v>
          </cell>
          <cell r="B167">
            <v>1744.1111109999999</v>
          </cell>
          <cell r="C167">
            <v>2385.0134619999999</v>
          </cell>
          <cell r="D167">
            <v>1.38633754305396</v>
          </cell>
          <cell r="E167">
            <v>84.275773999999998</v>
          </cell>
          <cell r="F167">
            <v>0.106199770378874</v>
          </cell>
          <cell r="G167">
            <v>7.1537940000000004</v>
          </cell>
          <cell r="H167">
            <v>2.92096219931271E-2</v>
          </cell>
          <cell r="I167">
            <v>6.8473639999999998</v>
          </cell>
          <cell r="J167">
            <v>2.8636884306987302E-2</v>
          </cell>
          <cell r="K167">
            <v>379.24580300000002</v>
          </cell>
          <cell r="L167">
            <v>1.0034324942791699</v>
          </cell>
          <cell r="M167">
            <v>6.8813110000000002</v>
          </cell>
          <cell r="N167">
            <v>0.108695652173913</v>
          </cell>
          <cell r="O167">
            <v>27.870401000000001</v>
          </cell>
          <cell r="P167">
            <v>0.18853868194842399</v>
          </cell>
          <cell r="Q167">
            <v>27.870401000000001</v>
          </cell>
          <cell r="R167">
            <v>0.18853868194842399</v>
          </cell>
          <cell r="S167">
            <v>197.76667499999999</v>
          </cell>
          <cell r="T167">
            <v>1.20919540229885</v>
          </cell>
          <cell r="U167">
            <v>193.054204</v>
          </cell>
          <cell r="V167">
            <v>1.20632183908045</v>
          </cell>
        </row>
        <row r="168">
          <cell r="A168" t="str">
            <v>010203</v>
          </cell>
          <cell r="B168">
            <v>1034.2</v>
          </cell>
          <cell r="C168">
            <v>3029.463225</v>
          </cell>
          <cell r="D168">
            <v>2.6499517839922802</v>
          </cell>
          <cell r="E168">
            <v>425.58282300000002</v>
          </cell>
          <cell r="F168">
            <v>1.5024108003857199</v>
          </cell>
          <cell r="G168">
            <v>109.002543</v>
          </cell>
          <cell r="H168">
            <v>1.1424446583253101</v>
          </cell>
          <cell r="I168">
            <v>107.293363</v>
          </cell>
          <cell r="J168">
            <v>1.1405197305101</v>
          </cell>
          <cell r="K168">
            <v>467.33579099999997</v>
          </cell>
          <cell r="L168">
            <v>2.1774349083895799</v>
          </cell>
          <cell r="M168">
            <v>202.876904</v>
          </cell>
          <cell r="N168">
            <v>1.0925747348119501</v>
          </cell>
          <cell r="O168">
            <v>357.09536400000002</v>
          </cell>
          <cell r="P168">
            <v>0.45348837209302301</v>
          </cell>
          <cell r="Q168">
            <v>356.87204400000002</v>
          </cell>
          <cell r="R168">
            <v>0.45251937984496099</v>
          </cell>
          <cell r="S168">
            <v>601.84004200000004</v>
          </cell>
          <cell r="T168">
            <v>2.6929824561403501</v>
          </cell>
          <cell r="U168">
            <v>247.38791399999999</v>
          </cell>
          <cell r="V168">
            <v>2.0477582846003801</v>
          </cell>
        </row>
        <row r="169">
          <cell r="A169" t="str">
            <v>010204</v>
          </cell>
          <cell r="B169">
            <v>2201.8000000000002</v>
          </cell>
          <cell r="C169">
            <v>3997.8700640000002</v>
          </cell>
          <cell r="D169">
            <v>1.13974187805963</v>
          </cell>
          <cell r="E169">
            <v>174.63033999999999</v>
          </cell>
          <cell r="F169">
            <v>0.12683578104138801</v>
          </cell>
          <cell r="G169">
            <v>235.24125100000001</v>
          </cell>
          <cell r="H169">
            <v>1.10315315315315</v>
          </cell>
          <cell r="I169">
            <v>6.4149289999999999</v>
          </cell>
          <cell r="J169">
            <v>9.5495495495495394E-2</v>
          </cell>
          <cell r="K169">
            <v>75.459018</v>
          </cell>
          <cell r="L169">
            <v>0.342117219445706</v>
          </cell>
          <cell r="M169">
            <v>58.725791000000001</v>
          </cell>
          <cell r="N169">
            <v>0.307587460245343</v>
          </cell>
          <cell r="O169">
            <v>416.03294299999999</v>
          </cell>
          <cell r="P169">
            <v>0.97022446174988497</v>
          </cell>
          <cell r="Q169">
            <v>24.125827999999998</v>
          </cell>
          <cell r="R169">
            <v>0.18140174072377399</v>
          </cell>
          <cell r="S169">
            <v>179.12714600000001</v>
          </cell>
          <cell r="T169">
            <v>1.0421686746987899</v>
          </cell>
          <cell r="U169">
            <v>178.45395400000001</v>
          </cell>
          <cell r="V169">
            <v>1.0407784986098201</v>
          </cell>
        </row>
        <row r="170">
          <cell r="A170" t="str">
            <v>010401</v>
          </cell>
          <cell r="B170">
            <v>1151.777777</v>
          </cell>
          <cell r="C170">
            <v>110.178701</v>
          </cell>
          <cell r="D170">
            <v>0.88706896551724101</v>
          </cell>
          <cell r="E170">
            <v>110.178701</v>
          </cell>
          <cell r="F170">
            <v>0.88706896551724101</v>
          </cell>
          <cell r="G170">
            <v>331.195266</v>
          </cell>
          <cell r="H170">
            <v>1.6534140017286001</v>
          </cell>
          <cell r="I170">
            <v>279.91585600000002</v>
          </cell>
          <cell r="J170">
            <v>1.5782195332757101</v>
          </cell>
          <cell r="K170">
            <v>215.27431999999999</v>
          </cell>
          <cell r="L170">
            <v>0.82668977469670701</v>
          </cell>
          <cell r="M170">
            <v>48.050967</v>
          </cell>
          <cell r="N170">
            <v>0.48006932409012099</v>
          </cell>
          <cell r="O170">
            <v>61.311869000000002</v>
          </cell>
          <cell r="P170">
            <v>0.37999999999999901</v>
          </cell>
          <cell r="Q170">
            <v>19.94013</v>
          </cell>
          <cell r="R170">
            <v>0.121739130434782</v>
          </cell>
          <cell r="S170">
            <v>245.57797600000001</v>
          </cell>
          <cell r="T170">
            <v>2.2767075306479798</v>
          </cell>
          <cell r="U170">
            <v>242.56500199999999</v>
          </cell>
          <cell r="V170">
            <v>2.2600700525394002</v>
          </cell>
        </row>
        <row r="171">
          <cell r="A171" t="str">
            <v>010402</v>
          </cell>
          <cell r="B171">
            <v>562.375</v>
          </cell>
          <cell r="C171">
            <v>39.410721000000002</v>
          </cell>
          <cell r="D171">
            <v>0.172291296625222</v>
          </cell>
          <cell r="E171">
            <v>39.410721000000002</v>
          </cell>
          <cell r="F171">
            <v>0.172291296625222</v>
          </cell>
          <cell r="G171">
            <v>180.164714</v>
          </cell>
          <cell r="H171">
            <v>1.0017482517482501</v>
          </cell>
          <cell r="I171">
            <v>180.164714</v>
          </cell>
          <cell r="J171">
            <v>1.0017482517482501</v>
          </cell>
          <cell r="K171">
            <v>55.006489999999999</v>
          </cell>
          <cell r="L171">
            <v>3.6842105263157801E-2</v>
          </cell>
          <cell r="M171">
            <v>1.7919879999999999</v>
          </cell>
          <cell r="N171">
            <v>2.1052631578947299E-2</v>
          </cell>
          <cell r="O171">
            <v>20.079619000000001</v>
          </cell>
          <cell r="P171">
            <v>9.4474153297682703E-2</v>
          </cell>
          <cell r="Q171">
            <v>7.1553769999999997</v>
          </cell>
          <cell r="R171">
            <v>4.8128342245989303E-2</v>
          </cell>
          <cell r="S171">
            <v>226.36279400000001</v>
          </cell>
          <cell r="T171">
            <v>2.2776769509981798</v>
          </cell>
          <cell r="U171">
            <v>217.79171199999999</v>
          </cell>
          <cell r="V171">
            <v>2.1978221415607901</v>
          </cell>
        </row>
        <row r="172">
          <cell r="A172" t="str">
            <v>010403</v>
          </cell>
          <cell r="B172">
            <v>876</v>
          </cell>
          <cell r="C172">
            <v>55.715629</v>
          </cell>
          <cell r="D172">
            <v>0.797266514806378</v>
          </cell>
          <cell r="E172">
            <v>55.715629</v>
          </cell>
          <cell r="F172">
            <v>0.797266514806378</v>
          </cell>
          <cell r="G172">
            <v>423.19388900000001</v>
          </cell>
          <cell r="H172">
            <v>1.9683257918552</v>
          </cell>
          <cell r="I172">
            <v>314.19064400000002</v>
          </cell>
          <cell r="J172">
            <v>1.68325791855203</v>
          </cell>
          <cell r="K172">
            <v>473.47740399999998</v>
          </cell>
          <cell r="L172">
            <v>1.15227272727272</v>
          </cell>
          <cell r="M172">
            <v>147.38768899999999</v>
          </cell>
          <cell r="N172">
            <v>0.94772727272727197</v>
          </cell>
          <cell r="O172">
            <v>475.54275000000001</v>
          </cell>
          <cell r="P172">
            <v>1.3732876712328701</v>
          </cell>
          <cell r="Q172">
            <v>72.243663999999995</v>
          </cell>
          <cell r="R172">
            <v>0.30936073059360703</v>
          </cell>
          <cell r="S172">
            <v>744.29014900000004</v>
          </cell>
          <cell r="T172">
            <v>3.8991888760139002</v>
          </cell>
          <cell r="U172">
            <v>679.55463399999996</v>
          </cell>
          <cell r="V172">
            <v>3.50869061413673</v>
          </cell>
        </row>
        <row r="173">
          <cell r="A173" t="str">
            <v>010404</v>
          </cell>
          <cell r="B173">
            <v>885</v>
          </cell>
          <cell r="C173">
            <v>317.99444</v>
          </cell>
          <cell r="D173">
            <v>2.1701602959309398</v>
          </cell>
          <cell r="E173">
            <v>317.99444</v>
          </cell>
          <cell r="F173">
            <v>2.1701602959309398</v>
          </cell>
          <cell r="G173">
            <v>268.63967100000002</v>
          </cell>
          <cell r="H173">
            <v>1.27827050997782</v>
          </cell>
          <cell r="I173">
            <v>208.69333399999999</v>
          </cell>
          <cell r="J173">
            <v>1.23170731707317</v>
          </cell>
          <cell r="K173">
            <v>859.54957200000001</v>
          </cell>
          <cell r="L173">
            <v>1.58928571428571</v>
          </cell>
          <cell r="M173">
            <v>360.75368300000002</v>
          </cell>
          <cell r="N173">
            <v>1.28459821428571</v>
          </cell>
          <cell r="O173">
            <v>432.438267</v>
          </cell>
          <cell r="P173">
            <v>0.63798882681564195</v>
          </cell>
          <cell r="Q173">
            <v>130.931173</v>
          </cell>
          <cell r="R173">
            <v>0.34413407821228997</v>
          </cell>
          <cell r="S173">
            <v>327.86595</v>
          </cell>
          <cell r="T173">
            <v>2.8721719457013499</v>
          </cell>
          <cell r="U173">
            <v>277.06002999999998</v>
          </cell>
          <cell r="V173">
            <v>2.7138009049773699</v>
          </cell>
        </row>
        <row r="174">
          <cell r="A174" t="str">
            <v>010601</v>
          </cell>
          <cell r="B174">
            <v>1127.2222220000001</v>
          </cell>
          <cell r="C174">
            <v>262.34449799999999</v>
          </cell>
          <cell r="D174">
            <v>0.78364116094986802</v>
          </cell>
          <cell r="E174">
            <v>234.84881100000001</v>
          </cell>
          <cell r="F174">
            <v>0.75109938434476597</v>
          </cell>
          <cell r="G174">
            <v>72.091661999999999</v>
          </cell>
          <cell r="H174">
            <v>0.69162995594713605</v>
          </cell>
          <cell r="I174">
            <v>72.091661999999999</v>
          </cell>
          <cell r="J174">
            <v>0.69162995594713605</v>
          </cell>
          <cell r="K174">
            <v>680.081369</v>
          </cell>
          <cell r="L174">
            <v>1.8547387068201899</v>
          </cell>
          <cell r="M174">
            <v>667.19741599999998</v>
          </cell>
          <cell r="N174">
            <v>1.8494242692648299</v>
          </cell>
          <cell r="O174">
            <v>452.25712399999998</v>
          </cell>
          <cell r="P174">
            <v>3.4791111111111102</v>
          </cell>
          <cell r="Q174">
            <v>248.47479899999999</v>
          </cell>
          <cell r="R174">
            <v>3.1608888888888802</v>
          </cell>
          <cell r="S174">
            <v>384.81525900000003</v>
          </cell>
          <cell r="T174">
            <v>1.4434470377019699</v>
          </cell>
          <cell r="U174">
            <v>171.98430500000001</v>
          </cell>
          <cell r="V174">
            <v>1.1292639138240499</v>
          </cell>
        </row>
        <row r="175">
          <cell r="A175" t="str">
            <v>010602</v>
          </cell>
          <cell r="B175">
            <v>781</v>
          </cell>
          <cell r="C175">
            <v>376.764072</v>
          </cell>
          <cell r="D175">
            <v>0.52941176470588203</v>
          </cell>
          <cell r="E175">
            <v>72.542137999999994</v>
          </cell>
          <cell r="F175">
            <v>0.167519181585677</v>
          </cell>
          <cell r="G175">
            <v>415.676534</v>
          </cell>
          <cell r="H175">
            <v>0.31800766283524901</v>
          </cell>
          <cell r="I175">
            <v>48.061349</v>
          </cell>
          <cell r="J175">
            <v>0.19029374201787899</v>
          </cell>
          <cell r="K175">
            <v>1012.946291</v>
          </cell>
          <cell r="L175">
            <v>2.4654731457800501</v>
          </cell>
          <cell r="M175">
            <v>968.13352499999996</v>
          </cell>
          <cell r="N175">
            <v>2.4565217391304301</v>
          </cell>
          <cell r="O175">
            <v>269.11325099999999</v>
          </cell>
          <cell r="P175">
            <v>2.3162612035851402</v>
          </cell>
          <cell r="Q175">
            <v>55.345902000000002</v>
          </cell>
          <cell r="R175">
            <v>2.1779769526248298</v>
          </cell>
          <cell r="S175">
            <v>358.56490700000001</v>
          </cell>
          <cell r="T175">
            <v>1.09266409266409</v>
          </cell>
          <cell r="U175">
            <v>93.032818000000006</v>
          </cell>
          <cell r="V175">
            <v>0.34234234234234201</v>
          </cell>
        </row>
        <row r="176">
          <cell r="A176" t="str">
            <v>010603</v>
          </cell>
          <cell r="B176">
            <v>828.8</v>
          </cell>
          <cell r="C176">
            <v>420.06436600000001</v>
          </cell>
          <cell r="D176">
            <v>1.3409090909090899</v>
          </cell>
          <cell r="E176">
            <v>293.43209100000001</v>
          </cell>
          <cell r="F176">
            <v>1.05023923444976</v>
          </cell>
          <cell r="G176">
            <v>248.911261</v>
          </cell>
          <cell r="H176">
            <v>0.27305389221556797</v>
          </cell>
          <cell r="I176">
            <v>89.430642000000006</v>
          </cell>
          <cell r="J176">
            <v>0.208383233532934</v>
          </cell>
          <cell r="K176">
            <v>1352.0778170000001</v>
          </cell>
          <cell r="L176">
            <v>3.4921780986762898</v>
          </cell>
          <cell r="M176">
            <v>943.59668999999997</v>
          </cell>
          <cell r="N176">
            <v>2.4500601684717198</v>
          </cell>
          <cell r="O176">
            <v>145.40572399999999</v>
          </cell>
          <cell r="P176">
            <v>2.3361753958586999</v>
          </cell>
          <cell r="Q176">
            <v>109.594701</v>
          </cell>
          <cell r="R176">
            <v>2.2070645554202102</v>
          </cell>
          <cell r="S176">
            <v>33.884265999999997</v>
          </cell>
          <cell r="T176">
            <v>0.15712545676004799</v>
          </cell>
          <cell r="U176">
            <v>6.7880019999999996</v>
          </cell>
          <cell r="V176">
            <v>6.2119366626065702E-2</v>
          </cell>
        </row>
        <row r="177">
          <cell r="A177" t="str">
            <v>010701</v>
          </cell>
          <cell r="B177">
            <v>1424.333333</v>
          </cell>
          <cell r="C177">
            <v>84.231854999999996</v>
          </cell>
          <cell r="D177">
            <v>0.76882776686313004</v>
          </cell>
          <cell r="E177">
            <v>84.231854999999996</v>
          </cell>
          <cell r="F177">
            <v>0.76882776686313004</v>
          </cell>
          <cell r="G177">
            <v>142.66576599999999</v>
          </cell>
          <cell r="H177">
            <v>0.22708894878706101</v>
          </cell>
          <cell r="I177">
            <v>28.071584000000001</v>
          </cell>
          <cell r="J177">
            <v>0.15161725067385401</v>
          </cell>
          <cell r="K177">
            <v>178.81865099999999</v>
          </cell>
          <cell r="L177">
            <v>0.24099722991689701</v>
          </cell>
          <cell r="M177">
            <v>9.3858840000000008</v>
          </cell>
          <cell r="N177">
            <v>9.0720221606648097E-2</v>
          </cell>
          <cell r="O177">
            <v>84.1661</v>
          </cell>
          <cell r="P177">
            <v>0.74349710982658901</v>
          </cell>
          <cell r="Q177">
            <v>64.126818</v>
          </cell>
          <cell r="R177">
            <v>0.68352601156069304</v>
          </cell>
          <cell r="S177">
            <v>437.59974899999997</v>
          </cell>
          <cell r="T177">
            <v>2.66866566716641</v>
          </cell>
          <cell r="U177">
            <v>429.87859800000001</v>
          </cell>
          <cell r="V177">
            <v>2.6634182908545698</v>
          </cell>
        </row>
        <row r="178">
          <cell r="A178" t="str">
            <v>010702</v>
          </cell>
          <cell r="B178">
            <v>311.28571399999998</v>
          </cell>
          <cell r="C178">
            <v>13.676214</v>
          </cell>
          <cell r="D178">
            <v>5.7692307692307598E-2</v>
          </cell>
          <cell r="E178">
            <v>13.676214</v>
          </cell>
          <cell r="F178">
            <v>5.7692307692307598E-2</v>
          </cell>
          <cell r="G178">
            <v>1.9508449999999999</v>
          </cell>
          <cell r="H178">
            <v>1.09890109890109E-2</v>
          </cell>
          <cell r="I178">
            <v>1.9508449999999999</v>
          </cell>
          <cell r="J178">
            <v>1.09890109890109E-2</v>
          </cell>
          <cell r="K178">
            <v>127.44730800000001</v>
          </cell>
          <cell r="L178">
            <v>2.1302083333333299</v>
          </cell>
          <cell r="M178">
            <v>69.940538000000004</v>
          </cell>
          <cell r="N178">
            <v>1.703125</v>
          </cell>
          <cell r="O178">
            <v>2.5583629999999999</v>
          </cell>
          <cell r="P178">
            <v>4.8561151079136597E-2</v>
          </cell>
          <cell r="Q178">
            <v>2.5583629999999999</v>
          </cell>
          <cell r="R178">
            <v>4.8561151079136597E-2</v>
          </cell>
          <cell r="S178">
            <v>841.44239500000003</v>
          </cell>
          <cell r="T178">
            <v>2.1569343065693398</v>
          </cell>
          <cell r="U178">
            <v>36.008819000000003</v>
          </cell>
          <cell r="V178">
            <v>0.14781021897810201</v>
          </cell>
        </row>
        <row r="179">
          <cell r="A179" t="str">
            <v>010703</v>
          </cell>
          <cell r="B179">
            <v>3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48.012500000000003</v>
          </cell>
          <cell r="P179">
            <v>0.75</v>
          </cell>
          <cell r="Q179">
            <v>48.012500000000003</v>
          </cell>
          <cell r="R179">
            <v>0.75</v>
          </cell>
          <cell r="S179">
            <v>45.7</v>
          </cell>
          <cell r="T179">
            <v>0.5</v>
          </cell>
          <cell r="U179">
            <v>45.7</v>
          </cell>
          <cell r="V179">
            <v>0.5</v>
          </cell>
        </row>
        <row r="180">
          <cell r="A180" t="str">
            <v>010704</v>
          </cell>
          <cell r="B180">
            <v>44.75</v>
          </cell>
          <cell r="C180">
            <v>9.4555159999999994</v>
          </cell>
          <cell r="D180">
            <v>7.69230769230769E-2</v>
          </cell>
          <cell r="E180">
            <v>0.78014899999999998</v>
          </cell>
          <cell r="F180">
            <v>1.9230769230769201E-2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22.509649</v>
          </cell>
          <cell r="L180">
            <v>2.6315789473684199E-2</v>
          </cell>
          <cell r="M180">
            <v>0</v>
          </cell>
          <cell r="N180">
            <v>0</v>
          </cell>
          <cell r="O180">
            <v>231.058108</v>
          </cell>
          <cell r="P180">
            <v>1.7567567567567499</v>
          </cell>
          <cell r="Q180">
            <v>231.058108</v>
          </cell>
          <cell r="R180">
            <v>1.7567567567567499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</row>
        <row r="181">
          <cell r="A181" t="str">
            <v>010705</v>
          </cell>
          <cell r="B181">
            <v>95.75</v>
          </cell>
          <cell r="C181">
            <v>1.0463089999999999</v>
          </cell>
          <cell r="D181">
            <v>1.0204081632653E-2</v>
          </cell>
          <cell r="E181">
            <v>1.0463089999999999</v>
          </cell>
          <cell r="F181">
            <v>1.0204081632653E-2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83.971903999999995</v>
          </cell>
          <cell r="L181">
            <v>1.0571428571428501</v>
          </cell>
          <cell r="M181">
            <v>83.971903999999995</v>
          </cell>
          <cell r="N181">
            <v>1.0571428571428501</v>
          </cell>
          <cell r="O181">
            <v>61.904370999999998</v>
          </cell>
          <cell r="P181">
            <v>1.14754098360655</v>
          </cell>
          <cell r="Q181">
            <v>61.904370999999998</v>
          </cell>
          <cell r="R181">
            <v>1.14754098360655</v>
          </cell>
          <cell r="S181">
            <v>169.243154</v>
          </cell>
          <cell r="T181">
            <v>0.32142857142857101</v>
          </cell>
          <cell r="U181">
            <v>169.243154</v>
          </cell>
          <cell r="V181">
            <v>0.32142857142857101</v>
          </cell>
        </row>
        <row r="182">
          <cell r="A182" t="str">
            <v>010901</v>
          </cell>
          <cell r="B182">
            <v>42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41.324573000000001</v>
          </cell>
          <cell r="H182">
            <v>2.3809523809523801E-2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404.75387499999999</v>
          </cell>
          <cell r="P182">
            <v>0.81395348837209303</v>
          </cell>
          <cell r="Q182">
            <v>404.75387499999999</v>
          </cell>
          <cell r="R182">
            <v>0.81395348837209303</v>
          </cell>
          <cell r="S182">
            <v>65.209755999999999</v>
          </cell>
          <cell r="T182">
            <v>0.146341463414634</v>
          </cell>
          <cell r="U182">
            <v>65.209755999999999</v>
          </cell>
          <cell r="V182">
            <v>0.146341463414634</v>
          </cell>
        </row>
        <row r="183">
          <cell r="A183" t="str">
            <v>010902</v>
          </cell>
          <cell r="B183">
            <v>149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39.033098000000003</v>
          </cell>
          <cell r="L183">
            <v>0.23943661971830901</v>
          </cell>
          <cell r="M183">
            <v>39.033098000000003</v>
          </cell>
          <cell r="N183">
            <v>0.23943661971830901</v>
          </cell>
          <cell r="O183">
            <v>399.911858</v>
          </cell>
          <cell r="P183">
            <v>0.80128205128205099</v>
          </cell>
          <cell r="Q183">
            <v>399.911858</v>
          </cell>
          <cell r="R183">
            <v>0.80128205128205099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</row>
        <row r="184">
          <cell r="A184" t="str">
            <v>010903</v>
          </cell>
          <cell r="B184">
            <v>441.75</v>
          </cell>
          <cell r="C184">
            <v>47.521447000000002</v>
          </cell>
          <cell r="D184">
            <v>0.21768707482993099</v>
          </cell>
          <cell r="E184">
            <v>47.521447000000002</v>
          </cell>
          <cell r="F184">
            <v>0.21768707482993099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128.973544</v>
          </cell>
          <cell r="L184">
            <v>0.99773242630385395</v>
          </cell>
          <cell r="M184">
            <v>128.973544</v>
          </cell>
          <cell r="N184">
            <v>0.99773242630385395</v>
          </cell>
          <cell r="O184">
            <v>0.52077600000000002</v>
          </cell>
          <cell r="P184">
            <v>4.5248868778280504E-3</v>
          </cell>
          <cell r="Q184">
            <v>0.52077600000000002</v>
          </cell>
          <cell r="R184">
            <v>4.5248868778280504E-3</v>
          </cell>
          <cell r="S184">
            <v>2.316252</v>
          </cell>
          <cell r="T184">
            <v>2.2573363431151201E-3</v>
          </cell>
          <cell r="U184">
            <v>0</v>
          </cell>
          <cell r="V184">
            <v>0</v>
          </cell>
        </row>
        <row r="185">
          <cell r="A185" t="str">
            <v>010904</v>
          </cell>
          <cell r="B185">
            <v>17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78.336274000000003</v>
          </cell>
          <cell r="L185">
            <v>0.64705882352941102</v>
          </cell>
          <cell r="M185">
            <v>78.336274000000003</v>
          </cell>
          <cell r="N185">
            <v>0.64705882352941102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</row>
        <row r="186">
          <cell r="A186" t="str">
            <v>010906</v>
          </cell>
          <cell r="B186">
            <v>15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8.4937500000000004</v>
          </cell>
          <cell r="L186">
            <v>6.25E-2</v>
          </cell>
          <cell r="M186">
            <v>8.4937500000000004</v>
          </cell>
          <cell r="N186">
            <v>6.25E-2</v>
          </cell>
          <cell r="O186">
            <v>34.084522999999997</v>
          </cell>
          <cell r="P186">
            <v>7.1428571428571397E-2</v>
          </cell>
          <cell r="Q186">
            <v>34.084522999999997</v>
          </cell>
          <cell r="R186">
            <v>7.1428571428571397E-2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</row>
        <row r="187">
          <cell r="A187" t="str">
            <v>010907</v>
          </cell>
          <cell r="B187">
            <v>113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147.17374599999999</v>
          </cell>
          <cell r="P187">
            <v>1.0796460176991101</v>
          </cell>
          <cell r="Q187">
            <v>147.17374599999999</v>
          </cell>
          <cell r="R187">
            <v>1.0796460176991101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</row>
        <row r="188">
          <cell r="A188" t="str">
            <v>010909</v>
          </cell>
          <cell r="B188">
            <v>315.75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42.768166000000001</v>
          </cell>
          <cell r="H188">
            <v>0.29429429429429399</v>
          </cell>
          <cell r="I188">
            <v>42.768166000000001</v>
          </cell>
          <cell r="J188">
            <v>0.29429429429429399</v>
          </cell>
          <cell r="K188">
            <v>28.030664000000002</v>
          </cell>
          <cell r="L188">
            <v>0.14803625377643501</v>
          </cell>
          <cell r="M188">
            <v>28.030664000000002</v>
          </cell>
          <cell r="N188">
            <v>0.14803625377643501</v>
          </cell>
          <cell r="O188">
            <v>133.141772</v>
          </cell>
          <cell r="P188">
            <v>0.974683544303797</v>
          </cell>
          <cell r="Q188">
            <v>133.141772</v>
          </cell>
          <cell r="R188">
            <v>0.974683544303797</v>
          </cell>
          <cell r="S188">
            <v>22.615428999999999</v>
          </cell>
          <cell r="T188">
            <v>0.19434628975265</v>
          </cell>
          <cell r="U188">
            <v>22.615428999999999</v>
          </cell>
          <cell r="V188">
            <v>0.19434628975265</v>
          </cell>
        </row>
        <row r="189">
          <cell r="A189" t="str">
            <v>010911</v>
          </cell>
          <cell r="B189">
            <v>115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136.25</v>
          </cell>
          <cell r="P189">
            <v>1</v>
          </cell>
          <cell r="Q189">
            <v>136.25</v>
          </cell>
          <cell r="R189">
            <v>1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</row>
        <row r="190">
          <cell r="A190" t="str">
            <v>010912</v>
          </cell>
          <cell r="B190">
            <v>339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136.379842</v>
          </cell>
          <cell r="P190">
            <v>0.99705014749262499</v>
          </cell>
          <cell r="Q190">
            <v>136.379842</v>
          </cell>
          <cell r="R190">
            <v>0.99705014749262499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</row>
        <row r="191">
          <cell r="A191" t="str">
            <v>010913</v>
          </cell>
          <cell r="B191">
            <v>114.5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31.431577999999998</v>
          </cell>
          <cell r="L191">
            <v>0.105263157894736</v>
          </cell>
          <cell r="M191">
            <v>31.431577999999998</v>
          </cell>
          <cell r="N191">
            <v>0.105263157894736</v>
          </cell>
          <cell r="O191">
            <v>187.08608599999999</v>
          </cell>
          <cell r="P191">
            <v>1.09565217391304</v>
          </cell>
          <cell r="Q191">
            <v>187.08608599999999</v>
          </cell>
          <cell r="R191">
            <v>1.09565217391304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</row>
        <row r="192">
          <cell r="A192" t="str">
            <v>010914</v>
          </cell>
          <cell r="B192">
            <v>106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136.58333300000001</v>
          </cell>
          <cell r="P192">
            <v>1</v>
          </cell>
          <cell r="Q192">
            <v>136.58333300000001</v>
          </cell>
          <cell r="R192">
            <v>1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</row>
        <row r="193">
          <cell r="A193" t="str">
            <v>010921</v>
          </cell>
          <cell r="B193">
            <v>132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396.816666</v>
          </cell>
          <cell r="L193">
            <v>1</v>
          </cell>
          <cell r="M193">
            <v>396.816666</v>
          </cell>
          <cell r="N193">
            <v>1</v>
          </cell>
          <cell r="O193">
            <v>0.70686199999999999</v>
          </cell>
          <cell r="P193">
            <v>7.3529411764705803E-3</v>
          </cell>
          <cell r="Q193">
            <v>0.70686199999999999</v>
          </cell>
          <cell r="R193">
            <v>7.3529411764705803E-3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</row>
        <row r="194">
          <cell r="A194" t="str">
            <v>010922</v>
          </cell>
          <cell r="B194">
            <v>25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136.58333300000001</v>
          </cell>
          <cell r="P194">
            <v>1</v>
          </cell>
          <cell r="Q194">
            <v>136.58333300000001</v>
          </cell>
          <cell r="R194">
            <v>1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</row>
        <row r="195">
          <cell r="A195" t="str">
            <v>011001</v>
          </cell>
          <cell r="B195">
            <v>1324.2</v>
          </cell>
          <cell r="C195">
            <v>42.748506999999996</v>
          </cell>
          <cell r="D195">
            <v>0.67179487179487096</v>
          </cell>
          <cell r="E195">
            <v>31.658344</v>
          </cell>
          <cell r="F195">
            <v>0.66666666666666596</v>
          </cell>
          <cell r="G195">
            <v>193.14869100000001</v>
          </cell>
          <cell r="H195">
            <v>0.91239792130660702</v>
          </cell>
          <cell r="I195">
            <v>142.22969399999999</v>
          </cell>
          <cell r="J195">
            <v>0.60876020786933904</v>
          </cell>
          <cell r="K195">
            <v>1100.944385</v>
          </cell>
          <cell r="L195">
            <v>0.85884988797610096</v>
          </cell>
          <cell r="M195">
            <v>52.865558</v>
          </cell>
          <cell r="N195">
            <v>0.21657953696788601</v>
          </cell>
          <cell r="O195">
            <v>70.229326</v>
          </cell>
          <cell r="P195">
            <v>0.55538809344385798</v>
          </cell>
          <cell r="Q195">
            <v>63.483735000000003</v>
          </cell>
          <cell r="R195">
            <v>0.52825923134890695</v>
          </cell>
          <cell r="S195">
            <v>245.00484</v>
          </cell>
          <cell r="T195">
            <v>0.76830249396620998</v>
          </cell>
          <cell r="U195">
            <v>98.810779999999994</v>
          </cell>
          <cell r="V195">
            <v>0.59935639581657196</v>
          </cell>
        </row>
        <row r="196">
          <cell r="A196" t="str">
            <v>011002</v>
          </cell>
          <cell r="B196">
            <v>1543.6</v>
          </cell>
          <cell r="C196">
            <v>240.60669300000001</v>
          </cell>
          <cell r="D196">
            <v>0.55705128205128196</v>
          </cell>
          <cell r="E196">
            <v>65.370772000000002</v>
          </cell>
          <cell r="F196">
            <v>0.19423076923076901</v>
          </cell>
          <cell r="G196">
            <v>566.54559300000005</v>
          </cell>
          <cell r="H196">
            <v>0.54463712267180397</v>
          </cell>
          <cell r="I196">
            <v>21.958767999999999</v>
          </cell>
          <cell r="J196">
            <v>0.10854206807963999</v>
          </cell>
          <cell r="K196">
            <v>778.92553999999996</v>
          </cell>
          <cell r="L196">
            <v>1.2431906614785899</v>
          </cell>
          <cell r="M196">
            <v>31.029907000000001</v>
          </cell>
          <cell r="N196">
            <v>0.383916990920881</v>
          </cell>
          <cell r="O196">
            <v>147.90561600000001</v>
          </cell>
          <cell r="P196">
            <v>0.445893089960886</v>
          </cell>
          <cell r="Q196">
            <v>56.401890000000002</v>
          </cell>
          <cell r="R196">
            <v>0.36636245110821303</v>
          </cell>
          <cell r="S196">
            <v>1518.215518</v>
          </cell>
          <cell r="T196">
            <v>2.9954098360655701</v>
          </cell>
          <cell r="U196">
            <v>281.72267699999998</v>
          </cell>
          <cell r="V196">
            <v>2.0386885245901598</v>
          </cell>
        </row>
        <row r="197">
          <cell r="A197" t="str">
            <v>011003</v>
          </cell>
          <cell r="B197">
            <v>2212.8000000000002</v>
          </cell>
          <cell r="C197">
            <v>336.735389</v>
          </cell>
          <cell r="D197">
            <v>1.5540540540540499</v>
          </cell>
          <cell r="E197">
            <v>80.746723000000003</v>
          </cell>
          <cell r="F197">
            <v>1.2170111287758301</v>
          </cell>
          <cell r="G197">
            <v>724.08528799999999</v>
          </cell>
          <cell r="H197">
            <v>1.12682333873581</v>
          </cell>
          <cell r="I197">
            <v>425.19933300000002</v>
          </cell>
          <cell r="J197">
            <v>0.859805510534846</v>
          </cell>
          <cell r="K197">
            <v>333.149653</v>
          </cell>
          <cell r="L197">
            <v>0.783299389002036</v>
          </cell>
          <cell r="M197">
            <v>116.026157</v>
          </cell>
          <cell r="N197">
            <v>0.61099796334012202</v>
          </cell>
          <cell r="O197">
            <v>112.82250500000001</v>
          </cell>
          <cell r="P197">
            <v>0.81252558329922198</v>
          </cell>
          <cell r="Q197">
            <v>80.469627000000003</v>
          </cell>
          <cell r="R197">
            <v>0.76422431436757998</v>
          </cell>
          <cell r="S197">
            <v>581.67684299999996</v>
          </cell>
          <cell r="T197">
            <v>2.2692622950819601</v>
          </cell>
          <cell r="U197">
            <v>269.95242400000001</v>
          </cell>
          <cell r="V197">
            <v>1.9237704918032701</v>
          </cell>
        </row>
        <row r="198">
          <cell r="A198" t="str">
            <v>011004</v>
          </cell>
          <cell r="B198">
            <v>924</v>
          </cell>
          <cell r="C198">
            <v>82.669078999999996</v>
          </cell>
          <cell r="D198">
            <v>0.27492130115424901</v>
          </cell>
          <cell r="E198">
            <v>70.038928999999996</v>
          </cell>
          <cell r="F198">
            <v>0.24973767051416501</v>
          </cell>
          <cell r="G198">
            <v>245.51318900000001</v>
          </cell>
          <cell r="H198">
            <v>1.5379746835443</v>
          </cell>
          <cell r="I198">
            <v>244.28589700000001</v>
          </cell>
          <cell r="J198">
            <v>1.5369198312236201</v>
          </cell>
          <cell r="K198">
            <v>1690.7991219999999</v>
          </cell>
          <cell r="L198">
            <v>4.7189473684210501</v>
          </cell>
          <cell r="M198">
            <v>212.37831499999999</v>
          </cell>
          <cell r="N198">
            <v>2.5042105263157799</v>
          </cell>
          <cell r="O198">
            <v>177.39886899999999</v>
          </cell>
          <cell r="P198">
            <v>0.87636761487964898</v>
          </cell>
          <cell r="Q198">
            <v>168.408862</v>
          </cell>
          <cell r="R198">
            <v>0.84901531728665203</v>
          </cell>
          <cell r="S198">
            <v>952.88087599999994</v>
          </cell>
          <cell r="T198">
            <v>2.1064327485380101</v>
          </cell>
          <cell r="U198">
            <v>174.17754300000001</v>
          </cell>
          <cell r="V198">
            <v>1.2467836257309901</v>
          </cell>
        </row>
        <row r="199">
          <cell r="A199" t="str">
            <v>011101</v>
          </cell>
          <cell r="B199">
            <v>1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138</v>
          </cell>
          <cell r="L199">
            <v>1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130.73333299999999</v>
          </cell>
          <cell r="T199">
            <v>1</v>
          </cell>
          <cell r="U199">
            <v>130.73333299999999</v>
          </cell>
          <cell r="V199">
            <v>1</v>
          </cell>
        </row>
        <row r="200">
          <cell r="A200" t="str">
            <v>011201</v>
          </cell>
          <cell r="B200">
            <v>832.2</v>
          </cell>
          <cell r="C200">
            <v>574.63288499999999</v>
          </cell>
          <cell r="D200">
            <v>2.2808441558441501</v>
          </cell>
          <cell r="E200">
            <v>344.96066300000001</v>
          </cell>
          <cell r="F200">
            <v>1.80032467532467</v>
          </cell>
          <cell r="G200">
            <v>474.93555700000002</v>
          </cell>
          <cell r="H200">
            <v>2.6700111482720099</v>
          </cell>
          <cell r="I200">
            <v>473.908477</v>
          </cell>
          <cell r="J200">
            <v>2.6666666666666599</v>
          </cell>
          <cell r="K200">
            <v>3139.8135229999998</v>
          </cell>
          <cell r="L200">
            <v>2.7553310886644198</v>
          </cell>
          <cell r="M200">
            <v>217.810755</v>
          </cell>
          <cell r="N200">
            <v>1.02805836139169</v>
          </cell>
          <cell r="O200">
            <v>890.098117</v>
          </cell>
          <cell r="P200">
            <v>3.8072976054732002</v>
          </cell>
          <cell r="Q200">
            <v>799.38148899999999</v>
          </cell>
          <cell r="R200">
            <v>3.7434435575826601</v>
          </cell>
          <cell r="S200">
            <v>4810.2025169999997</v>
          </cell>
          <cell r="T200">
            <v>4.8352272727272698</v>
          </cell>
          <cell r="U200">
            <v>867.10376799999995</v>
          </cell>
          <cell r="V200">
            <v>2.2329545454545401</v>
          </cell>
        </row>
        <row r="201">
          <cell r="A201" t="str">
            <v>011202</v>
          </cell>
          <cell r="B201">
            <v>669.6</v>
          </cell>
          <cell r="C201">
            <v>700.62365999999997</v>
          </cell>
          <cell r="D201">
            <v>1.93947368421052</v>
          </cell>
          <cell r="E201">
            <v>621.49978199999998</v>
          </cell>
          <cell r="F201">
            <v>1.7763157894736801</v>
          </cell>
          <cell r="G201">
            <v>428.03564399999999</v>
          </cell>
          <cell r="H201">
            <v>0.78835978835978804</v>
          </cell>
          <cell r="I201">
            <v>426.79935999999998</v>
          </cell>
          <cell r="J201">
            <v>0.78439153439153397</v>
          </cell>
          <cell r="K201">
            <v>1214.80421</v>
          </cell>
          <cell r="L201">
            <v>1.9813829787234001</v>
          </cell>
          <cell r="M201">
            <v>351.85815600000001</v>
          </cell>
          <cell r="N201">
            <v>1.2287234042553099</v>
          </cell>
          <cell r="O201">
            <v>2251.2978579999999</v>
          </cell>
          <cell r="P201">
            <v>3.5759668508287201</v>
          </cell>
          <cell r="Q201">
            <v>821.17612699999995</v>
          </cell>
          <cell r="R201">
            <v>2.7610497237569001</v>
          </cell>
          <cell r="S201">
            <v>1549.0701529999999</v>
          </cell>
          <cell r="T201">
            <v>2.6562499999999898</v>
          </cell>
          <cell r="U201">
            <v>561.28217800000004</v>
          </cell>
          <cell r="V201">
            <v>1.9293478260869501</v>
          </cell>
        </row>
        <row r="202">
          <cell r="A202" t="str">
            <v>011301</v>
          </cell>
          <cell r="B202">
            <v>1465.6</v>
          </cell>
          <cell r="C202">
            <v>778.16098899999997</v>
          </cell>
          <cell r="D202">
            <v>2.6135488837567298</v>
          </cell>
          <cell r="E202">
            <v>186.918668</v>
          </cell>
          <cell r="F202">
            <v>1.45573518090839</v>
          </cell>
          <cell r="G202">
            <v>72.302437999999995</v>
          </cell>
          <cell r="H202">
            <v>0.41506533435818599</v>
          </cell>
          <cell r="I202">
            <v>61.301881000000002</v>
          </cell>
          <cell r="J202">
            <v>0.39046887009992298</v>
          </cell>
          <cell r="K202">
            <v>401.33213699999999</v>
          </cell>
          <cell r="L202">
            <v>0.64341590612777</v>
          </cell>
          <cell r="M202">
            <v>36.668653999999997</v>
          </cell>
          <cell r="N202">
            <v>0.41329856584093799</v>
          </cell>
          <cell r="O202">
            <v>500.86766599999999</v>
          </cell>
          <cell r="P202">
            <v>1.8218749999999999</v>
          </cell>
          <cell r="Q202">
            <v>345.39336400000002</v>
          </cell>
          <cell r="R202">
            <v>1.4937499999999999</v>
          </cell>
          <cell r="S202">
            <v>104.254024</v>
          </cell>
          <cell r="T202">
            <v>0.59473023839397698</v>
          </cell>
          <cell r="U202">
            <v>30.010152000000001</v>
          </cell>
          <cell r="V202">
            <v>0.22835633626097801</v>
          </cell>
        </row>
        <row r="203">
          <cell r="A203" t="str">
            <v>011302</v>
          </cell>
          <cell r="B203">
            <v>895.55555500000003</v>
          </cell>
          <cell r="C203">
            <v>64.908264000000003</v>
          </cell>
          <cell r="D203">
            <v>0.44834307992202699</v>
          </cell>
          <cell r="E203">
            <v>44.976351000000001</v>
          </cell>
          <cell r="F203">
            <v>0.38011695906432702</v>
          </cell>
          <cell r="G203">
            <v>5.8870560000000003</v>
          </cell>
          <cell r="H203">
            <v>3.6417322834645598E-2</v>
          </cell>
          <cell r="I203">
            <v>5.8870560000000003</v>
          </cell>
          <cell r="J203">
            <v>3.6417322834645598E-2</v>
          </cell>
          <cell r="K203">
            <v>98.487296999999998</v>
          </cell>
          <cell r="L203">
            <v>0.31786771964461902</v>
          </cell>
          <cell r="M203">
            <v>38.170236000000003</v>
          </cell>
          <cell r="N203">
            <v>0.288252714708785</v>
          </cell>
          <cell r="O203">
            <v>131.760019</v>
          </cell>
          <cell r="P203">
            <v>8.51703406813627E-2</v>
          </cell>
          <cell r="Q203">
            <v>20.787692</v>
          </cell>
          <cell r="R203">
            <v>3.9078156312625199E-2</v>
          </cell>
          <cell r="S203">
            <v>292.99077999999997</v>
          </cell>
          <cell r="T203">
            <v>1.8817635270541</v>
          </cell>
          <cell r="U203">
            <v>256.17082399999998</v>
          </cell>
          <cell r="V203">
            <v>1.7595190380761501</v>
          </cell>
        </row>
        <row r="204">
          <cell r="A204" t="str">
            <v>011401</v>
          </cell>
          <cell r="B204">
            <v>472.4</v>
          </cell>
          <cell r="C204">
            <v>1833.566875</v>
          </cell>
          <cell r="D204">
            <v>3.8025210084033598</v>
          </cell>
          <cell r="E204">
            <v>913.290257</v>
          </cell>
          <cell r="F204">
            <v>3.4264705882352899</v>
          </cell>
          <cell r="G204">
            <v>447.425321</v>
          </cell>
          <cell r="H204">
            <v>0.78691983122362796</v>
          </cell>
          <cell r="I204">
            <v>48.654372000000002</v>
          </cell>
          <cell r="J204">
            <v>0.42616033755274202</v>
          </cell>
          <cell r="K204">
            <v>115.785203</v>
          </cell>
          <cell r="L204">
            <v>0.64618644067796605</v>
          </cell>
          <cell r="M204">
            <v>31.673974999999999</v>
          </cell>
          <cell r="N204">
            <v>0.45338983050847398</v>
          </cell>
          <cell r="O204">
            <v>809.110367</v>
          </cell>
          <cell r="P204">
            <v>2.9660297239914999</v>
          </cell>
          <cell r="Q204">
            <v>357.725796</v>
          </cell>
          <cell r="R204">
            <v>1.7707006369426701</v>
          </cell>
          <cell r="S204">
            <v>729.94850699999995</v>
          </cell>
          <cell r="T204">
            <v>1.3795309168443399</v>
          </cell>
          <cell r="U204">
            <v>168.04523800000001</v>
          </cell>
          <cell r="V204">
            <v>0.93176972281449799</v>
          </cell>
        </row>
        <row r="205">
          <cell r="A205" t="str">
            <v>011402</v>
          </cell>
          <cell r="B205">
            <v>354.8</v>
          </cell>
          <cell r="C205">
            <v>658.10435399999994</v>
          </cell>
          <cell r="D205">
            <v>1.2584269662921299</v>
          </cell>
          <cell r="E205">
            <v>440.837309</v>
          </cell>
          <cell r="F205">
            <v>1.1769662921348301</v>
          </cell>
          <cell r="G205">
            <v>48.697991999999999</v>
          </cell>
          <cell r="H205">
            <v>0.25770308123249203</v>
          </cell>
          <cell r="I205">
            <v>44.476419</v>
          </cell>
          <cell r="J205">
            <v>0.252100840336134</v>
          </cell>
          <cell r="K205">
            <v>397.23005599999999</v>
          </cell>
          <cell r="L205">
            <v>1.14887640449438</v>
          </cell>
          <cell r="M205">
            <v>11.116807</v>
          </cell>
          <cell r="N205">
            <v>9.2696629213483095E-2</v>
          </cell>
          <cell r="O205">
            <v>39.23892</v>
          </cell>
          <cell r="P205">
            <v>0.16338028169013999</v>
          </cell>
          <cell r="Q205">
            <v>15.612629</v>
          </cell>
          <cell r="R205">
            <v>0.118309859154929</v>
          </cell>
          <cell r="S205">
            <v>15.353047</v>
          </cell>
          <cell r="T205">
            <v>2.8571428571428501E-2</v>
          </cell>
          <cell r="U205">
            <v>3.1630470000000002</v>
          </cell>
          <cell r="V205">
            <v>2.57142857142857E-2</v>
          </cell>
        </row>
        <row r="206">
          <cell r="A206" t="str">
            <v>011501</v>
          </cell>
          <cell r="B206">
            <v>24.75</v>
          </cell>
          <cell r="C206">
            <v>119.909492</v>
          </cell>
          <cell r="D206">
            <v>1.0384615384615301</v>
          </cell>
          <cell r="E206">
            <v>119.909492</v>
          </cell>
          <cell r="F206">
            <v>1.0384615384615301</v>
          </cell>
          <cell r="G206">
            <v>9.5225860000000004</v>
          </cell>
          <cell r="H206">
            <v>7.4074074074074001E-2</v>
          </cell>
          <cell r="I206">
            <v>9.5225860000000004</v>
          </cell>
          <cell r="J206">
            <v>7.4074074074074001E-2</v>
          </cell>
          <cell r="K206">
            <v>2.3351850000000001</v>
          </cell>
          <cell r="L206">
            <v>3.7037037037037E-2</v>
          </cell>
          <cell r="M206">
            <v>2.3351850000000001</v>
          </cell>
          <cell r="N206">
            <v>3.7037037037037E-2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4.8263150000000001</v>
          </cell>
          <cell r="T206">
            <v>5.2631578947368397E-2</v>
          </cell>
          <cell r="U206">
            <v>4.8263150000000001</v>
          </cell>
          <cell r="V206">
            <v>5.2631578947368397E-2</v>
          </cell>
        </row>
        <row r="207">
          <cell r="A207" t="str">
            <v>011502</v>
          </cell>
          <cell r="B207">
            <v>80.400000000000006</v>
          </cell>
          <cell r="C207">
            <v>8.6171489999999995</v>
          </cell>
          <cell r="D207">
            <v>4.4117647058823498E-2</v>
          </cell>
          <cell r="E207">
            <v>8.6171489999999995</v>
          </cell>
          <cell r="F207">
            <v>4.4117647058823498E-2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22.30021</v>
          </cell>
          <cell r="L207">
            <v>0.240506329113924</v>
          </cell>
          <cell r="M207">
            <v>22.30021</v>
          </cell>
          <cell r="N207">
            <v>0.240506329113924</v>
          </cell>
          <cell r="O207">
            <v>60.329628999999997</v>
          </cell>
          <cell r="P207">
            <v>0.22222222222222199</v>
          </cell>
          <cell r="Q207">
            <v>60.329628999999997</v>
          </cell>
          <cell r="R207">
            <v>0.22222222222222199</v>
          </cell>
          <cell r="S207">
            <v>5.0390800000000002</v>
          </cell>
          <cell r="T207">
            <v>2.2988505747126398E-2</v>
          </cell>
          <cell r="U207">
            <v>1.7691570000000001</v>
          </cell>
          <cell r="V207">
            <v>1.1494252873563199E-2</v>
          </cell>
        </row>
        <row r="208">
          <cell r="A208" t="str">
            <v>011601</v>
          </cell>
          <cell r="B208">
            <v>1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200.83333300000001</v>
          </cell>
          <cell r="P208">
            <v>1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</row>
        <row r="209">
          <cell r="A209" t="str">
            <v>011701</v>
          </cell>
          <cell r="B209">
            <v>1579.75</v>
          </cell>
          <cell r="C209">
            <v>340.03686599999997</v>
          </cell>
          <cell r="D209">
            <v>1.0718829516539401</v>
          </cell>
          <cell r="E209">
            <v>102.189554</v>
          </cell>
          <cell r="F209">
            <v>0.86195928753180595</v>
          </cell>
          <cell r="G209">
            <v>47.403716000000003</v>
          </cell>
          <cell r="H209">
            <v>0.227388535031847</v>
          </cell>
          <cell r="I209">
            <v>47.403716000000003</v>
          </cell>
          <cell r="J209">
            <v>0.227388535031847</v>
          </cell>
          <cell r="K209">
            <v>1656.279125</v>
          </cell>
          <cell r="L209">
            <v>1.03587443946188</v>
          </cell>
          <cell r="M209">
            <v>144.384806</v>
          </cell>
          <cell r="N209">
            <v>0.27418321588725098</v>
          </cell>
          <cell r="O209">
            <v>31.434335000000001</v>
          </cell>
          <cell r="P209">
            <v>8.8888888888888795E-2</v>
          </cell>
          <cell r="Q209">
            <v>31.434335000000001</v>
          </cell>
          <cell r="R209">
            <v>8.8888888888888795E-2</v>
          </cell>
          <cell r="S209">
            <v>453.048339</v>
          </cell>
          <cell r="T209">
            <v>0.457823960880195</v>
          </cell>
          <cell r="U209">
            <v>140.99685199999999</v>
          </cell>
          <cell r="V209">
            <v>0.36369193154034202</v>
          </cell>
        </row>
        <row r="210">
          <cell r="A210" t="str">
            <v>011702</v>
          </cell>
          <cell r="B210">
            <v>1420</v>
          </cell>
          <cell r="C210">
            <v>266.49823800000001</v>
          </cell>
          <cell r="D210">
            <v>2.3842530282637902</v>
          </cell>
          <cell r="E210">
            <v>221.00989100000001</v>
          </cell>
          <cell r="F210">
            <v>2.34387617765814</v>
          </cell>
          <cell r="G210">
            <v>215.39506800000001</v>
          </cell>
          <cell r="H210">
            <v>1.13573407202216</v>
          </cell>
          <cell r="I210">
            <v>187.62053800000001</v>
          </cell>
          <cell r="J210">
            <v>1.1204986149584399</v>
          </cell>
          <cell r="K210">
            <v>2331.4109189999999</v>
          </cell>
          <cell r="L210">
            <v>1.4830684174153399</v>
          </cell>
          <cell r="M210">
            <v>130.62138899999999</v>
          </cell>
          <cell r="N210">
            <v>0.57360055286800204</v>
          </cell>
          <cell r="O210">
            <v>22.501771999999999</v>
          </cell>
          <cell r="P210">
            <v>0.169680111265646</v>
          </cell>
          <cell r="Q210">
            <v>20.095537</v>
          </cell>
          <cell r="R210">
            <v>0.16620305980528499</v>
          </cell>
          <cell r="S210">
            <v>118.836783</v>
          </cell>
          <cell r="T210">
            <v>0.39766536964980498</v>
          </cell>
          <cell r="U210">
            <v>45.514772999999998</v>
          </cell>
          <cell r="V210">
            <v>0.33073929961089399</v>
          </cell>
        </row>
        <row r="211">
          <cell r="A211" t="str">
            <v>012001</v>
          </cell>
          <cell r="B211">
            <v>341.88888800000001</v>
          </cell>
          <cell r="C211">
            <v>52.946477999999999</v>
          </cell>
          <cell r="D211">
            <v>0.27536231884057899</v>
          </cell>
          <cell r="E211">
            <v>52.946477999999999</v>
          </cell>
          <cell r="F211">
            <v>0.27536231884057899</v>
          </cell>
          <cell r="G211">
            <v>956.58550400000001</v>
          </cell>
          <cell r="H211">
            <v>2.4985337243401702</v>
          </cell>
          <cell r="I211">
            <v>941.10696800000005</v>
          </cell>
          <cell r="J211">
            <v>2.48680351906158</v>
          </cell>
          <cell r="K211">
            <v>3491.2996539999999</v>
          </cell>
          <cell r="L211">
            <v>2.2189349112426</v>
          </cell>
          <cell r="M211">
            <v>218.36809600000001</v>
          </cell>
          <cell r="N211">
            <v>0.93491124260354996</v>
          </cell>
          <cell r="O211">
            <v>864.64538600000003</v>
          </cell>
          <cell r="P211">
            <v>0.99404761904761896</v>
          </cell>
          <cell r="Q211">
            <v>247.35977099999999</v>
          </cell>
          <cell r="R211">
            <v>0.66071428571428503</v>
          </cell>
          <cell r="S211">
            <v>306.43190800000002</v>
          </cell>
          <cell r="T211">
            <v>1.5327635327635301</v>
          </cell>
          <cell r="U211">
            <v>211.38641899999999</v>
          </cell>
          <cell r="V211">
            <v>1.31339031339031</v>
          </cell>
        </row>
        <row r="212">
          <cell r="A212" t="str">
            <v>012002</v>
          </cell>
          <cell r="B212">
            <v>161.11111099999999</v>
          </cell>
          <cell r="C212">
            <v>275.19373300000001</v>
          </cell>
          <cell r="D212">
            <v>1.5</v>
          </cell>
          <cell r="E212">
            <v>275.19373300000001</v>
          </cell>
          <cell r="F212">
            <v>1.5</v>
          </cell>
          <cell r="G212">
            <v>2349.0514710000002</v>
          </cell>
          <cell r="H212">
            <v>3.4411764705882302</v>
          </cell>
          <cell r="I212">
            <v>1564.8435079999999</v>
          </cell>
          <cell r="J212">
            <v>2.8176470588235198</v>
          </cell>
          <cell r="K212">
            <v>3391.6388550000001</v>
          </cell>
          <cell r="L212">
            <v>1.45562130177514</v>
          </cell>
          <cell r="M212">
            <v>34.980176999999998</v>
          </cell>
          <cell r="N212">
            <v>0.30769230769230699</v>
          </cell>
          <cell r="O212">
            <v>1752.6681450000001</v>
          </cell>
          <cell r="P212">
            <v>3.6035502958579801</v>
          </cell>
          <cell r="Q212">
            <v>517.32909199999995</v>
          </cell>
          <cell r="R212">
            <v>2.9763313609467401</v>
          </cell>
          <cell r="S212">
            <v>2041.858845</v>
          </cell>
          <cell r="T212">
            <v>3.1615384615384601</v>
          </cell>
          <cell r="U212">
            <v>391.40833300000003</v>
          </cell>
          <cell r="V212">
            <v>2.2615384615384602</v>
          </cell>
        </row>
        <row r="213">
          <cell r="A213" t="str">
            <v>012101</v>
          </cell>
          <cell r="B213">
            <v>1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32.933332999999998</v>
          </cell>
          <cell r="T213">
            <v>1</v>
          </cell>
          <cell r="U213">
            <v>0</v>
          </cell>
          <cell r="V213">
            <v>0</v>
          </cell>
        </row>
        <row r="214">
          <cell r="A214" t="str">
            <v>012201</v>
          </cell>
          <cell r="B214">
            <v>1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227.3</v>
          </cell>
          <cell r="T214">
            <v>1</v>
          </cell>
          <cell r="U214">
            <v>227.3</v>
          </cell>
          <cell r="V214">
            <v>1</v>
          </cell>
        </row>
        <row r="215">
          <cell r="A215" t="str">
            <v>012401</v>
          </cell>
          <cell r="B215">
            <v>921</v>
          </cell>
          <cell r="C215">
            <v>848.47067200000004</v>
          </cell>
          <cell r="D215">
            <v>1.66738197424892</v>
          </cell>
          <cell r="E215">
            <v>733.12065199999995</v>
          </cell>
          <cell r="F215">
            <v>1.4603004291845401</v>
          </cell>
          <cell r="G215">
            <v>84.611919</v>
          </cell>
          <cell r="H215">
            <v>1.2969762419006401</v>
          </cell>
          <cell r="I215">
            <v>83.263507000000004</v>
          </cell>
          <cell r="J215">
            <v>1.2958963282937299</v>
          </cell>
          <cell r="K215">
            <v>81.041303999999997</v>
          </cell>
          <cell r="L215">
            <v>1.1326086956521699</v>
          </cell>
          <cell r="M215">
            <v>81.041303999999997</v>
          </cell>
          <cell r="N215">
            <v>1.1326086956521699</v>
          </cell>
          <cell r="O215">
            <v>233.43727999999999</v>
          </cell>
          <cell r="P215">
            <v>1.3234649122807001</v>
          </cell>
          <cell r="Q215">
            <v>221.71809200000001</v>
          </cell>
          <cell r="R215">
            <v>1.3048245614034999</v>
          </cell>
          <cell r="S215">
            <v>44.497154000000002</v>
          </cell>
          <cell r="T215">
            <v>0.16960352422907399</v>
          </cell>
          <cell r="U215">
            <v>44.497154000000002</v>
          </cell>
          <cell r="V215">
            <v>0.16960352422907399</v>
          </cell>
        </row>
        <row r="216">
          <cell r="A216" t="str">
            <v>012402</v>
          </cell>
          <cell r="B216">
            <v>931.6</v>
          </cell>
          <cell r="C216">
            <v>117.438817</v>
          </cell>
          <cell r="D216">
            <v>0.66071428571428503</v>
          </cell>
          <cell r="E216">
            <v>91.608433000000005</v>
          </cell>
          <cell r="F216">
            <v>0.63865546218487301</v>
          </cell>
          <cell r="G216">
            <v>148.24242699999999</v>
          </cell>
          <cell r="H216">
            <v>2.2313432835820799</v>
          </cell>
          <cell r="I216">
            <v>111.927072</v>
          </cell>
          <cell r="J216">
            <v>2.10127931769722</v>
          </cell>
          <cell r="K216">
            <v>133.91836499999999</v>
          </cell>
          <cell r="L216">
            <v>1.362660944206</v>
          </cell>
          <cell r="M216">
            <v>96.429417000000001</v>
          </cell>
          <cell r="N216">
            <v>1.3444206008583599</v>
          </cell>
          <cell r="O216">
            <v>33.469169999999998</v>
          </cell>
          <cell r="P216">
            <v>0.26054054054053999</v>
          </cell>
          <cell r="Q216">
            <v>31.746198</v>
          </cell>
          <cell r="R216">
            <v>0.25945945945945897</v>
          </cell>
          <cell r="S216">
            <v>114.455213</v>
          </cell>
          <cell r="T216">
            <v>0.53787047200878102</v>
          </cell>
          <cell r="U216">
            <v>94.269848999999994</v>
          </cell>
          <cell r="V216">
            <v>0.50713501646542203</v>
          </cell>
        </row>
        <row r="217">
          <cell r="A217" t="str">
            <v>012501</v>
          </cell>
          <cell r="B217">
            <v>1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360</v>
          </cell>
          <cell r="P217">
            <v>1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</row>
        <row r="218">
          <cell r="A218" t="str">
            <v>012701</v>
          </cell>
          <cell r="B218">
            <v>667.8</v>
          </cell>
          <cell r="C218">
            <v>860.15236300000004</v>
          </cell>
          <cell r="D218">
            <v>3.5111464968152801</v>
          </cell>
          <cell r="E218">
            <v>584.09228700000006</v>
          </cell>
          <cell r="F218">
            <v>3.4012738853503102</v>
          </cell>
          <cell r="G218">
            <v>540.16525000000001</v>
          </cell>
          <cell r="H218">
            <v>1.22575516693163</v>
          </cell>
          <cell r="I218">
            <v>174.506124</v>
          </cell>
          <cell r="J218">
            <v>0.69634340222575497</v>
          </cell>
          <cell r="K218">
            <v>1544.5976680000001</v>
          </cell>
          <cell r="L218">
            <v>2.9871382636655901</v>
          </cell>
          <cell r="M218">
            <v>335.29619500000001</v>
          </cell>
          <cell r="N218">
            <v>1.5578778135048199</v>
          </cell>
          <cell r="O218">
            <v>484.83588300000002</v>
          </cell>
          <cell r="P218">
            <v>1.3104956268221499</v>
          </cell>
          <cell r="Q218">
            <v>107.15998500000001</v>
          </cell>
          <cell r="R218">
            <v>0.76967930029154497</v>
          </cell>
          <cell r="S218">
            <v>1437.914039</v>
          </cell>
          <cell r="T218">
            <v>3.30232558139534</v>
          </cell>
          <cell r="U218">
            <v>593.23374200000001</v>
          </cell>
          <cell r="V218">
            <v>2.4741602067183401</v>
          </cell>
        </row>
        <row r="219">
          <cell r="A219" t="str">
            <v>012702</v>
          </cell>
          <cell r="B219">
            <v>3</v>
          </cell>
          <cell r="C219">
            <v>127</v>
          </cell>
          <cell r="D219">
            <v>1</v>
          </cell>
          <cell r="E219">
            <v>127</v>
          </cell>
          <cell r="F219">
            <v>1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233</v>
          </cell>
          <cell r="L219">
            <v>1</v>
          </cell>
          <cell r="M219">
            <v>233</v>
          </cell>
          <cell r="N219">
            <v>1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</row>
        <row r="220">
          <cell r="A220" t="str">
            <v>012801</v>
          </cell>
          <cell r="B220">
            <v>1</v>
          </cell>
          <cell r="C220">
            <v>108</v>
          </cell>
          <cell r="D220">
            <v>1</v>
          </cell>
          <cell r="E220">
            <v>108</v>
          </cell>
          <cell r="F220">
            <v>1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160</v>
          </cell>
          <cell r="P220">
            <v>1</v>
          </cell>
          <cell r="Q220">
            <v>160</v>
          </cell>
          <cell r="R220">
            <v>1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</row>
        <row r="221">
          <cell r="A221" t="str">
            <v>012802</v>
          </cell>
          <cell r="B221">
            <v>648</v>
          </cell>
          <cell r="C221">
            <v>1332.714487</v>
          </cell>
          <cell r="D221">
            <v>3.5412293853073402</v>
          </cell>
          <cell r="E221">
            <v>224.81737100000001</v>
          </cell>
          <cell r="F221">
            <v>2.2998500749625101</v>
          </cell>
          <cell r="G221">
            <v>524.30637200000001</v>
          </cell>
          <cell r="H221">
            <v>2.7912254160362999</v>
          </cell>
          <cell r="I221">
            <v>462.19689599999998</v>
          </cell>
          <cell r="J221">
            <v>2.5642965204235999</v>
          </cell>
          <cell r="K221">
            <v>1060.203685</v>
          </cell>
          <cell r="L221">
            <v>0.91858678955453099</v>
          </cell>
          <cell r="M221">
            <v>62.860802999999997</v>
          </cell>
          <cell r="N221">
            <v>0.39938556067588299</v>
          </cell>
          <cell r="O221">
            <v>650.02007200000003</v>
          </cell>
          <cell r="P221">
            <v>2.35062893081761</v>
          </cell>
          <cell r="Q221">
            <v>163.00566000000001</v>
          </cell>
          <cell r="R221">
            <v>1.00471698113207</v>
          </cell>
          <cell r="S221">
            <v>201.06474499999999</v>
          </cell>
          <cell r="T221">
            <v>0.60960000000000003</v>
          </cell>
          <cell r="U221">
            <v>193.61410599999999</v>
          </cell>
          <cell r="V221">
            <v>0.60640000000000005</v>
          </cell>
        </row>
        <row r="222">
          <cell r="A222" t="str">
            <v>012803</v>
          </cell>
          <cell r="B222">
            <v>4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160</v>
          </cell>
          <cell r="P222">
            <v>1</v>
          </cell>
          <cell r="Q222">
            <v>160</v>
          </cell>
          <cell r="R222">
            <v>1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</row>
        <row r="223">
          <cell r="A223" t="str">
            <v>012804</v>
          </cell>
          <cell r="B223">
            <v>1</v>
          </cell>
          <cell r="C223">
            <v>108</v>
          </cell>
          <cell r="D223">
            <v>1</v>
          </cell>
          <cell r="E223">
            <v>108</v>
          </cell>
          <cell r="F223">
            <v>1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160</v>
          </cell>
          <cell r="P223">
            <v>1</v>
          </cell>
          <cell r="Q223">
            <v>160</v>
          </cell>
          <cell r="R223">
            <v>1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</row>
        <row r="224">
          <cell r="A224" t="str">
            <v>013401</v>
          </cell>
          <cell r="B224">
            <v>599.85714199999995</v>
          </cell>
          <cell r="C224">
            <v>1088.9518459999999</v>
          </cell>
          <cell r="D224">
            <v>1.7528271405492699</v>
          </cell>
          <cell r="E224">
            <v>52.974966000000002</v>
          </cell>
          <cell r="F224">
            <v>1.1340872374797999</v>
          </cell>
          <cell r="G224">
            <v>2983.6147810000002</v>
          </cell>
          <cell r="H224">
            <v>2.65533980582524</v>
          </cell>
          <cell r="I224">
            <v>71.494791000000006</v>
          </cell>
          <cell r="J224">
            <v>1.6488673139158501</v>
          </cell>
          <cell r="K224">
            <v>207.99284800000001</v>
          </cell>
          <cell r="L224">
            <v>1.11879432624113</v>
          </cell>
          <cell r="M224">
            <v>207.99284800000001</v>
          </cell>
          <cell r="N224">
            <v>1.11879432624113</v>
          </cell>
          <cell r="O224">
            <v>0.87268299999999999</v>
          </cell>
          <cell r="P224">
            <v>1.3559322033898299E-2</v>
          </cell>
          <cell r="Q224">
            <v>0.87268299999999999</v>
          </cell>
          <cell r="R224">
            <v>1.3559322033898299E-2</v>
          </cell>
          <cell r="S224">
            <v>247.964856</v>
          </cell>
          <cell r="T224">
            <v>1.6479859894921101</v>
          </cell>
          <cell r="U224">
            <v>247.964856</v>
          </cell>
          <cell r="V224">
            <v>1.6479859894921101</v>
          </cell>
        </row>
        <row r="225">
          <cell r="A225" t="str">
            <v>013402</v>
          </cell>
          <cell r="B225">
            <v>1032.1111109999999</v>
          </cell>
          <cell r="C225">
            <v>2091.2326170000001</v>
          </cell>
          <cell r="D225">
            <v>2.3907156673114098</v>
          </cell>
          <cell r="E225">
            <v>91.821788999999995</v>
          </cell>
          <cell r="F225">
            <v>1.2224371373307501</v>
          </cell>
          <cell r="G225">
            <v>329.24193400000001</v>
          </cell>
          <cell r="H225">
            <v>1.2098646034816201</v>
          </cell>
          <cell r="I225">
            <v>78.647148000000001</v>
          </cell>
          <cell r="J225">
            <v>0.419729206963249</v>
          </cell>
          <cell r="K225">
            <v>211.004198</v>
          </cell>
          <cell r="L225">
            <v>1.22286821705426</v>
          </cell>
          <cell r="M225">
            <v>187.61215999999999</v>
          </cell>
          <cell r="N225">
            <v>1.2180232558139501</v>
          </cell>
          <cell r="O225">
            <v>153.81486899999999</v>
          </cell>
          <cell r="P225">
            <v>1.2485436893203801</v>
          </cell>
          <cell r="Q225">
            <v>146.37595400000001</v>
          </cell>
          <cell r="R225">
            <v>1.2436893203883399</v>
          </cell>
          <cell r="S225">
            <v>15.784969</v>
          </cell>
          <cell r="T225">
            <v>9.6209912536443107E-2</v>
          </cell>
          <cell r="U225">
            <v>15.784969</v>
          </cell>
          <cell r="V225">
            <v>9.6209912536443107E-2</v>
          </cell>
        </row>
        <row r="226">
          <cell r="A226" t="str">
            <v>013403</v>
          </cell>
          <cell r="B226">
            <v>1968.2</v>
          </cell>
          <cell r="C226">
            <v>6401.8231340000002</v>
          </cell>
          <cell r="D226">
            <v>4.40603015075376</v>
          </cell>
          <cell r="E226">
            <v>211.95610099999999</v>
          </cell>
          <cell r="F226">
            <v>2.3824120603015002</v>
          </cell>
          <cell r="G226">
            <v>205.96000799999999</v>
          </cell>
          <cell r="H226">
            <v>3.4258130081300799</v>
          </cell>
          <cell r="I226">
            <v>202.999663</v>
          </cell>
          <cell r="J226">
            <v>3.41361788617886</v>
          </cell>
          <cell r="K226">
            <v>1290.962593</v>
          </cell>
          <cell r="L226">
            <v>0.84775967413441899</v>
          </cell>
          <cell r="M226">
            <v>127.595375</v>
          </cell>
          <cell r="N226">
            <v>0.43584521384928698</v>
          </cell>
          <cell r="O226">
            <v>473.74123200000002</v>
          </cell>
          <cell r="P226">
            <v>2.4785495403472901</v>
          </cell>
          <cell r="Q226">
            <v>288.09900399999998</v>
          </cell>
          <cell r="R226">
            <v>2.2522982635342101</v>
          </cell>
          <cell r="S226">
            <v>262.76480500000002</v>
          </cell>
          <cell r="T226">
            <v>1.2728199898011201</v>
          </cell>
          <cell r="U226">
            <v>258.51331800000003</v>
          </cell>
          <cell r="V226">
            <v>1.24579296277409</v>
          </cell>
        </row>
        <row r="227">
          <cell r="A227" t="str">
            <v>013501</v>
          </cell>
          <cell r="B227">
            <v>2393.5555549999999</v>
          </cell>
          <cell r="C227">
            <v>2174.8289949999998</v>
          </cell>
          <cell r="D227">
            <v>3.0246002460024601</v>
          </cell>
          <cell r="E227">
            <v>568.64623700000004</v>
          </cell>
          <cell r="F227">
            <v>1.67568675686756</v>
          </cell>
          <cell r="G227">
            <v>231.193659</v>
          </cell>
          <cell r="H227">
            <v>1.76048152760481</v>
          </cell>
          <cell r="I227">
            <v>219.41212899999999</v>
          </cell>
          <cell r="J227">
            <v>1.7550850975508501</v>
          </cell>
          <cell r="K227">
            <v>275.02849300000003</v>
          </cell>
          <cell r="L227">
            <v>1.29534109816971</v>
          </cell>
          <cell r="M227">
            <v>9.0735639999999993</v>
          </cell>
          <cell r="N227">
            <v>5.4076539101497498E-2</v>
          </cell>
          <cell r="O227">
            <v>484.41459400000002</v>
          </cell>
          <cell r="P227">
            <v>1.57547568710359</v>
          </cell>
          <cell r="Q227">
            <v>372.55015500000002</v>
          </cell>
          <cell r="R227">
            <v>1.41649048625792</v>
          </cell>
          <cell r="S227">
            <v>15.670493</v>
          </cell>
          <cell r="T227">
            <v>0.165077989601386</v>
          </cell>
          <cell r="U227">
            <v>15.670493</v>
          </cell>
          <cell r="V227">
            <v>0.165077989601386</v>
          </cell>
        </row>
        <row r="228">
          <cell r="A228" t="str">
            <v>013502</v>
          </cell>
          <cell r="B228">
            <v>1164.5555549999999</v>
          </cell>
          <cell r="C228">
            <v>737.89983099999995</v>
          </cell>
          <cell r="D228">
            <v>3.4269854824935901</v>
          </cell>
          <cell r="E228">
            <v>737.72363900000005</v>
          </cell>
          <cell r="F228">
            <v>3.4261315115286002</v>
          </cell>
          <cell r="G228">
            <v>283.20280100000002</v>
          </cell>
          <cell r="H228">
            <v>1.4716494845360799</v>
          </cell>
          <cell r="I228">
            <v>165.967544</v>
          </cell>
          <cell r="J228">
            <v>1.2860824742268</v>
          </cell>
          <cell r="K228">
            <v>51.499668999999997</v>
          </cell>
          <cell r="L228">
            <v>0.40378006872852201</v>
          </cell>
          <cell r="M228">
            <v>48.553550000000001</v>
          </cell>
          <cell r="N228">
            <v>0.402061855670103</v>
          </cell>
          <cell r="O228">
            <v>13.355779</v>
          </cell>
          <cell r="P228">
            <v>6.0085836909871203E-2</v>
          </cell>
          <cell r="Q228">
            <v>9.1297420000000002</v>
          </cell>
          <cell r="R228">
            <v>5.8369098712446298E-2</v>
          </cell>
          <cell r="S228">
            <v>18.993262999999999</v>
          </cell>
          <cell r="T228">
            <v>0.13790112749349501</v>
          </cell>
          <cell r="U228">
            <v>18.993262999999999</v>
          </cell>
          <cell r="V228">
            <v>0.13790112749349501</v>
          </cell>
        </row>
        <row r="229">
          <cell r="A229" t="str">
            <v>013701</v>
          </cell>
          <cell r="B229">
            <v>955.66666599999996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780.23350300000004</v>
          </cell>
          <cell r="L229">
            <v>2.4609856262833598</v>
          </cell>
          <cell r="M229">
            <v>225.680971</v>
          </cell>
          <cell r="N229">
            <v>1.6652977412731</v>
          </cell>
          <cell r="O229">
            <v>1242.0967800000001</v>
          </cell>
          <cell r="P229">
            <v>6.0650826446280899</v>
          </cell>
          <cell r="Q229">
            <v>790.36788899999999</v>
          </cell>
          <cell r="R229">
            <v>4.7334710743801596</v>
          </cell>
          <cell r="S229">
            <v>2331.5864499999998</v>
          </cell>
          <cell r="T229">
            <v>1.3005405405405399</v>
          </cell>
          <cell r="U229">
            <v>73.009135000000001</v>
          </cell>
          <cell r="V229">
            <v>0.31891891891891799</v>
          </cell>
        </row>
        <row r="230">
          <cell r="A230" t="str">
            <v>013702</v>
          </cell>
          <cell r="B230">
            <v>1269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54.932344000000001</v>
          </cell>
          <cell r="P230">
            <v>0.24402308326463301</v>
          </cell>
          <cell r="Q230">
            <v>54.932344000000001</v>
          </cell>
          <cell r="R230">
            <v>0.24402308326463301</v>
          </cell>
          <cell r="S230">
            <v>2674.6676040000002</v>
          </cell>
          <cell r="T230">
            <v>2.9591364687740902</v>
          </cell>
          <cell r="U230">
            <v>249.58695700000001</v>
          </cell>
          <cell r="V230">
            <v>0.63454124903623699</v>
          </cell>
        </row>
        <row r="231">
          <cell r="A231" t="str">
            <v>013801</v>
          </cell>
          <cell r="B231">
            <v>1279.2222220000001</v>
          </cell>
          <cell r="C231">
            <v>365.320875</v>
          </cell>
          <cell r="D231">
            <v>1.20477290223248</v>
          </cell>
          <cell r="E231">
            <v>365.320875</v>
          </cell>
          <cell r="F231">
            <v>1.20477290223248</v>
          </cell>
          <cell r="G231">
            <v>830.47538499999996</v>
          </cell>
          <cell r="H231">
            <v>1.8460943542149999</v>
          </cell>
          <cell r="I231">
            <v>273.44560999999999</v>
          </cell>
          <cell r="J231">
            <v>1.6249033255993801</v>
          </cell>
          <cell r="K231">
            <v>2730.8354420000001</v>
          </cell>
          <cell r="L231">
            <v>2.2903726708074501</v>
          </cell>
          <cell r="M231">
            <v>366.566576</v>
          </cell>
          <cell r="N231">
            <v>1.55046583850931</v>
          </cell>
          <cell r="O231">
            <v>666.15251599999999</v>
          </cell>
          <cell r="P231">
            <v>2.3108433734939702</v>
          </cell>
          <cell r="Q231">
            <v>275.33600999999999</v>
          </cell>
          <cell r="R231">
            <v>1.3373493975903601</v>
          </cell>
          <cell r="S231">
            <v>242.173497</v>
          </cell>
          <cell r="T231">
            <v>2.04527712724434</v>
          </cell>
          <cell r="U231">
            <v>228.513531</v>
          </cell>
          <cell r="V231">
            <v>2.0257611241217699</v>
          </cell>
        </row>
        <row r="232">
          <cell r="A232" t="str">
            <v>013802</v>
          </cell>
          <cell r="B232">
            <v>730.2</v>
          </cell>
          <cell r="C232">
            <v>106.853894</v>
          </cell>
          <cell r="D232">
            <v>1.2948369565217299</v>
          </cell>
          <cell r="E232">
            <v>106.64281800000001</v>
          </cell>
          <cell r="F232">
            <v>1.2934782608695601</v>
          </cell>
          <cell r="G232">
            <v>650.82382900000005</v>
          </cell>
          <cell r="H232">
            <v>1.7222222222222201</v>
          </cell>
          <cell r="I232">
            <v>269.02668299999999</v>
          </cell>
          <cell r="J232">
            <v>1.55826558265582</v>
          </cell>
          <cell r="K232">
            <v>2155.314484</v>
          </cell>
          <cell r="L232">
            <v>3.5681511470985101</v>
          </cell>
          <cell r="M232">
            <v>380.01608099999999</v>
          </cell>
          <cell r="N232">
            <v>2.40350877192982</v>
          </cell>
          <cell r="O232">
            <v>719.87817299999995</v>
          </cell>
          <cell r="P232">
            <v>2.38493150684931</v>
          </cell>
          <cell r="Q232">
            <v>703.62805900000001</v>
          </cell>
          <cell r="R232">
            <v>2.2780821917808201</v>
          </cell>
          <cell r="S232">
            <v>556.88073499999996</v>
          </cell>
          <cell r="T232">
            <v>2.1940509915014101</v>
          </cell>
          <cell r="U232">
            <v>167.686071</v>
          </cell>
          <cell r="V232">
            <v>1.62181303116147</v>
          </cell>
        </row>
        <row r="233">
          <cell r="A233" t="str">
            <v>014101</v>
          </cell>
          <cell r="B233">
            <v>1326.8</v>
          </cell>
          <cell r="C233">
            <v>33.275084</v>
          </cell>
          <cell r="D233">
            <v>0.134128166915052</v>
          </cell>
          <cell r="E233">
            <v>19.549776999999999</v>
          </cell>
          <cell r="F233">
            <v>0.124441132637853</v>
          </cell>
          <cell r="G233">
            <v>642.48428899999999</v>
          </cell>
          <cell r="H233">
            <v>5.2987987987987903</v>
          </cell>
          <cell r="I233">
            <v>356.583259</v>
          </cell>
          <cell r="J233">
            <v>4.1456456456456401</v>
          </cell>
          <cell r="K233">
            <v>302.41675300000003</v>
          </cell>
          <cell r="L233">
            <v>1.7053504144687199</v>
          </cell>
          <cell r="M233">
            <v>150.90771100000001</v>
          </cell>
          <cell r="N233">
            <v>1.64054257724189</v>
          </cell>
          <cell r="O233">
            <v>154.55253099999999</v>
          </cell>
          <cell r="P233">
            <v>0.47014361300075502</v>
          </cell>
          <cell r="Q233">
            <v>85.662054999999995</v>
          </cell>
          <cell r="R233">
            <v>0.41269841269841201</v>
          </cell>
          <cell r="S233">
            <v>162.018587</v>
          </cell>
          <cell r="T233">
            <v>0.291603053435114</v>
          </cell>
          <cell r="U233">
            <v>34.952379000000001</v>
          </cell>
          <cell r="V233">
            <v>0.140458015267175</v>
          </cell>
        </row>
        <row r="234">
          <cell r="A234" t="str">
            <v>014102</v>
          </cell>
          <cell r="B234">
            <v>1971.6</v>
          </cell>
          <cell r="C234">
            <v>15.326548000000001</v>
          </cell>
          <cell r="D234">
            <v>0.10050000000000001</v>
          </cell>
          <cell r="E234">
            <v>11.445187000000001</v>
          </cell>
          <cell r="F234">
            <v>8.9499999999999996E-2</v>
          </cell>
          <cell r="G234">
            <v>114.07307299999999</v>
          </cell>
          <cell r="H234">
            <v>0.34070351758793899</v>
          </cell>
          <cell r="I234">
            <v>7.4622299999999999</v>
          </cell>
          <cell r="J234">
            <v>6.3316582914572803E-2</v>
          </cell>
          <cell r="K234">
            <v>42.121853999999999</v>
          </cell>
          <cell r="L234">
            <v>0.18544719555330899</v>
          </cell>
          <cell r="M234">
            <v>36.841636999999999</v>
          </cell>
          <cell r="N234">
            <v>0.18191005558362799</v>
          </cell>
          <cell r="O234">
            <v>13.521126000000001</v>
          </cell>
          <cell r="P234">
            <v>0.17364657814095999</v>
          </cell>
          <cell r="Q234">
            <v>13.490551</v>
          </cell>
          <cell r="R234">
            <v>0.17313585291113301</v>
          </cell>
          <cell r="S234">
            <v>77.129293000000004</v>
          </cell>
          <cell r="T234">
            <v>0.30191610564474303</v>
          </cell>
          <cell r="U234">
            <v>31.571776</v>
          </cell>
          <cell r="V234">
            <v>0.28896944588296197</v>
          </cell>
        </row>
        <row r="235">
          <cell r="A235" t="str">
            <v>014103</v>
          </cell>
          <cell r="B235">
            <v>1683.6</v>
          </cell>
          <cell r="C235">
            <v>3.3637980000000001</v>
          </cell>
          <cell r="D235">
            <v>2.24783861671469E-2</v>
          </cell>
          <cell r="E235">
            <v>1.7601899999999999</v>
          </cell>
          <cell r="F235">
            <v>2.13256484149855E-2</v>
          </cell>
          <cell r="G235">
            <v>151.08468199999999</v>
          </cell>
          <cell r="H235">
            <v>1.1779953917050601</v>
          </cell>
          <cell r="I235">
            <v>150.904526</v>
          </cell>
          <cell r="J235">
            <v>1.1653225806451599</v>
          </cell>
          <cell r="K235">
            <v>118.429562</v>
          </cell>
          <cell r="L235">
            <v>0.89671090594345004</v>
          </cell>
          <cell r="M235">
            <v>61.812097999999999</v>
          </cell>
          <cell r="N235">
            <v>0.87074437391806103</v>
          </cell>
          <cell r="O235">
            <v>305.14801699999998</v>
          </cell>
          <cell r="P235">
            <v>1.80773672055427</v>
          </cell>
          <cell r="Q235">
            <v>102.626366</v>
          </cell>
          <cell r="R235">
            <v>0.93879907621247105</v>
          </cell>
          <cell r="S235">
            <v>551.24976200000003</v>
          </cell>
          <cell r="T235">
            <v>2.49595141700404</v>
          </cell>
          <cell r="U235">
            <v>551.02088300000003</v>
          </cell>
          <cell r="V235">
            <v>2.4919028340080902</v>
          </cell>
        </row>
        <row r="236">
          <cell r="A236" t="str">
            <v>014104</v>
          </cell>
          <cell r="B236">
            <v>180.75</v>
          </cell>
          <cell r="C236">
            <v>57.126123999999997</v>
          </cell>
          <cell r="D236">
            <v>0.20481927710843301</v>
          </cell>
          <cell r="E236">
            <v>57.126123999999997</v>
          </cell>
          <cell r="F236">
            <v>0.20481927710843301</v>
          </cell>
          <cell r="G236">
            <v>197.810284</v>
          </cell>
          <cell r="H236">
            <v>1.47904191616766</v>
          </cell>
          <cell r="I236">
            <v>196.18448699999999</v>
          </cell>
          <cell r="J236">
            <v>1.47305389221556</v>
          </cell>
          <cell r="K236">
            <v>211.05612400000001</v>
          </cell>
          <cell r="L236">
            <v>1.48795180722891</v>
          </cell>
          <cell r="M236">
            <v>211.05612400000001</v>
          </cell>
          <cell r="N236">
            <v>1.48795180722891</v>
          </cell>
          <cell r="O236">
            <v>742.74444300000005</v>
          </cell>
          <cell r="P236">
            <v>0.61904761904761896</v>
          </cell>
          <cell r="Q236">
            <v>41.849910999999999</v>
          </cell>
          <cell r="R236">
            <v>0.41798941798941702</v>
          </cell>
          <cell r="S236">
            <v>424.81674800000002</v>
          </cell>
          <cell r="T236">
            <v>0.88059701492537301</v>
          </cell>
          <cell r="U236">
            <v>421.15016500000002</v>
          </cell>
          <cell r="V236">
            <v>0.87562189054726303</v>
          </cell>
        </row>
        <row r="237">
          <cell r="A237" t="str">
            <v>014301</v>
          </cell>
          <cell r="B237">
            <v>1984.125</v>
          </cell>
          <cell r="C237">
            <v>41.196576</v>
          </cell>
          <cell r="D237">
            <v>0.32352941176470501</v>
          </cell>
          <cell r="E237">
            <v>39.958897</v>
          </cell>
          <cell r="F237">
            <v>0.322033898305084</v>
          </cell>
          <cell r="G237">
            <v>7.8233079999999999</v>
          </cell>
          <cell r="H237">
            <v>0.121987951807228</v>
          </cell>
          <cell r="I237">
            <v>7.8233079999999999</v>
          </cell>
          <cell r="J237">
            <v>0.121987951807228</v>
          </cell>
          <cell r="K237">
            <v>138.252613</v>
          </cell>
          <cell r="L237">
            <v>0.44589178356713399</v>
          </cell>
          <cell r="M237">
            <v>40.546717999999998</v>
          </cell>
          <cell r="N237">
            <v>0.39128256513026</v>
          </cell>
          <cell r="O237">
            <v>22.028352000000002</v>
          </cell>
          <cell r="P237">
            <v>0.20292781423523401</v>
          </cell>
          <cell r="Q237">
            <v>22.028352000000002</v>
          </cell>
          <cell r="R237">
            <v>0.20292781423523401</v>
          </cell>
          <cell r="S237">
            <v>370.35981199999998</v>
          </cell>
          <cell r="T237">
            <v>1.0785420944558499</v>
          </cell>
          <cell r="U237">
            <v>367.95177899999999</v>
          </cell>
          <cell r="V237">
            <v>1.07443531827515</v>
          </cell>
        </row>
        <row r="238">
          <cell r="A238" t="str">
            <v>014302</v>
          </cell>
          <cell r="B238">
            <v>1450.6666660000001</v>
          </cell>
          <cell r="C238">
            <v>11.531885000000001</v>
          </cell>
          <cell r="D238">
            <v>8.3906464924346599E-2</v>
          </cell>
          <cell r="E238">
            <v>11.531885000000001</v>
          </cell>
          <cell r="F238">
            <v>8.3906464924346599E-2</v>
          </cell>
          <cell r="G238">
            <v>152.17102</v>
          </cell>
          <cell r="H238">
            <v>1.0075549450549399</v>
          </cell>
          <cell r="I238">
            <v>129.66717299999999</v>
          </cell>
          <cell r="J238">
            <v>0.97870879120879095</v>
          </cell>
          <cell r="K238">
            <v>170.752455</v>
          </cell>
          <cell r="L238">
            <v>0.79614325068870495</v>
          </cell>
          <cell r="M238">
            <v>111.943388</v>
          </cell>
          <cell r="N238">
            <v>0.58195592286501296</v>
          </cell>
          <cell r="O238">
            <v>242.94898599999999</v>
          </cell>
          <cell r="P238">
            <v>1.7639751552795</v>
          </cell>
          <cell r="Q238">
            <v>175.81252499999999</v>
          </cell>
          <cell r="R238">
            <v>1.5521048999309801</v>
          </cell>
          <cell r="S238">
            <v>315.18703699999998</v>
          </cell>
          <cell r="T238">
            <v>0.67728531855955598</v>
          </cell>
          <cell r="U238">
            <v>87.365212</v>
          </cell>
          <cell r="V238">
            <v>0.323407202216066</v>
          </cell>
        </row>
        <row r="239">
          <cell r="A239" t="str">
            <v>014401</v>
          </cell>
          <cell r="B239">
            <v>1475.2</v>
          </cell>
          <cell r="C239">
            <v>507.47691900000001</v>
          </cell>
          <cell r="D239">
            <v>4.3508230452674796</v>
          </cell>
          <cell r="E239">
            <v>506.83357599999999</v>
          </cell>
          <cell r="F239">
            <v>4.3446502057613099</v>
          </cell>
          <cell r="G239">
            <v>854.38230399999998</v>
          </cell>
          <cell r="H239">
            <v>3.75307125307125</v>
          </cell>
          <cell r="I239">
            <v>381.26398799999998</v>
          </cell>
          <cell r="J239">
            <v>1.3445945945945901</v>
          </cell>
          <cell r="K239">
            <v>721.47175600000003</v>
          </cell>
          <cell r="L239">
            <v>2.8382899628252698</v>
          </cell>
          <cell r="M239">
            <v>193.27565999999999</v>
          </cell>
          <cell r="N239">
            <v>2.2112763320941702</v>
          </cell>
          <cell r="O239">
            <v>125.544027</v>
          </cell>
          <cell r="P239">
            <v>0.292682926829268</v>
          </cell>
          <cell r="Q239">
            <v>30.172889000000001</v>
          </cell>
          <cell r="R239">
            <v>0.13570981863664699</v>
          </cell>
          <cell r="S239">
            <v>428.37640199999998</v>
          </cell>
          <cell r="T239">
            <v>3.9833653230966002</v>
          </cell>
          <cell r="U239">
            <v>400.92181699999998</v>
          </cell>
          <cell r="V239">
            <v>3.9558541266794598</v>
          </cell>
        </row>
        <row r="240">
          <cell r="A240" t="str">
            <v>014501</v>
          </cell>
          <cell r="B240">
            <v>1416.8</v>
          </cell>
          <cell r="C240">
            <v>1789.5599420000001</v>
          </cell>
          <cell r="D240">
            <v>2.9797525309336299</v>
          </cell>
          <cell r="E240">
            <v>766.49880099999996</v>
          </cell>
          <cell r="F240">
            <v>2.2542182227221499</v>
          </cell>
          <cell r="G240">
            <v>266.928493</v>
          </cell>
          <cell r="H240">
            <v>2.09929532351057</v>
          </cell>
          <cell r="I240">
            <v>260.41006700000003</v>
          </cell>
          <cell r="J240">
            <v>2.0807174887892299</v>
          </cell>
          <cell r="K240">
            <v>56.389775999999998</v>
          </cell>
          <cell r="L240">
            <v>0.27424534360950498</v>
          </cell>
          <cell r="M240">
            <v>26.069278000000001</v>
          </cell>
          <cell r="N240">
            <v>0.25754656390494501</v>
          </cell>
          <cell r="O240">
            <v>78.615426999999997</v>
          </cell>
          <cell r="P240">
            <v>1.0659340659340599</v>
          </cell>
          <cell r="Q240">
            <v>65.730230000000006</v>
          </cell>
          <cell r="R240">
            <v>1.04783451842275</v>
          </cell>
          <cell r="S240">
            <v>121.38972699999999</v>
          </cell>
          <cell r="T240">
            <v>0.30065359477124098</v>
          </cell>
          <cell r="U240">
            <v>37.950598999999997</v>
          </cell>
          <cell r="V240">
            <v>0.24575163398692801</v>
          </cell>
        </row>
        <row r="241">
          <cell r="A241" t="str">
            <v>014502</v>
          </cell>
          <cell r="B241">
            <v>1545.6</v>
          </cell>
          <cell r="C241">
            <v>1606.8464779999999</v>
          </cell>
          <cell r="D241">
            <v>1.9935567010309201</v>
          </cell>
          <cell r="E241">
            <v>135.49874</v>
          </cell>
          <cell r="F241">
            <v>0.69458762886597902</v>
          </cell>
          <cell r="G241">
            <v>458.91119300000003</v>
          </cell>
          <cell r="H241">
            <v>2.4497422680412302</v>
          </cell>
          <cell r="I241">
            <v>237.79162500000001</v>
          </cell>
          <cell r="J241">
            <v>2.2036082474226801</v>
          </cell>
          <cell r="K241">
            <v>331.875832</v>
          </cell>
          <cell r="L241">
            <v>0.72469374597034097</v>
          </cell>
          <cell r="M241">
            <v>132.138136</v>
          </cell>
          <cell r="N241">
            <v>0.62411347517730398</v>
          </cell>
          <cell r="O241">
            <v>1558.9327270000001</v>
          </cell>
          <cell r="P241">
            <v>4.0732339598185296</v>
          </cell>
          <cell r="Q241">
            <v>366.06127600000002</v>
          </cell>
          <cell r="R241">
            <v>2.46727154893065</v>
          </cell>
          <cell r="S241">
            <v>1594.1324059999999</v>
          </cell>
          <cell r="T241">
            <v>1.84640522875816</v>
          </cell>
          <cell r="U241">
            <v>488.83615400000002</v>
          </cell>
          <cell r="V241">
            <v>1.4581699346405199</v>
          </cell>
        </row>
        <row r="242">
          <cell r="A242" t="str">
            <v>014601</v>
          </cell>
          <cell r="B242">
            <v>2016.777777</v>
          </cell>
          <cell r="C242">
            <v>744.75701000000004</v>
          </cell>
          <cell r="D242">
            <v>1.1503394762366601</v>
          </cell>
          <cell r="E242">
            <v>217.49085500000001</v>
          </cell>
          <cell r="F242">
            <v>1.05965082444228</v>
          </cell>
          <cell r="G242">
            <v>131.00670600000001</v>
          </cell>
          <cell r="H242">
            <v>1.00580551523947</v>
          </cell>
          <cell r="I242">
            <v>131.00670600000001</v>
          </cell>
          <cell r="J242">
            <v>1.00580551523947</v>
          </cell>
          <cell r="K242">
            <v>58.507421000000001</v>
          </cell>
          <cell r="L242">
            <v>0.28271484375</v>
          </cell>
          <cell r="M242">
            <v>53.823616000000001</v>
          </cell>
          <cell r="N242">
            <v>0.28173828125</v>
          </cell>
          <cell r="O242">
            <v>128.310023</v>
          </cell>
          <cell r="P242">
            <v>0.36289500509683897</v>
          </cell>
          <cell r="Q242">
            <v>37.483077999999999</v>
          </cell>
          <cell r="R242">
            <v>0.121304791029561</v>
          </cell>
          <cell r="S242">
            <v>205.635684</v>
          </cell>
          <cell r="T242">
            <v>0.44720812182741099</v>
          </cell>
          <cell r="U242">
            <v>66.088797999999997</v>
          </cell>
          <cell r="V242">
            <v>0.30507614213197898</v>
          </cell>
        </row>
        <row r="243">
          <cell r="A243" t="str">
            <v>014602</v>
          </cell>
          <cell r="B243">
            <v>1140</v>
          </cell>
          <cell r="C243">
            <v>1911.670991</v>
          </cell>
          <cell r="D243">
            <v>2.4783362218370799</v>
          </cell>
          <cell r="E243">
            <v>69.242621999999997</v>
          </cell>
          <cell r="F243">
            <v>0.29982668977469601</v>
          </cell>
          <cell r="G243">
            <v>27.439388999999998</v>
          </cell>
          <cell r="H243">
            <v>0.162467419635099</v>
          </cell>
          <cell r="I243">
            <v>22.745723000000002</v>
          </cell>
          <cell r="J243">
            <v>0.16072980017376101</v>
          </cell>
          <cell r="K243">
            <v>81.661992999999995</v>
          </cell>
          <cell r="L243">
            <v>0.28820960698689901</v>
          </cell>
          <cell r="M243">
            <v>25.512328</v>
          </cell>
          <cell r="N243">
            <v>0.19737991266375501</v>
          </cell>
          <cell r="O243">
            <v>492.77425899999997</v>
          </cell>
          <cell r="P243">
            <v>1.38632326820603</v>
          </cell>
          <cell r="Q243">
            <v>97.890349000000001</v>
          </cell>
          <cell r="R243">
            <v>1.1056838365896899</v>
          </cell>
          <cell r="S243">
            <v>1.8499239999999999</v>
          </cell>
          <cell r="T243">
            <v>1.80505415162454E-2</v>
          </cell>
          <cell r="U243">
            <v>1.8499239999999999</v>
          </cell>
          <cell r="V243">
            <v>1.80505415162454E-2</v>
          </cell>
        </row>
        <row r="244">
          <cell r="A244" t="str">
            <v>014603</v>
          </cell>
          <cell r="B244">
            <v>392.83333299999998</v>
          </cell>
          <cell r="C244">
            <v>2573.427819</v>
          </cell>
          <cell r="D244">
            <v>1.1603053435114501</v>
          </cell>
          <cell r="E244">
            <v>18.832774000000001</v>
          </cell>
          <cell r="F244">
            <v>0.127226463104325</v>
          </cell>
          <cell r="G244">
            <v>2.7897219999999998</v>
          </cell>
          <cell r="H244">
            <v>2.5380710659898401E-3</v>
          </cell>
          <cell r="I244">
            <v>0</v>
          </cell>
          <cell r="J244">
            <v>0</v>
          </cell>
          <cell r="K244">
            <v>43.251269000000001</v>
          </cell>
          <cell r="L244">
            <v>0.35786802030456799</v>
          </cell>
          <cell r="M244">
            <v>43.251269000000001</v>
          </cell>
          <cell r="N244">
            <v>0.35786802030456799</v>
          </cell>
          <cell r="O244">
            <v>144.82416799999999</v>
          </cell>
          <cell r="P244">
            <v>0.39897698209718602</v>
          </cell>
          <cell r="Q244">
            <v>144.82416799999999</v>
          </cell>
          <cell r="R244">
            <v>0.39897698209718602</v>
          </cell>
          <cell r="S244">
            <v>4.1964000000000001E-2</v>
          </cell>
          <cell r="T244">
            <v>2.5510204081632599E-3</v>
          </cell>
          <cell r="U244">
            <v>4.1964000000000001E-2</v>
          </cell>
          <cell r="V244">
            <v>2.5510204081632599E-3</v>
          </cell>
        </row>
        <row r="245">
          <cell r="A245" t="str">
            <v>014801</v>
          </cell>
          <cell r="B245">
            <v>792.2</v>
          </cell>
          <cell r="C245">
            <v>3134.2954089999998</v>
          </cell>
          <cell r="D245">
            <v>1.78387850467289</v>
          </cell>
          <cell r="E245">
            <v>35.789866000000004</v>
          </cell>
          <cell r="F245">
            <v>0.26869158878504601</v>
          </cell>
          <cell r="G245">
            <v>391.59573499999999</v>
          </cell>
          <cell r="H245">
            <v>0.68698710433763099</v>
          </cell>
          <cell r="I245">
            <v>69.674025999999998</v>
          </cell>
          <cell r="J245">
            <v>0.42086752637749097</v>
          </cell>
          <cell r="K245">
            <v>54.078833000000003</v>
          </cell>
          <cell r="L245">
            <v>0.15727699530516401</v>
          </cell>
          <cell r="M245">
            <v>10.856121999999999</v>
          </cell>
          <cell r="N245">
            <v>0.11150234741784</v>
          </cell>
          <cell r="O245">
            <v>120.010181</v>
          </cell>
          <cell r="P245">
            <v>0.82509505703422004</v>
          </cell>
          <cell r="Q245">
            <v>119.80348499999999</v>
          </cell>
          <cell r="R245">
            <v>0.82382762991128</v>
          </cell>
          <cell r="S245">
            <v>1100.8310690000001</v>
          </cell>
          <cell r="T245">
            <v>3.2945990180032698</v>
          </cell>
          <cell r="U245">
            <v>515.24863600000003</v>
          </cell>
          <cell r="V245">
            <v>2.5613747954173398</v>
          </cell>
        </row>
        <row r="246">
          <cell r="A246" t="str">
            <v>014802</v>
          </cell>
          <cell r="B246">
            <v>659.33333300000004</v>
          </cell>
          <cell r="C246">
            <v>1611.49432</v>
          </cell>
          <cell r="D246">
            <v>1.92809364548494</v>
          </cell>
          <cell r="E246">
            <v>32.114012000000002</v>
          </cell>
          <cell r="F246">
            <v>0.25083612040133701</v>
          </cell>
          <cell r="G246">
            <v>900.67925100000002</v>
          </cell>
          <cell r="H246">
            <v>0.93143812709030105</v>
          </cell>
          <cell r="I246">
            <v>89.945057000000006</v>
          </cell>
          <cell r="J246">
            <v>0.31605351170568502</v>
          </cell>
          <cell r="K246">
            <v>89.262846999999994</v>
          </cell>
          <cell r="L246">
            <v>0.29096989966555098</v>
          </cell>
          <cell r="M246">
            <v>24.460813000000002</v>
          </cell>
          <cell r="N246">
            <v>0.20401337792642099</v>
          </cell>
          <cell r="O246">
            <v>77.803093000000004</v>
          </cell>
          <cell r="P246">
            <v>0.200598802395209</v>
          </cell>
          <cell r="Q246">
            <v>77.803093000000004</v>
          </cell>
          <cell r="R246">
            <v>0.200598802395209</v>
          </cell>
          <cell r="S246">
            <v>225.62002200000001</v>
          </cell>
          <cell r="T246">
            <v>2.1799761620977298</v>
          </cell>
          <cell r="U246">
            <v>224.47574399999999</v>
          </cell>
          <cell r="V246">
            <v>2.1787842669845001</v>
          </cell>
        </row>
        <row r="247">
          <cell r="A247" t="str">
            <v>014901</v>
          </cell>
          <cell r="B247">
            <v>658.6</v>
          </cell>
          <cell r="C247">
            <v>2375.9199020000001</v>
          </cell>
          <cell r="D247">
            <v>6.4229607250755203</v>
          </cell>
          <cell r="E247">
            <v>495.87086299999999</v>
          </cell>
          <cell r="F247">
            <v>3.3429003021148</v>
          </cell>
          <cell r="G247">
            <v>675.44458999999995</v>
          </cell>
          <cell r="H247">
            <v>4.1021341463414602</v>
          </cell>
          <cell r="I247">
            <v>528.78019600000005</v>
          </cell>
          <cell r="J247">
            <v>3.9893292682926802</v>
          </cell>
          <cell r="K247">
            <v>7789.1471330000004</v>
          </cell>
          <cell r="L247">
            <v>4.3906485671191504</v>
          </cell>
          <cell r="M247">
            <v>807.413499</v>
          </cell>
          <cell r="N247">
            <v>3.3770739064856699</v>
          </cell>
          <cell r="O247">
            <v>2491.7544010000001</v>
          </cell>
          <cell r="P247">
            <v>2.9816793893129701</v>
          </cell>
          <cell r="Q247">
            <v>350.442722</v>
          </cell>
          <cell r="R247">
            <v>2.1587786259541901</v>
          </cell>
          <cell r="S247">
            <v>1446.1637989999999</v>
          </cell>
          <cell r="T247">
            <v>4.1263318112633103</v>
          </cell>
          <cell r="U247">
            <v>1190.973084</v>
          </cell>
          <cell r="V247">
            <v>3.3439878234398699</v>
          </cell>
        </row>
        <row r="248">
          <cell r="A248" t="str">
            <v>014902</v>
          </cell>
          <cell r="B248">
            <v>1093.4000000000001</v>
          </cell>
          <cell r="C248">
            <v>1937.27181</v>
          </cell>
          <cell r="D248">
            <v>8.2570135746606308</v>
          </cell>
          <cell r="E248">
            <v>433.38078100000001</v>
          </cell>
          <cell r="F248">
            <v>3.59819004524886</v>
          </cell>
          <cell r="G248">
            <v>157.875518</v>
          </cell>
          <cell r="H248">
            <v>0.437213565536205</v>
          </cell>
          <cell r="I248">
            <v>50.321230999999997</v>
          </cell>
          <cell r="J248">
            <v>0.36296975252062302</v>
          </cell>
          <cell r="K248">
            <v>6818.2800109999998</v>
          </cell>
          <cell r="L248">
            <v>5.50500454959053</v>
          </cell>
          <cell r="M248">
            <v>2632.7522140000001</v>
          </cell>
          <cell r="N248">
            <v>3.7570518653321199</v>
          </cell>
          <cell r="O248">
            <v>4161.4457979999997</v>
          </cell>
          <cell r="P248">
            <v>1.9953660797034201</v>
          </cell>
          <cell r="Q248">
            <v>253.00129699999999</v>
          </cell>
          <cell r="R248">
            <v>0.72845227062094497</v>
          </cell>
          <cell r="S248">
            <v>862.32720300000005</v>
          </cell>
          <cell r="T248">
            <v>2.59560841720036</v>
          </cell>
          <cell r="U248">
            <v>861.73191499999996</v>
          </cell>
          <cell r="V248">
            <v>2.5946935041171</v>
          </cell>
        </row>
        <row r="249">
          <cell r="A249" t="str">
            <v>015501</v>
          </cell>
          <cell r="B249">
            <v>277.75</v>
          </cell>
          <cell r="C249">
            <v>241.15491</v>
          </cell>
          <cell r="D249">
            <v>1.6451612903225801</v>
          </cell>
          <cell r="E249">
            <v>241.15491</v>
          </cell>
          <cell r="F249">
            <v>1.6451612903225801</v>
          </cell>
          <cell r="G249">
            <v>1.9332739999999999</v>
          </cell>
          <cell r="H249">
            <v>0.18861209964412801</v>
          </cell>
          <cell r="I249">
            <v>1.9332739999999999</v>
          </cell>
          <cell r="J249">
            <v>0.18861209964412801</v>
          </cell>
          <cell r="K249">
            <v>270.961229</v>
          </cell>
          <cell r="L249">
            <v>1.4121863799283101</v>
          </cell>
          <cell r="M249">
            <v>146.76821899999999</v>
          </cell>
          <cell r="N249">
            <v>1.0573476702508899</v>
          </cell>
          <cell r="O249">
            <v>199.62771699999999</v>
          </cell>
          <cell r="P249">
            <v>1.6630434782608601</v>
          </cell>
          <cell r="Q249">
            <v>181.44051899999999</v>
          </cell>
          <cell r="R249">
            <v>1.5833333333333299</v>
          </cell>
          <cell r="S249">
            <v>649.35815100000002</v>
          </cell>
          <cell r="T249">
            <v>2.2789855072463698</v>
          </cell>
          <cell r="U249">
            <v>72.125664</v>
          </cell>
          <cell r="V249">
            <v>1.38405797101449</v>
          </cell>
        </row>
        <row r="250">
          <cell r="A250" t="str">
            <v>015801</v>
          </cell>
          <cell r="B250">
            <v>1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80</v>
          </cell>
          <cell r="L250">
            <v>1</v>
          </cell>
          <cell r="M250">
            <v>80</v>
          </cell>
          <cell r="N250">
            <v>1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533</v>
          </cell>
          <cell r="T250">
            <v>2</v>
          </cell>
          <cell r="U250">
            <v>362</v>
          </cell>
          <cell r="V250">
            <v>1</v>
          </cell>
        </row>
        <row r="251">
          <cell r="A251" t="str">
            <v>015802</v>
          </cell>
          <cell r="B251">
            <v>5.875</v>
          </cell>
          <cell r="C251">
            <v>2.2000000000000002</v>
          </cell>
          <cell r="D251">
            <v>0.2</v>
          </cell>
          <cell r="E251">
            <v>2.2000000000000002</v>
          </cell>
          <cell r="F251">
            <v>0.2</v>
          </cell>
          <cell r="G251">
            <v>338.75789400000002</v>
          </cell>
          <cell r="H251">
            <v>0.499999999999999</v>
          </cell>
          <cell r="I251">
            <v>32.234619000000002</v>
          </cell>
          <cell r="J251">
            <v>0.33333333333333298</v>
          </cell>
          <cell r="K251">
            <v>522.46110999999996</v>
          </cell>
          <cell r="L251">
            <v>2.1666666666666599</v>
          </cell>
          <cell r="M251">
            <v>276.419444</v>
          </cell>
          <cell r="N251">
            <v>2</v>
          </cell>
          <cell r="O251">
            <v>26.538888</v>
          </cell>
          <cell r="P251">
            <v>0.16666666666666599</v>
          </cell>
          <cell r="Q251">
            <v>26.538888</v>
          </cell>
          <cell r="R251">
            <v>0.16666666666666599</v>
          </cell>
          <cell r="S251">
            <v>552.05277699999999</v>
          </cell>
          <cell r="T251">
            <v>2.3333333333333299</v>
          </cell>
          <cell r="U251">
            <v>381.05277699999999</v>
          </cell>
          <cell r="V251">
            <v>1.3333333333333299</v>
          </cell>
        </row>
        <row r="252">
          <cell r="A252" t="str">
            <v>016101</v>
          </cell>
          <cell r="B252">
            <v>1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1850.4</v>
          </cell>
          <cell r="L252">
            <v>1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</row>
        <row r="253">
          <cell r="A253" t="str">
            <v>016201</v>
          </cell>
          <cell r="B253">
            <v>1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126</v>
          </cell>
          <cell r="P253">
            <v>1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</row>
        <row r="254">
          <cell r="A254" t="str">
            <v>016202</v>
          </cell>
          <cell r="B254">
            <v>529.66666599999996</v>
          </cell>
          <cell r="C254">
            <v>164.323497</v>
          </cell>
          <cell r="D254">
            <v>1.0075614366729599</v>
          </cell>
          <cell r="E254">
            <v>164.323497</v>
          </cell>
          <cell r="F254">
            <v>1.0075614366729599</v>
          </cell>
          <cell r="G254">
            <v>1022.041571</v>
          </cell>
          <cell r="H254">
            <v>2.63584905660377</v>
          </cell>
          <cell r="I254">
            <v>138.09484599999999</v>
          </cell>
          <cell r="J254">
            <v>1.2415094339622601</v>
          </cell>
          <cell r="K254">
            <v>973.78270599999996</v>
          </cell>
          <cell r="L254">
            <v>1.77255639097744</v>
          </cell>
          <cell r="M254">
            <v>39.550125000000001</v>
          </cell>
          <cell r="N254">
            <v>0.18984962406014999</v>
          </cell>
          <cell r="O254">
            <v>155.24278000000001</v>
          </cell>
          <cell r="P254">
            <v>1.19962335216572</v>
          </cell>
          <cell r="Q254">
            <v>24.375674</v>
          </cell>
          <cell r="R254">
            <v>0.20338983050847401</v>
          </cell>
          <cell r="S254">
            <v>154.866286</v>
          </cell>
          <cell r="T254">
            <v>0.26806083650190099</v>
          </cell>
          <cell r="U254">
            <v>21.117394999999998</v>
          </cell>
          <cell r="V254">
            <v>0.169201520912547</v>
          </cell>
        </row>
        <row r="255">
          <cell r="A255" t="str">
            <v>016203</v>
          </cell>
          <cell r="B255">
            <v>648.79999999999995</v>
          </cell>
          <cell r="C255">
            <v>279.80957699999999</v>
          </cell>
          <cell r="D255">
            <v>1.3740458015267101</v>
          </cell>
          <cell r="E255">
            <v>271.43061799999998</v>
          </cell>
          <cell r="F255">
            <v>1.31908396946564</v>
          </cell>
          <cell r="G255">
            <v>223.999887</v>
          </cell>
          <cell r="H255">
            <v>1.42073170731707</v>
          </cell>
          <cell r="I255">
            <v>165.692823</v>
          </cell>
          <cell r="J255">
            <v>0.98475609756097504</v>
          </cell>
          <cell r="K255">
            <v>3163.9884689999999</v>
          </cell>
          <cell r="L255">
            <v>3.6964560862865898</v>
          </cell>
          <cell r="M255">
            <v>248.22668200000001</v>
          </cell>
          <cell r="N255">
            <v>1.58089368258859</v>
          </cell>
          <cell r="O255">
            <v>465.46269999999998</v>
          </cell>
          <cell r="P255">
            <v>2.2270606531881798</v>
          </cell>
          <cell r="Q255">
            <v>286.27576399999998</v>
          </cell>
          <cell r="R255">
            <v>1.59253499222395</v>
          </cell>
          <cell r="S255">
            <v>2509.1128170000002</v>
          </cell>
          <cell r="T255">
            <v>2.5023400936037401</v>
          </cell>
          <cell r="U255">
            <v>243.313312</v>
          </cell>
          <cell r="V255">
            <v>0.85023400936037397</v>
          </cell>
        </row>
        <row r="256">
          <cell r="A256" t="str">
            <v>016204</v>
          </cell>
          <cell r="B256">
            <v>701.44444399999998</v>
          </cell>
          <cell r="C256">
            <v>75.912760000000006</v>
          </cell>
          <cell r="D256">
            <v>0.37697841726618703</v>
          </cell>
          <cell r="E256">
            <v>75.912760000000006</v>
          </cell>
          <cell r="F256">
            <v>0.37697841726618703</v>
          </cell>
          <cell r="G256">
            <v>5.7650259999999998</v>
          </cell>
          <cell r="H256">
            <v>7.2857142857142801E-2</v>
          </cell>
          <cell r="I256">
            <v>5.7039710000000001</v>
          </cell>
          <cell r="J256">
            <v>7.1428571428571397E-2</v>
          </cell>
          <cell r="K256">
            <v>397.15350899999999</v>
          </cell>
          <cell r="L256">
            <v>0.30659025787965599</v>
          </cell>
          <cell r="M256">
            <v>12.010386</v>
          </cell>
          <cell r="N256">
            <v>0.114613180515759</v>
          </cell>
          <cell r="O256">
            <v>182.25523999999999</v>
          </cell>
          <cell r="P256">
            <v>0.47450424929178397</v>
          </cell>
          <cell r="Q256">
            <v>54.623275999999997</v>
          </cell>
          <cell r="R256">
            <v>0.15580736543909299</v>
          </cell>
          <cell r="S256">
            <v>693.09368700000005</v>
          </cell>
          <cell r="T256">
            <v>1.6609929078014101</v>
          </cell>
          <cell r="U256">
            <v>152.39442</v>
          </cell>
          <cell r="V256">
            <v>1.37304964539007</v>
          </cell>
        </row>
        <row r="257">
          <cell r="A257" t="str">
            <v>016502</v>
          </cell>
          <cell r="B257">
            <v>262.33333299999998</v>
          </cell>
          <cell r="C257">
            <v>809.81021399999997</v>
          </cell>
          <cell r="D257">
            <v>1.3216374269005799</v>
          </cell>
          <cell r="E257">
            <v>790.19680200000005</v>
          </cell>
          <cell r="F257">
            <v>1.31578947368421</v>
          </cell>
          <cell r="G257">
            <v>97.634722999999994</v>
          </cell>
          <cell r="H257">
            <v>0.51149425287356298</v>
          </cell>
          <cell r="I257">
            <v>72.791781999999998</v>
          </cell>
          <cell r="J257">
            <v>0.5</v>
          </cell>
          <cell r="K257">
            <v>90.776274999999998</v>
          </cell>
          <cell r="L257">
            <v>1.0450450450450399</v>
          </cell>
          <cell r="M257">
            <v>90.192417000000006</v>
          </cell>
          <cell r="N257">
            <v>1.0405405405405399</v>
          </cell>
          <cell r="O257">
            <v>126.45260500000001</v>
          </cell>
          <cell r="P257">
            <v>0.38213399503722001</v>
          </cell>
          <cell r="Q257">
            <v>126.45260500000001</v>
          </cell>
          <cell r="R257">
            <v>0.38213399503722001</v>
          </cell>
          <cell r="S257">
            <v>95.125241000000003</v>
          </cell>
          <cell r="T257">
            <v>0.32524271844660102</v>
          </cell>
          <cell r="U257">
            <v>94.651859999999999</v>
          </cell>
          <cell r="V257">
            <v>0.32038834951456302</v>
          </cell>
        </row>
        <row r="258">
          <cell r="A258" t="str">
            <v>016601</v>
          </cell>
          <cell r="B258">
            <v>1</v>
          </cell>
          <cell r="C258">
            <v>110</v>
          </cell>
          <cell r="D258">
            <v>1</v>
          </cell>
          <cell r="E258">
            <v>110</v>
          </cell>
          <cell r="F258">
            <v>1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</row>
        <row r="259">
          <cell r="A259" t="str">
            <v>017002</v>
          </cell>
          <cell r="B259">
            <v>3779.8</v>
          </cell>
          <cell r="C259">
            <v>370.28032300000001</v>
          </cell>
          <cell r="D259">
            <v>1.4333753678015899</v>
          </cell>
          <cell r="E259">
            <v>348.78426899999999</v>
          </cell>
          <cell r="F259">
            <v>1.41067675493905</v>
          </cell>
          <cell r="G259">
            <v>650.24718399999995</v>
          </cell>
          <cell r="H259">
            <v>1.1331600231080301</v>
          </cell>
          <cell r="I259">
            <v>13.920087000000001</v>
          </cell>
          <cell r="J259">
            <v>0.11467359907567801</v>
          </cell>
          <cell r="K259">
            <v>15.90657</v>
          </cell>
          <cell r="L259">
            <v>9.6755504055619904E-2</v>
          </cell>
          <cell r="M259">
            <v>10.523966</v>
          </cell>
          <cell r="N259">
            <v>8.9803012746234007E-2</v>
          </cell>
          <cell r="O259">
            <v>20.084382999999999</v>
          </cell>
          <cell r="P259">
            <v>8.74133691035099E-2</v>
          </cell>
          <cell r="Q259">
            <v>7.9308139999999998</v>
          </cell>
          <cell r="R259">
            <v>6.1927118265146401E-2</v>
          </cell>
          <cell r="S259">
            <v>713.29551100000003</v>
          </cell>
          <cell r="T259">
            <v>2.1554646405610698</v>
          </cell>
          <cell r="U259">
            <v>160.54547600000001</v>
          </cell>
          <cell r="V259">
            <v>1.0695499707773199</v>
          </cell>
        </row>
        <row r="260">
          <cell r="A260" t="str">
            <v>017003</v>
          </cell>
          <cell r="B260">
            <v>1782.444444</v>
          </cell>
          <cell r="C260">
            <v>22.991313000000002</v>
          </cell>
          <cell r="D260">
            <v>0.14607948442534899</v>
          </cell>
          <cell r="E260">
            <v>22.991313000000002</v>
          </cell>
          <cell r="F260">
            <v>0.14607948442534899</v>
          </cell>
          <cell r="G260">
            <v>450.58339699999999</v>
          </cell>
          <cell r="H260">
            <v>3.0692060085836901</v>
          </cell>
          <cell r="I260">
            <v>341.90761400000002</v>
          </cell>
          <cell r="J260">
            <v>2.0568669527896901</v>
          </cell>
          <cell r="K260">
            <v>27.954263000000001</v>
          </cell>
          <cell r="L260">
            <v>0.28747323340470998</v>
          </cell>
          <cell r="M260">
            <v>27.130967999999999</v>
          </cell>
          <cell r="N260">
            <v>0.27087794432548101</v>
          </cell>
          <cell r="O260">
            <v>34.280920000000002</v>
          </cell>
          <cell r="P260">
            <v>0.31045576407506698</v>
          </cell>
          <cell r="Q260">
            <v>30.235030999999999</v>
          </cell>
          <cell r="R260">
            <v>0.29276139410187602</v>
          </cell>
          <cell r="S260">
            <v>1834.7094770000001</v>
          </cell>
          <cell r="T260">
            <v>1.4936369725385099</v>
          </cell>
          <cell r="U260">
            <v>36.648850000000003</v>
          </cell>
          <cell r="V260">
            <v>0.28533154722036103</v>
          </cell>
        </row>
        <row r="261">
          <cell r="A261" t="str">
            <v>017004</v>
          </cell>
          <cell r="B261">
            <v>437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228.65376900000001</v>
          </cell>
          <cell r="H261">
            <v>2.0945674044265501</v>
          </cell>
          <cell r="I261">
            <v>208.56143</v>
          </cell>
          <cell r="J261">
            <v>2.0603621730382198</v>
          </cell>
          <cell r="K261">
            <v>192.747511</v>
          </cell>
          <cell r="L261">
            <v>1.3374233128834301</v>
          </cell>
          <cell r="M261">
            <v>184.586366</v>
          </cell>
          <cell r="N261">
            <v>1.3333333333333299</v>
          </cell>
          <cell r="O261">
            <v>95.873769999999993</v>
          </cell>
          <cell r="P261">
            <v>1.2909836065573701</v>
          </cell>
          <cell r="Q261">
            <v>28.605874</v>
          </cell>
          <cell r="R261">
            <v>1.2684426229508099</v>
          </cell>
          <cell r="S261">
            <v>1293.644403</v>
          </cell>
          <cell r="T261">
            <v>6.3503649635036403</v>
          </cell>
          <cell r="U261">
            <v>1292.371228</v>
          </cell>
          <cell r="V261">
            <v>6.34671532846715</v>
          </cell>
        </row>
        <row r="262">
          <cell r="A262" t="str">
            <v>017005</v>
          </cell>
          <cell r="B262">
            <v>1378.1111109999999</v>
          </cell>
          <cell r="C262">
            <v>182.783804</v>
          </cell>
          <cell r="D262">
            <v>1.0385174418604599</v>
          </cell>
          <cell r="E262">
            <v>182.481739</v>
          </cell>
          <cell r="F262">
            <v>1.03779069767441</v>
          </cell>
          <cell r="G262">
            <v>397.76073000000002</v>
          </cell>
          <cell r="H262">
            <v>0.68963016678752698</v>
          </cell>
          <cell r="I262">
            <v>397.76073000000002</v>
          </cell>
          <cell r="J262">
            <v>0.68963016678752698</v>
          </cell>
          <cell r="K262">
            <v>73.666376</v>
          </cell>
          <cell r="L262">
            <v>0.39391745112237497</v>
          </cell>
          <cell r="M262">
            <v>41.391069000000002</v>
          </cell>
          <cell r="N262">
            <v>0.38522809558290999</v>
          </cell>
          <cell r="O262">
            <v>484.51798100000002</v>
          </cell>
          <cell r="P262">
            <v>0.34902244750181</v>
          </cell>
          <cell r="Q262">
            <v>14.158218</v>
          </cell>
          <cell r="R262">
            <v>3.4033309196234603E-2</v>
          </cell>
          <cell r="S262">
            <v>2597.516678</v>
          </cell>
          <cell r="T262">
            <v>2.2328966521106199</v>
          </cell>
          <cell r="U262">
            <v>166.40855099999999</v>
          </cell>
          <cell r="V262">
            <v>1.4002911208151301</v>
          </cell>
        </row>
        <row r="263">
          <cell r="A263" t="str">
            <v>017006</v>
          </cell>
          <cell r="B263">
            <v>2148.6</v>
          </cell>
          <cell r="C263">
            <v>18.975339999999999</v>
          </cell>
          <cell r="D263">
            <v>0.108194112967382</v>
          </cell>
          <cell r="E263">
            <v>17.855402000000002</v>
          </cell>
          <cell r="F263">
            <v>0.105807478122513</v>
          </cell>
          <cell r="G263">
            <v>83.219797</v>
          </cell>
          <cell r="H263">
            <v>0.148691514670896</v>
          </cell>
          <cell r="I263">
            <v>3.7600099999999999</v>
          </cell>
          <cell r="J263">
            <v>7.0975416336241007E-2</v>
          </cell>
          <cell r="K263">
            <v>102.164726</v>
          </cell>
          <cell r="L263">
            <v>1.1076125946592199</v>
          </cell>
          <cell r="M263">
            <v>99.877786</v>
          </cell>
          <cell r="N263">
            <v>1.09565563969709</v>
          </cell>
          <cell r="O263">
            <v>308.60321900000002</v>
          </cell>
          <cell r="P263">
            <v>1.4852620087336199</v>
          </cell>
          <cell r="Q263">
            <v>258.58404200000001</v>
          </cell>
          <cell r="R263">
            <v>1.4388646288209599</v>
          </cell>
          <cell r="S263">
            <v>2066.8328809999998</v>
          </cell>
          <cell r="T263">
            <v>5.0014641288433301</v>
          </cell>
          <cell r="U263">
            <v>122.350707</v>
          </cell>
          <cell r="V263">
            <v>0.42240117130307397</v>
          </cell>
        </row>
        <row r="264">
          <cell r="A264" t="str">
            <v>017301</v>
          </cell>
          <cell r="B264">
            <v>913.5</v>
          </cell>
          <cell r="C264">
            <v>181.083448</v>
          </cell>
          <cell r="D264">
            <v>4.0348964013086103E-2</v>
          </cell>
          <cell r="E264">
            <v>0.77761899999999995</v>
          </cell>
          <cell r="F264">
            <v>6.5430752453653198E-3</v>
          </cell>
          <cell r="G264">
            <v>19.612404000000002</v>
          </cell>
          <cell r="H264">
            <v>0.121046892039258</v>
          </cell>
          <cell r="I264">
            <v>19.612404000000002</v>
          </cell>
          <cell r="J264">
            <v>0.121046892039258</v>
          </cell>
          <cell r="K264">
            <v>3.1027290000000001</v>
          </cell>
          <cell r="L264">
            <v>3.9301310043668103E-2</v>
          </cell>
          <cell r="M264">
            <v>3.1027290000000001</v>
          </cell>
          <cell r="N264">
            <v>3.9301310043668103E-2</v>
          </cell>
          <cell r="O264">
            <v>10.419283</v>
          </cell>
          <cell r="P264">
            <v>0.13440860215053699</v>
          </cell>
          <cell r="Q264">
            <v>10.419283</v>
          </cell>
          <cell r="R264">
            <v>0.13440860215053699</v>
          </cell>
          <cell r="S264">
            <v>19.727336999999999</v>
          </cell>
          <cell r="T264">
            <v>0.13009049773755599</v>
          </cell>
          <cell r="U264">
            <v>19.727336999999999</v>
          </cell>
          <cell r="V264">
            <v>0.13009049773755599</v>
          </cell>
        </row>
        <row r="265">
          <cell r="A265" t="str">
            <v>017302</v>
          </cell>
          <cell r="B265">
            <v>716</v>
          </cell>
          <cell r="C265">
            <v>109.807418</v>
          </cell>
          <cell r="D265">
            <v>0.810073452256033</v>
          </cell>
          <cell r="E265">
            <v>109.807418</v>
          </cell>
          <cell r="F265">
            <v>0.810073452256033</v>
          </cell>
          <cell r="G265">
            <v>9.5265649999999997</v>
          </cell>
          <cell r="H265">
            <v>5.5613850996852003E-2</v>
          </cell>
          <cell r="I265">
            <v>4.4868610000000002</v>
          </cell>
          <cell r="J265">
            <v>2.9380902413431199E-2</v>
          </cell>
          <cell r="K265">
            <v>93.630184999999997</v>
          </cell>
          <cell r="L265">
            <v>1.6579223504721901</v>
          </cell>
          <cell r="M265">
            <v>93.630184999999997</v>
          </cell>
          <cell r="N265">
            <v>1.6579223504721901</v>
          </cell>
          <cell r="O265">
            <v>99.669414000000003</v>
          </cell>
          <cell r="P265">
            <v>0.79188481675392597</v>
          </cell>
          <cell r="Q265">
            <v>95.003184000000005</v>
          </cell>
          <cell r="R265">
            <v>0.79057591623036605</v>
          </cell>
          <cell r="S265">
            <v>360.39561700000002</v>
          </cell>
          <cell r="T265">
            <v>1.43298969072164</v>
          </cell>
          <cell r="U265">
            <v>49.292524999999998</v>
          </cell>
          <cell r="V265">
            <v>1.0618556701030899</v>
          </cell>
        </row>
        <row r="266">
          <cell r="A266" t="str">
            <v>017401</v>
          </cell>
          <cell r="B266">
            <v>1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28</v>
          </cell>
          <cell r="L266">
            <v>1</v>
          </cell>
          <cell r="M266">
            <v>28</v>
          </cell>
          <cell r="N266">
            <v>1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</row>
        <row r="267">
          <cell r="A267" t="str">
            <v>017402</v>
          </cell>
          <cell r="B267">
            <v>136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2881.3213219999998</v>
          </cell>
          <cell r="T267">
            <v>2.9485294117646998</v>
          </cell>
          <cell r="U267">
            <v>918.48406799999998</v>
          </cell>
          <cell r="V267">
            <v>1.9338235294117601</v>
          </cell>
        </row>
        <row r="268">
          <cell r="A268" t="str">
            <v>017501</v>
          </cell>
          <cell r="B268">
            <v>1334.1111109999999</v>
          </cell>
          <cell r="C268">
            <v>10.519204999999999</v>
          </cell>
          <cell r="D268">
            <v>7.0631970260222998E-2</v>
          </cell>
          <cell r="E268">
            <v>10.519204999999999</v>
          </cell>
          <cell r="F268">
            <v>7.0631970260222998E-2</v>
          </cell>
          <cell r="G268">
            <v>86.919937000000004</v>
          </cell>
          <cell r="H268">
            <v>0.71898355754857901</v>
          </cell>
          <cell r="I268">
            <v>80.258229999999998</v>
          </cell>
          <cell r="J268">
            <v>0.70777279521674097</v>
          </cell>
          <cell r="K268">
            <v>227.52449999999999</v>
          </cell>
          <cell r="L268">
            <v>0.36920777279521599</v>
          </cell>
          <cell r="M268">
            <v>66.262878999999998</v>
          </cell>
          <cell r="N268">
            <v>0.25411061285500702</v>
          </cell>
          <cell r="O268">
            <v>1669.1128610000001</v>
          </cell>
          <cell r="P268">
            <v>1.67800453514739</v>
          </cell>
          <cell r="Q268">
            <v>211.38698600000001</v>
          </cell>
          <cell r="R268">
            <v>1.20332577475434</v>
          </cell>
          <cell r="S268">
            <v>183.92770200000001</v>
          </cell>
          <cell r="T268">
            <v>0.35885885885885799</v>
          </cell>
          <cell r="U268">
            <v>35.065165</v>
          </cell>
          <cell r="V268">
            <v>0.237237237237237</v>
          </cell>
        </row>
        <row r="269">
          <cell r="A269" t="str">
            <v>017502</v>
          </cell>
          <cell r="B269">
            <v>1634.75</v>
          </cell>
          <cell r="C269">
            <v>24.978621</v>
          </cell>
          <cell r="D269">
            <v>1.05552342394447</v>
          </cell>
          <cell r="E269">
            <v>24.978621</v>
          </cell>
          <cell r="F269">
            <v>1.05552342394447</v>
          </cell>
          <cell r="G269">
            <v>119.509731</v>
          </cell>
          <cell r="H269">
            <v>0.56009200690051697</v>
          </cell>
          <cell r="I269">
            <v>117.0998</v>
          </cell>
          <cell r="J269">
            <v>0.55951696377228199</v>
          </cell>
          <cell r="K269">
            <v>150.18711400000001</v>
          </cell>
          <cell r="L269">
            <v>0.56416615003099801</v>
          </cell>
          <cell r="M269">
            <v>102.39597999999999</v>
          </cell>
          <cell r="N269">
            <v>0.54122752634841897</v>
          </cell>
          <cell r="O269">
            <v>235.94014799999999</v>
          </cell>
          <cell r="P269">
            <v>0.31340206185566999</v>
          </cell>
          <cell r="Q269">
            <v>28.679003000000002</v>
          </cell>
          <cell r="R269">
            <v>0.242611683848797</v>
          </cell>
          <cell r="S269">
            <v>59.901152000000003</v>
          </cell>
          <cell r="T269">
            <v>0.22363112391930801</v>
          </cell>
          <cell r="U269">
            <v>59.901152000000003</v>
          </cell>
          <cell r="V269">
            <v>0.22363112391930801</v>
          </cell>
        </row>
        <row r="270">
          <cell r="A270" t="str">
            <v>017503</v>
          </cell>
          <cell r="B270">
            <v>652.4</v>
          </cell>
          <cell r="C270">
            <v>43.892822000000002</v>
          </cell>
          <cell r="D270">
            <v>0.14152410575427599</v>
          </cell>
          <cell r="E270">
            <v>41.713821000000003</v>
          </cell>
          <cell r="F270">
            <v>0.13063763608087001</v>
          </cell>
          <cell r="G270">
            <v>59.511488</v>
          </cell>
          <cell r="H270">
            <v>0.27743902439024298</v>
          </cell>
          <cell r="I270">
            <v>49.880961999999997</v>
          </cell>
          <cell r="J270">
            <v>0.25457317073170699</v>
          </cell>
          <cell r="K270">
            <v>148.71072100000001</v>
          </cell>
          <cell r="L270">
            <v>0.832317073170731</v>
          </cell>
          <cell r="M270">
            <v>58.784883000000001</v>
          </cell>
          <cell r="N270">
            <v>0.76829268292682895</v>
          </cell>
          <cell r="O270">
            <v>465.37657799999999</v>
          </cell>
          <cell r="P270">
            <v>0.29275808936825798</v>
          </cell>
          <cell r="Q270">
            <v>37.185695000000003</v>
          </cell>
          <cell r="R270">
            <v>0.17719568567026101</v>
          </cell>
          <cell r="S270">
            <v>173.49338800000001</v>
          </cell>
          <cell r="T270">
            <v>1.22340425531914</v>
          </cell>
          <cell r="U270">
            <v>146.51686900000001</v>
          </cell>
          <cell r="V270">
            <v>1.20668693009118</v>
          </cell>
        </row>
        <row r="271">
          <cell r="A271" t="str">
            <v>017601</v>
          </cell>
          <cell r="B271">
            <v>1388.2</v>
          </cell>
          <cell r="C271">
            <v>634.04607699999997</v>
          </cell>
          <cell r="D271">
            <v>1.7456896551724099</v>
          </cell>
          <cell r="E271">
            <v>5.3771560000000003</v>
          </cell>
          <cell r="F271">
            <v>5.8908045977011401E-2</v>
          </cell>
          <cell r="G271">
            <v>22.587917999999998</v>
          </cell>
          <cell r="H271">
            <v>0.16954022988505699</v>
          </cell>
          <cell r="I271">
            <v>11.250864</v>
          </cell>
          <cell r="J271">
            <v>9.1235632183907997E-2</v>
          </cell>
          <cell r="K271">
            <v>62.025371</v>
          </cell>
          <cell r="L271">
            <v>0.41654676258992801</v>
          </cell>
          <cell r="M271">
            <v>34.534964000000002</v>
          </cell>
          <cell r="N271">
            <v>0.40215827338129401</v>
          </cell>
          <cell r="O271">
            <v>13.133224</v>
          </cell>
          <cell r="P271">
            <v>2.0187454938716601E-2</v>
          </cell>
          <cell r="Q271">
            <v>0.15509400000000001</v>
          </cell>
          <cell r="R271">
            <v>1.44196106705118E-3</v>
          </cell>
          <cell r="S271">
            <v>910.33259599999997</v>
          </cell>
          <cell r="T271">
            <v>2.3992753623188401</v>
          </cell>
          <cell r="U271">
            <v>473.18805500000002</v>
          </cell>
          <cell r="V271">
            <v>1.73985507246376</v>
          </cell>
        </row>
        <row r="272">
          <cell r="A272" t="str">
            <v>017602</v>
          </cell>
          <cell r="B272">
            <v>978.2</v>
          </cell>
          <cell r="C272">
            <v>861.75146299999994</v>
          </cell>
          <cell r="D272">
            <v>1.85467479674796</v>
          </cell>
          <cell r="E272">
            <v>78.107568999999998</v>
          </cell>
          <cell r="F272">
            <v>0.69207317073170704</v>
          </cell>
          <cell r="G272">
            <v>141.43211099999999</v>
          </cell>
          <cell r="H272">
            <v>0.99795918367346903</v>
          </cell>
          <cell r="I272">
            <v>131.20515</v>
          </cell>
          <cell r="J272">
            <v>0.98571428571428499</v>
          </cell>
          <cell r="K272">
            <v>266.33974699999999</v>
          </cell>
          <cell r="L272">
            <v>0.88798370672097704</v>
          </cell>
          <cell r="M272">
            <v>56.216563999999998</v>
          </cell>
          <cell r="N272">
            <v>0.78920570264765699</v>
          </cell>
          <cell r="O272">
            <v>52.692498999999998</v>
          </cell>
          <cell r="P272">
            <v>0.50408163265306105</v>
          </cell>
          <cell r="Q272">
            <v>36.915629000000003</v>
          </cell>
          <cell r="R272">
            <v>0.48775510204081601</v>
          </cell>
          <cell r="S272">
            <v>933.79911900000002</v>
          </cell>
          <cell r="T272">
            <v>2.0393782383419601</v>
          </cell>
          <cell r="U272">
            <v>212.357392</v>
          </cell>
          <cell r="V272">
            <v>1.8196891191709801</v>
          </cell>
        </row>
        <row r="273">
          <cell r="A273" t="str">
            <v>017603</v>
          </cell>
          <cell r="B273">
            <v>1000.2</v>
          </cell>
          <cell r="C273">
            <v>404.10712799999999</v>
          </cell>
          <cell r="D273">
            <v>1.0792181069958799</v>
          </cell>
          <cell r="E273">
            <v>4.1866310000000002</v>
          </cell>
          <cell r="F273">
            <v>3.0864197530864099E-2</v>
          </cell>
          <cell r="G273">
            <v>41.175457999999999</v>
          </cell>
          <cell r="H273">
            <v>0.16497975708502</v>
          </cell>
          <cell r="I273">
            <v>12.102154000000001</v>
          </cell>
          <cell r="J273">
            <v>5.8704453441295497E-2</v>
          </cell>
          <cell r="K273">
            <v>52.626266999999999</v>
          </cell>
          <cell r="L273">
            <v>0.22543352601156</v>
          </cell>
          <cell r="M273">
            <v>19.519812999999999</v>
          </cell>
          <cell r="N273">
            <v>0.174373795761078</v>
          </cell>
          <cell r="O273">
            <v>519.90166699999997</v>
          </cell>
          <cell r="P273">
            <v>4.5456329735034302</v>
          </cell>
          <cell r="Q273">
            <v>236.350752</v>
          </cell>
          <cell r="R273">
            <v>1.91756624141315</v>
          </cell>
          <cell r="S273">
            <v>428.21439600000002</v>
          </cell>
          <cell r="T273">
            <v>3.66971544715447</v>
          </cell>
          <cell r="U273">
            <v>186.50508099999999</v>
          </cell>
          <cell r="V273">
            <v>2.5376016260162602</v>
          </cell>
        </row>
        <row r="274">
          <cell r="A274" t="str">
            <v>017604</v>
          </cell>
          <cell r="B274">
            <v>635.44444399999998</v>
          </cell>
          <cell r="C274">
            <v>588.83929000000001</v>
          </cell>
          <cell r="D274">
            <v>2.63552833078101</v>
          </cell>
          <cell r="E274">
            <v>69.268190000000004</v>
          </cell>
          <cell r="F274">
            <v>1.4869831546707499</v>
          </cell>
          <cell r="G274">
            <v>9.0311939999999993</v>
          </cell>
          <cell r="H274">
            <v>6.5727699530516395E-2</v>
          </cell>
          <cell r="I274">
            <v>4.3189190000000002</v>
          </cell>
          <cell r="J274">
            <v>4.22535211267605E-2</v>
          </cell>
          <cell r="K274">
            <v>56.317554000000001</v>
          </cell>
          <cell r="L274">
            <v>0.25235109717868298</v>
          </cell>
          <cell r="M274">
            <v>13.854911</v>
          </cell>
          <cell r="N274">
            <v>0.21786833855799301</v>
          </cell>
          <cell r="O274">
            <v>157.70102299999999</v>
          </cell>
          <cell r="P274">
            <v>1.1133858267716501</v>
          </cell>
          <cell r="Q274">
            <v>157.70102299999999</v>
          </cell>
          <cell r="R274">
            <v>1.1133858267716501</v>
          </cell>
          <cell r="S274">
            <v>171.20580000000001</v>
          </cell>
          <cell r="T274">
            <v>1.0571895424836599</v>
          </cell>
          <cell r="U274">
            <v>90.874590999999995</v>
          </cell>
          <cell r="V274">
            <v>1.02614379084967</v>
          </cell>
        </row>
        <row r="275">
          <cell r="A275" t="str">
            <v>017701</v>
          </cell>
          <cell r="B275">
            <v>595.20000000000005</v>
          </cell>
          <cell r="C275">
            <v>165.55966000000001</v>
          </cell>
          <cell r="D275">
            <v>0.67174280879864601</v>
          </cell>
          <cell r="E275">
            <v>154.924812</v>
          </cell>
          <cell r="F275">
            <v>0.63959390862944099</v>
          </cell>
          <cell r="G275">
            <v>414.054642</v>
          </cell>
          <cell r="H275">
            <v>0.90133779264213998</v>
          </cell>
          <cell r="I275">
            <v>236.201413</v>
          </cell>
          <cell r="J275">
            <v>0.85618729096989898</v>
          </cell>
          <cell r="K275">
            <v>974.84176300000001</v>
          </cell>
          <cell r="L275">
            <v>0.99497487437185905</v>
          </cell>
          <cell r="M275">
            <v>48.284253999999997</v>
          </cell>
          <cell r="N275">
            <v>0.720268006700167</v>
          </cell>
          <cell r="O275">
            <v>474.87858999999997</v>
          </cell>
          <cell r="P275">
            <v>1.15151515151515</v>
          </cell>
          <cell r="Q275">
            <v>49.951205999999999</v>
          </cell>
          <cell r="R275">
            <v>0.70370370370370305</v>
          </cell>
          <cell r="S275">
            <v>808.22253799999999</v>
          </cell>
          <cell r="T275">
            <v>2.8909395973154299</v>
          </cell>
          <cell r="U275">
            <v>515.70243200000004</v>
          </cell>
          <cell r="V275">
            <v>2.4278523489932802</v>
          </cell>
        </row>
        <row r="276">
          <cell r="A276" t="str">
            <v>017702</v>
          </cell>
          <cell r="B276">
            <v>1059.444444</v>
          </cell>
          <cell r="C276">
            <v>89.791467999999995</v>
          </cell>
          <cell r="D276">
            <v>0.93517534537725799</v>
          </cell>
          <cell r="E276">
            <v>89.791467999999995</v>
          </cell>
          <cell r="F276">
            <v>0.93517534537725799</v>
          </cell>
          <cell r="G276">
            <v>165.36996300000001</v>
          </cell>
          <cell r="H276">
            <v>1.05313496280552</v>
          </cell>
          <cell r="I276">
            <v>165.21427499999999</v>
          </cell>
          <cell r="J276">
            <v>1.05207226354941</v>
          </cell>
          <cell r="K276">
            <v>462.908928</v>
          </cell>
          <cell r="L276">
            <v>1.22797927461139</v>
          </cell>
          <cell r="M276">
            <v>23.381070000000001</v>
          </cell>
          <cell r="N276">
            <v>0.26010362694300498</v>
          </cell>
          <cell r="O276">
            <v>547.77425600000004</v>
          </cell>
          <cell r="P276">
            <v>0.676935886761032</v>
          </cell>
          <cell r="Q276">
            <v>36.866304999999997</v>
          </cell>
          <cell r="R276">
            <v>0.170691090757701</v>
          </cell>
          <cell r="S276">
            <v>193.46201600000001</v>
          </cell>
          <cell r="T276">
            <v>0.63445378151260501</v>
          </cell>
          <cell r="U276">
            <v>103.639481</v>
          </cell>
          <cell r="V276">
            <v>0.55714285714285705</v>
          </cell>
        </row>
        <row r="277">
          <cell r="A277" t="str">
            <v>017901</v>
          </cell>
          <cell r="B277">
            <v>68.833332999999996</v>
          </cell>
          <cell r="C277">
            <v>30.202739000000001</v>
          </cell>
          <cell r="D277">
            <v>0.25</v>
          </cell>
          <cell r="E277">
            <v>30.202739000000001</v>
          </cell>
          <cell r="F277">
            <v>0.25</v>
          </cell>
          <cell r="G277">
            <v>232.66404299999999</v>
          </cell>
          <cell r="H277">
            <v>0.29999999999999899</v>
          </cell>
          <cell r="I277">
            <v>45.47963</v>
          </cell>
          <cell r="J277">
            <v>0.157142857142857</v>
          </cell>
          <cell r="K277">
            <v>641.48809400000005</v>
          </cell>
          <cell r="L277">
            <v>1.28571428571428</v>
          </cell>
          <cell r="M277">
            <v>568.876666</v>
          </cell>
          <cell r="N277">
            <v>1.1142857142857101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108.784615</v>
          </cell>
          <cell r="T277">
            <v>0.18461538461538399</v>
          </cell>
          <cell r="U277">
            <v>0</v>
          </cell>
          <cell r="V277">
            <v>0</v>
          </cell>
        </row>
        <row r="278">
          <cell r="A278" t="str">
            <v>017902</v>
          </cell>
          <cell r="B278">
            <v>2270.1111110000002</v>
          </cell>
          <cell r="C278">
            <v>56.622709</v>
          </cell>
          <cell r="D278">
            <v>0.28029948525970899</v>
          </cell>
          <cell r="E278">
            <v>56.622709</v>
          </cell>
          <cell r="F278">
            <v>0.28029948525970899</v>
          </cell>
          <cell r="G278">
            <v>824.08026500000005</v>
          </cell>
          <cell r="H278">
            <v>1.26437282229965</v>
          </cell>
          <cell r="I278">
            <v>96.498741999999993</v>
          </cell>
          <cell r="J278">
            <v>0.45383275261324002</v>
          </cell>
          <cell r="K278">
            <v>1957.6111759999999</v>
          </cell>
          <cell r="L278">
            <v>2.75076252723311</v>
          </cell>
          <cell r="M278">
            <v>776.4787</v>
          </cell>
          <cell r="N278">
            <v>1.61089324618736</v>
          </cell>
          <cell r="O278">
            <v>138.29537999999999</v>
          </cell>
          <cell r="P278">
            <v>0.53365596128464499</v>
          </cell>
          <cell r="Q278">
            <v>71.337395000000001</v>
          </cell>
          <cell r="R278">
            <v>0.48746150461944499</v>
          </cell>
          <cell r="S278">
            <v>74.916235</v>
          </cell>
          <cell r="T278">
            <v>0.45992115637319297</v>
          </cell>
          <cell r="U278">
            <v>52.931544000000002</v>
          </cell>
          <cell r="V278">
            <v>0.42575558475689801</v>
          </cell>
        </row>
        <row r="279">
          <cell r="A279" t="str">
            <v>018001</v>
          </cell>
          <cell r="B279">
            <v>482.2</v>
          </cell>
          <cell r="C279">
            <v>2498.4958820000002</v>
          </cell>
          <cell r="D279">
            <v>2.4439918533604801</v>
          </cell>
          <cell r="E279">
            <v>167.968388</v>
          </cell>
          <cell r="F279">
            <v>1.42566191446028</v>
          </cell>
          <cell r="G279">
            <v>223.66394</v>
          </cell>
          <cell r="H279">
            <v>0.78850102669404498</v>
          </cell>
          <cell r="I279">
            <v>101.165182</v>
          </cell>
          <cell r="J279">
            <v>0.53388090349075901</v>
          </cell>
          <cell r="K279">
            <v>82.112129999999993</v>
          </cell>
          <cell r="L279">
            <v>0.47422680412371099</v>
          </cell>
          <cell r="M279">
            <v>20.159759000000001</v>
          </cell>
          <cell r="N279">
            <v>0.294845360824742</v>
          </cell>
          <cell r="O279">
            <v>390.15960799999999</v>
          </cell>
          <cell r="P279">
            <v>1.63731656184486</v>
          </cell>
          <cell r="Q279">
            <v>138.00964300000001</v>
          </cell>
          <cell r="R279">
            <v>1.0356394129979001</v>
          </cell>
          <cell r="S279">
            <v>389.780147</v>
          </cell>
          <cell r="T279">
            <v>2.52229299363057</v>
          </cell>
          <cell r="U279">
            <v>154.50721799999999</v>
          </cell>
          <cell r="V279">
            <v>1.3481953290870401</v>
          </cell>
        </row>
        <row r="280">
          <cell r="A280" t="str">
            <v>018002</v>
          </cell>
          <cell r="B280">
            <v>691.4</v>
          </cell>
          <cell r="C280">
            <v>4294.6215769999999</v>
          </cell>
          <cell r="D280">
            <v>3.3589743589743501</v>
          </cell>
          <cell r="E280">
            <v>366.138216</v>
          </cell>
          <cell r="F280">
            <v>1.5726495726495699</v>
          </cell>
          <cell r="G280">
            <v>329.63032800000002</v>
          </cell>
          <cell r="H280">
            <v>0.981321839080459</v>
          </cell>
          <cell r="I280">
            <v>155.401996</v>
          </cell>
          <cell r="J280">
            <v>0.69683908045977005</v>
          </cell>
          <cell r="K280">
            <v>199.66203100000001</v>
          </cell>
          <cell r="L280">
            <v>0.32564841498559</v>
          </cell>
          <cell r="M280">
            <v>37.847070000000002</v>
          </cell>
          <cell r="N280">
            <v>0.16570605187319801</v>
          </cell>
          <cell r="O280">
            <v>188.561668</v>
          </cell>
          <cell r="P280">
            <v>0.93304221251819497</v>
          </cell>
          <cell r="Q280">
            <v>62.221882000000001</v>
          </cell>
          <cell r="R280">
            <v>0.44395924308587997</v>
          </cell>
          <cell r="S280">
            <v>646.76184799999999</v>
          </cell>
          <cell r="T280">
            <v>3.7227138643067801</v>
          </cell>
          <cell r="U280">
            <v>232.570526</v>
          </cell>
          <cell r="V280">
            <v>2.43067846607669</v>
          </cell>
        </row>
        <row r="281">
          <cell r="A281" t="str">
            <v>018101</v>
          </cell>
          <cell r="B281">
            <v>562.42857100000003</v>
          </cell>
          <cell r="C281">
            <v>484.23518300000001</v>
          </cell>
          <cell r="D281">
            <v>2.2169014084506999</v>
          </cell>
          <cell r="E281">
            <v>44.702789000000003</v>
          </cell>
          <cell r="F281">
            <v>0.21126760563380201</v>
          </cell>
          <cell r="G281">
            <v>300.95834000000002</v>
          </cell>
          <cell r="H281">
            <v>3.875</v>
          </cell>
          <cell r="I281">
            <v>300.95834000000002</v>
          </cell>
          <cell r="J281">
            <v>3.875</v>
          </cell>
          <cell r="K281">
            <v>371.83713299999999</v>
          </cell>
          <cell r="L281">
            <v>1.1937406855439601</v>
          </cell>
          <cell r="M281">
            <v>371.83713299999999</v>
          </cell>
          <cell r="N281">
            <v>1.1937406855439601</v>
          </cell>
          <cell r="O281">
            <v>3.1195840000000001</v>
          </cell>
          <cell r="P281">
            <v>1.73501577287066E-2</v>
          </cell>
          <cell r="Q281">
            <v>3.1195840000000001</v>
          </cell>
          <cell r="R281">
            <v>1.73501577287066E-2</v>
          </cell>
          <cell r="S281">
            <v>764.22811200000001</v>
          </cell>
          <cell r="T281">
            <v>1.09135399673735</v>
          </cell>
          <cell r="U281">
            <v>169.58450199999999</v>
          </cell>
          <cell r="V281">
            <v>0.85807504078303398</v>
          </cell>
        </row>
        <row r="282">
          <cell r="A282" t="str">
            <v>018201</v>
          </cell>
          <cell r="B282">
            <v>415.77777700000001</v>
          </cell>
          <cell r="C282">
            <v>58.826267000000001</v>
          </cell>
          <cell r="D282">
            <v>0.236585365853658</v>
          </cell>
          <cell r="E282">
            <v>58.826267000000001</v>
          </cell>
          <cell r="F282">
            <v>0.236585365853658</v>
          </cell>
          <cell r="G282">
            <v>120.231656</v>
          </cell>
          <cell r="H282">
            <v>0.55443037974683496</v>
          </cell>
          <cell r="I282">
            <v>88.563211999999993</v>
          </cell>
          <cell r="J282">
            <v>0.47341772151898698</v>
          </cell>
          <cell r="K282">
            <v>35.302103000000002</v>
          </cell>
          <cell r="L282">
            <v>0.209595959595959</v>
          </cell>
          <cell r="M282">
            <v>29.898904999999999</v>
          </cell>
          <cell r="N282">
            <v>0.20707070707070699</v>
          </cell>
          <cell r="O282">
            <v>5.2676869999999996</v>
          </cell>
          <cell r="P282">
            <v>2.1226415094339601E-2</v>
          </cell>
          <cell r="Q282">
            <v>5.1512570000000002</v>
          </cell>
          <cell r="R282">
            <v>1.8867924528301799E-2</v>
          </cell>
          <cell r="S282">
            <v>546.31053099999997</v>
          </cell>
          <cell r="T282">
            <v>0.43680709534368001</v>
          </cell>
          <cell r="U282">
            <v>25.058350999999998</v>
          </cell>
          <cell r="V282">
            <v>0.24390243902438999</v>
          </cell>
        </row>
        <row r="283">
          <cell r="A283" t="str">
            <v>018202</v>
          </cell>
          <cell r="B283">
            <v>601.79999999999995</v>
          </cell>
          <cell r="C283">
            <v>249.45117200000001</v>
          </cell>
          <cell r="D283">
            <v>0.144278606965174</v>
          </cell>
          <cell r="E283">
            <v>9.9328520000000005</v>
          </cell>
          <cell r="F283">
            <v>3.15091210613598E-2</v>
          </cell>
          <cell r="G283">
            <v>362.15155800000002</v>
          </cell>
          <cell r="H283">
            <v>0.97415185783521796</v>
          </cell>
          <cell r="I283">
            <v>286.42134499999997</v>
          </cell>
          <cell r="J283">
            <v>0.90468497576736595</v>
          </cell>
          <cell r="K283">
            <v>74.820052000000004</v>
          </cell>
          <cell r="L283">
            <v>0.28548387096774103</v>
          </cell>
          <cell r="M283">
            <v>69.768412999999995</v>
          </cell>
          <cell r="N283">
            <v>0.282258064516129</v>
          </cell>
          <cell r="O283">
            <v>154.57923</v>
          </cell>
          <cell r="P283">
            <v>0.818803418803418</v>
          </cell>
          <cell r="Q283">
            <v>132.79643799999999</v>
          </cell>
          <cell r="R283">
            <v>0.79316239316239301</v>
          </cell>
          <cell r="S283">
            <v>875.81861300000003</v>
          </cell>
          <cell r="T283">
            <v>0.77491408934707895</v>
          </cell>
          <cell r="U283">
            <v>72.272193000000001</v>
          </cell>
          <cell r="V283">
            <v>0.24570446735395099</v>
          </cell>
        </row>
        <row r="284">
          <cell r="A284" t="str">
            <v>018301</v>
          </cell>
          <cell r="B284">
            <v>1384</v>
          </cell>
          <cell r="C284">
            <v>3031.0613039999998</v>
          </cell>
          <cell r="D284">
            <v>2.7298761609907101</v>
          </cell>
          <cell r="E284">
            <v>148.047831</v>
          </cell>
          <cell r="F284">
            <v>1.48142414860681</v>
          </cell>
          <cell r="G284">
            <v>58.342790000000001</v>
          </cell>
          <cell r="H284">
            <v>0.30949008498583502</v>
          </cell>
          <cell r="I284">
            <v>33.616481999999998</v>
          </cell>
          <cell r="J284">
            <v>0.30028328611897998</v>
          </cell>
          <cell r="K284">
            <v>311.74690700000002</v>
          </cell>
          <cell r="L284">
            <v>1.03127221037668</v>
          </cell>
          <cell r="M284">
            <v>134.79521399999999</v>
          </cell>
          <cell r="N284">
            <v>0.87633262260127898</v>
          </cell>
          <cell r="O284">
            <v>56.615138999999999</v>
          </cell>
          <cell r="P284">
            <v>0.593749999999999</v>
          </cell>
          <cell r="Q284">
            <v>55.059919000000001</v>
          </cell>
          <cell r="R284">
            <v>0.58877840909090895</v>
          </cell>
          <cell r="S284">
            <v>112.648893</v>
          </cell>
          <cell r="T284">
            <v>0.62241256245538901</v>
          </cell>
          <cell r="U284">
            <v>92.545930999999996</v>
          </cell>
          <cell r="V284">
            <v>0.550321199143468</v>
          </cell>
        </row>
        <row r="285">
          <cell r="A285" t="str">
            <v>018302</v>
          </cell>
          <cell r="B285">
            <v>702.8</v>
          </cell>
          <cell r="C285">
            <v>5482.6455370000003</v>
          </cell>
          <cell r="D285">
            <v>9.3826530612244792</v>
          </cell>
          <cell r="E285">
            <v>683.95818899999995</v>
          </cell>
          <cell r="F285">
            <v>7.4438775510203996</v>
          </cell>
          <cell r="G285">
            <v>882.81997200000001</v>
          </cell>
          <cell r="H285">
            <v>2.4153846153846099</v>
          </cell>
          <cell r="I285">
            <v>192.06906499999999</v>
          </cell>
          <cell r="J285">
            <v>1.36153846153846</v>
          </cell>
          <cell r="K285">
            <v>193.78194500000001</v>
          </cell>
          <cell r="L285">
            <v>1.4276568501920599</v>
          </cell>
          <cell r="M285">
            <v>59.975864000000001</v>
          </cell>
          <cell r="N285">
            <v>1.25096030729833</v>
          </cell>
          <cell r="O285">
            <v>348.48578700000002</v>
          </cell>
          <cell r="P285">
            <v>0.53649167733674696</v>
          </cell>
          <cell r="Q285">
            <v>122.43459199999999</v>
          </cell>
          <cell r="R285">
            <v>0.45966709346991003</v>
          </cell>
          <cell r="S285">
            <v>203.51111</v>
          </cell>
          <cell r="T285">
            <v>1.7628205128205101</v>
          </cell>
          <cell r="U285">
            <v>164.04155900000001</v>
          </cell>
          <cell r="V285">
            <v>1.63333333333333</v>
          </cell>
        </row>
        <row r="286">
          <cell r="A286" t="str">
            <v>018501</v>
          </cell>
          <cell r="B286">
            <v>1226.4000000000001</v>
          </cell>
          <cell r="C286">
            <v>486.52761099999998</v>
          </cell>
          <cell r="D286">
            <v>1.8136696501220499</v>
          </cell>
          <cell r="E286">
            <v>284.44783799999999</v>
          </cell>
          <cell r="F286">
            <v>1.6802278275020299</v>
          </cell>
          <cell r="G286">
            <v>847.064481</v>
          </cell>
          <cell r="H286">
            <v>1.55546492659053</v>
          </cell>
          <cell r="I286">
            <v>485.66517800000003</v>
          </cell>
          <cell r="J286">
            <v>0.93066884176182696</v>
          </cell>
          <cell r="K286">
            <v>271.35726199999999</v>
          </cell>
          <cell r="L286">
            <v>0.97235772357723504</v>
          </cell>
          <cell r="M286">
            <v>96.261666000000005</v>
          </cell>
          <cell r="N286">
            <v>0.58943089430894302</v>
          </cell>
          <cell r="O286">
            <v>279.970372</v>
          </cell>
          <cell r="P286">
            <v>0.64935064935064901</v>
          </cell>
          <cell r="Q286">
            <v>92.034834000000004</v>
          </cell>
          <cell r="R286">
            <v>0.55438311688311603</v>
          </cell>
          <cell r="S286">
            <v>673.53507400000001</v>
          </cell>
          <cell r="T286">
            <v>1.0370370370370301</v>
          </cell>
          <cell r="U286">
            <v>105.709807</v>
          </cell>
          <cell r="V286">
            <v>0.65349794238683101</v>
          </cell>
        </row>
        <row r="287">
          <cell r="A287" t="str">
            <v>018502</v>
          </cell>
          <cell r="B287">
            <v>511.6</v>
          </cell>
          <cell r="C287">
            <v>1009.134411</v>
          </cell>
          <cell r="D287">
            <v>4.0949152542372804</v>
          </cell>
          <cell r="E287">
            <v>1008.097123</v>
          </cell>
          <cell r="F287">
            <v>4.0915254237288101</v>
          </cell>
          <cell r="G287">
            <v>925.62974399999996</v>
          </cell>
          <cell r="H287">
            <v>3.8432055749128899</v>
          </cell>
          <cell r="I287">
            <v>717.58074299999998</v>
          </cell>
          <cell r="J287">
            <v>3.3362369337978999</v>
          </cell>
          <cell r="K287">
            <v>1617.3471099999999</v>
          </cell>
          <cell r="L287">
            <v>1.8143607705779301</v>
          </cell>
          <cell r="M287">
            <v>82.150029000000004</v>
          </cell>
          <cell r="N287">
            <v>0.60245183887915899</v>
          </cell>
          <cell r="O287">
            <v>946.98966399999995</v>
          </cell>
          <cell r="P287">
            <v>2.8639575971731399</v>
          </cell>
          <cell r="Q287">
            <v>321.83259700000002</v>
          </cell>
          <cell r="R287">
            <v>2.5070671378091798</v>
          </cell>
          <cell r="S287">
            <v>583.60966099999996</v>
          </cell>
          <cell r="T287">
            <v>2.2481884057971002</v>
          </cell>
          <cell r="U287">
            <v>176.45003</v>
          </cell>
          <cell r="V287">
            <v>1.6159420289855</v>
          </cell>
        </row>
        <row r="288">
          <cell r="A288" t="str">
            <v>018901</v>
          </cell>
          <cell r="B288">
            <v>815.8</v>
          </cell>
          <cell r="C288">
            <v>1957.354423</v>
          </cell>
          <cell r="D288">
            <v>1.3788063337393399</v>
          </cell>
          <cell r="E288">
            <v>107.39668500000001</v>
          </cell>
          <cell r="F288">
            <v>0.83313032886723504</v>
          </cell>
          <cell r="G288">
            <v>1495.4288819999999</v>
          </cell>
          <cell r="H288">
            <v>1.32766990291262</v>
          </cell>
          <cell r="I288">
            <v>59.993170999999997</v>
          </cell>
          <cell r="J288">
            <v>0.22694174757281499</v>
          </cell>
          <cell r="K288">
            <v>1957.4712910000001</v>
          </cell>
          <cell r="L288">
            <v>2.1955990220048802</v>
          </cell>
          <cell r="M288">
            <v>164.48009300000001</v>
          </cell>
          <cell r="N288">
            <v>0.81540342298288504</v>
          </cell>
          <cell r="O288">
            <v>579.59074199999998</v>
          </cell>
          <cell r="P288">
            <v>1.6206896551724099</v>
          </cell>
          <cell r="Q288">
            <v>409.027894</v>
          </cell>
          <cell r="R288">
            <v>1.4753694581280701</v>
          </cell>
          <cell r="S288">
            <v>1060.083664</v>
          </cell>
          <cell r="T288">
            <v>2.65422885572139</v>
          </cell>
          <cell r="U288">
            <v>246.05669499999999</v>
          </cell>
          <cell r="V288">
            <v>0.97263681592039797</v>
          </cell>
        </row>
        <row r="289">
          <cell r="A289" t="str">
            <v>018902</v>
          </cell>
          <cell r="B289">
            <v>879.8</v>
          </cell>
          <cell r="C289">
            <v>520.72294099999999</v>
          </cell>
          <cell r="D289">
            <v>0.53054298642533904</v>
          </cell>
          <cell r="E289">
            <v>57.296883999999999</v>
          </cell>
          <cell r="F289">
            <v>0.46153846153846101</v>
          </cell>
          <cell r="G289">
            <v>305.42519399999998</v>
          </cell>
          <cell r="H289">
            <v>0.94845360824742198</v>
          </cell>
          <cell r="I289">
            <v>130.472489</v>
          </cell>
          <cell r="J289">
            <v>0.56242840778923198</v>
          </cell>
          <cell r="K289">
            <v>352.42761200000001</v>
          </cell>
          <cell r="L289">
            <v>0.90992018244013595</v>
          </cell>
          <cell r="M289">
            <v>57.706062000000003</v>
          </cell>
          <cell r="N289">
            <v>0.49942987457240501</v>
          </cell>
          <cell r="O289">
            <v>745.31115399999999</v>
          </cell>
          <cell r="P289">
            <v>1.1938426453819799</v>
          </cell>
          <cell r="Q289">
            <v>109.454579</v>
          </cell>
          <cell r="R289">
            <v>0.81071835803876802</v>
          </cell>
          <cell r="S289">
            <v>1286.8161399999999</v>
          </cell>
          <cell r="T289">
            <v>2.0078828828828801</v>
          </cell>
          <cell r="U289">
            <v>183.350694</v>
          </cell>
          <cell r="V289">
            <v>0.86486486486486402</v>
          </cell>
        </row>
        <row r="290">
          <cell r="A290" t="str">
            <v>019201</v>
          </cell>
          <cell r="B290">
            <v>326</v>
          </cell>
          <cell r="C290">
            <v>1000.61092</v>
          </cell>
          <cell r="D290">
            <v>1.68711656441717</v>
          </cell>
          <cell r="E290">
            <v>93.673248000000001</v>
          </cell>
          <cell r="F290">
            <v>0.66871165644171704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</row>
        <row r="291">
          <cell r="A291" t="str">
            <v>019202</v>
          </cell>
          <cell r="B291">
            <v>542.375</v>
          </cell>
          <cell r="C291">
            <v>551.42377699999997</v>
          </cell>
          <cell r="D291">
            <v>1.49816849816849</v>
          </cell>
          <cell r="E291">
            <v>17.272811999999998</v>
          </cell>
          <cell r="F291">
            <v>0.124542124542124</v>
          </cell>
          <cell r="G291">
            <v>79.232529999999997</v>
          </cell>
          <cell r="H291">
            <v>0.56920684292379398</v>
          </cell>
          <cell r="I291">
            <v>79.232529999999997</v>
          </cell>
          <cell r="J291">
            <v>0.56920684292379398</v>
          </cell>
          <cell r="K291">
            <v>1103.0513309999999</v>
          </cell>
          <cell r="L291">
            <v>2.6003134796238201</v>
          </cell>
          <cell r="M291">
            <v>503.18834800000002</v>
          </cell>
          <cell r="N291">
            <v>1.50313479623824</v>
          </cell>
          <cell r="O291">
            <v>14.010676</v>
          </cell>
          <cell r="P291">
            <v>0.121405750798722</v>
          </cell>
          <cell r="Q291">
            <v>14.010676</v>
          </cell>
          <cell r="R291">
            <v>0.121405750798722</v>
          </cell>
          <cell r="S291">
            <v>333.32708300000002</v>
          </cell>
          <cell r="T291">
            <v>0.56410256410256399</v>
          </cell>
          <cell r="U291">
            <v>332.37331699999999</v>
          </cell>
          <cell r="V291">
            <v>0.55608974358974295</v>
          </cell>
        </row>
        <row r="292">
          <cell r="A292" t="str">
            <v>019203</v>
          </cell>
          <cell r="B292">
            <v>275.25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657.57894499999998</v>
          </cell>
          <cell r="H292">
            <v>0.88768115942028902</v>
          </cell>
          <cell r="I292">
            <v>88.974605999999994</v>
          </cell>
          <cell r="J292">
            <v>0.66666666666666596</v>
          </cell>
          <cell r="K292">
            <v>627.17702899999995</v>
          </cell>
          <cell r="L292">
            <v>2.0690909090909</v>
          </cell>
          <cell r="M292">
            <v>245.38793899999999</v>
          </cell>
          <cell r="N292">
            <v>1.08</v>
          </cell>
          <cell r="O292">
            <v>913.37700600000005</v>
          </cell>
          <cell r="P292">
            <v>2.7664233576642299</v>
          </cell>
          <cell r="Q292">
            <v>128.254075</v>
          </cell>
          <cell r="R292">
            <v>1.7773722627737201</v>
          </cell>
          <cell r="S292">
            <v>98.342088000000004</v>
          </cell>
          <cell r="T292">
            <v>0.27173913043478198</v>
          </cell>
          <cell r="U292">
            <v>92.365759999999995</v>
          </cell>
          <cell r="V292">
            <v>0.26449275362318803</v>
          </cell>
        </row>
        <row r="293">
          <cell r="A293" t="str">
            <v>019402</v>
          </cell>
          <cell r="B293">
            <v>1546.333333</v>
          </cell>
          <cell r="C293">
            <v>213.43876499999999</v>
          </cell>
          <cell r="D293">
            <v>1.41634980988593</v>
          </cell>
          <cell r="E293">
            <v>213.20746</v>
          </cell>
          <cell r="F293">
            <v>1.4157160963244599</v>
          </cell>
          <cell r="G293">
            <v>256.30104299999999</v>
          </cell>
          <cell r="H293">
            <v>1.10402042118698</v>
          </cell>
          <cell r="I293">
            <v>242.230369</v>
          </cell>
          <cell r="J293">
            <v>1.0944479897893999</v>
          </cell>
          <cell r="K293">
            <v>228.501328</v>
          </cell>
          <cell r="L293">
            <v>1.22399489470325</v>
          </cell>
          <cell r="M293">
            <v>151.169814</v>
          </cell>
          <cell r="N293">
            <v>0.98276962348436503</v>
          </cell>
          <cell r="O293">
            <v>57.682661000000003</v>
          </cell>
          <cell r="P293">
            <v>0.51375559820857297</v>
          </cell>
          <cell r="Q293">
            <v>57.682661000000003</v>
          </cell>
          <cell r="R293">
            <v>0.51375559820857297</v>
          </cell>
          <cell r="S293">
            <v>18.449396</v>
          </cell>
          <cell r="T293">
            <v>4.30034129692832E-2</v>
          </cell>
          <cell r="U293">
            <v>8.8168939999999996</v>
          </cell>
          <cell r="V293">
            <v>2.1160409556313899E-2</v>
          </cell>
        </row>
        <row r="294">
          <cell r="A294" t="str">
            <v>019403</v>
          </cell>
          <cell r="B294">
            <v>1609.8571420000001</v>
          </cell>
          <cell r="C294">
            <v>35.879285000000003</v>
          </cell>
          <cell r="D294">
            <v>0.20938851142680601</v>
          </cell>
          <cell r="E294">
            <v>35.823459999999997</v>
          </cell>
          <cell r="F294">
            <v>0.207535515750463</v>
          </cell>
          <cell r="G294">
            <v>131.96483599999999</v>
          </cell>
          <cell r="H294">
            <v>1.4125230202578201</v>
          </cell>
          <cell r="I294">
            <v>130.91945200000001</v>
          </cell>
          <cell r="J294">
            <v>1.4112952731737201</v>
          </cell>
          <cell r="K294">
            <v>14.102289000000001</v>
          </cell>
          <cell r="L294">
            <v>0.148490449784349</v>
          </cell>
          <cell r="M294">
            <v>14.102289000000001</v>
          </cell>
          <cell r="N294">
            <v>0.148490449784349</v>
          </cell>
          <cell r="O294">
            <v>77.959541999999999</v>
          </cell>
          <cell r="P294">
            <v>0.39592340951204402</v>
          </cell>
          <cell r="Q294">
            <v>77.959541999999999</v>
          </cell>
          <cell r="R294">
            <v>0.39592340951204402</v>
          </cell>
          <cell r="S294">
            <v>18.176103999999999</v>
          </cell>
          <cell r="T294">
            <v>0.12932723709993399</v>
          </cell>
          <cell r="U294">
            <v>18.176103999999999</v>
          </cell>
          <cell r="V294">
            <v>0.12932723709993399</v>
          </cell>
        </row>
        <row r="295">
          <cell r="A295" t="str">
            <v>019404</v>
          </cell>
          <cell r="B295">
            <v>1623.8571420000001</v>
          </cell>
          <cell r="C295">
            <v>1341.742416</v>
          </cell>
          <cell r="D295">
            <v>1.9407772979642099</v>
          </cell>
          <cell r="E295">
            <v>94.994480999999993</v>
          </cell>
          <cell r="F295">
            <v>1.0980876002467601</v>
          </cell>
          <cell r="G295">
            <v>200.78007500000001</v>
          </cell>
          <cell r="H295">
            <v>1.7441574415744101</v>
          </cell>
          <cell r="I295">
            <v>198.72915900000001</v>
          </cell>
          <cell r="J295">
            <v>1.74292742927429</v>
          </cell>
          <cell r="K295">
            <v>5.7420249999999999</v>
          </cell>
          <cell r="L295">
            <v>7.7586206896551699E-2</v>
          </cell>
          <cell r="M295">
            <v>5.7420249999999999</v>
          </cell>
          <cell r="N295">
            <v>7.7586206896551699E-2</v>
          </cell>
          <cell r="O295">
            <v>94.956393000000006</v>
          </cell>
          <cell r="P295">
            <v>0.58928571428571397</v>
          </cell>
          <cell r="Q295">
            <v>94.956393000000006</v>
          </cell>
          <cell r="R295">
            <v>0.58928571428571397</v>
          </cell>
          <cell r="S295">
            <v>0.77453300000000003</v>
          </cell>
          <cell r="T295">
            <v>1.0461538461538401E-2</v>
          </cell>
          <cell r="U295">
            <v>0.77453300000000003</v>
          </cell>
          <cell r="V295">
            <v>1.0461538461538401E-2</v>
          </cell>
        </row>
        <row r="296">
          <cell r="A296" t="str">
            <v>019601</v>
          </cell>
          <cell r="B296">
            <v>438.2</v>
          </cell>
          <cell r="C296">
            <v>1011.36518</v>
          </cell>
          <cell r="D296">
            <v>2.67800453514739</v>
          </cell>
          <cell r="E296">
            <v>285.71062000000001</v>
          </cell>
          <cell r="F296">
            <v>2.0544217687074799</v>
          </cell>
          <cell r="G296">
            <v>1651.7002190000001</v>
          </cell>
          <cell r="H296">
            <v>4.3151927437641699</v>
          </cell>
          <cell r="I296">
            <v>367.72603900000001</v>
          </cell>
          <cell r="J296">
            <v>2.5804988662131501</v>
          </cell>
          <cell r="K296">
            <v>1942.2367489999999</v>
          </cell>
          <cell r="L296">
            <v>4.9544419134396298</v>
          </cell>
          <cell r="M296">
            <v>673.98454800000002</v>
          </cell>
          <cell r="N296">
            <v>3.58542141230068</v>
          </cell>
          <cell r="O296">
            <v>5397.242295</v>
          </cell>
          <cell r="P296">
            <v>5.3775743707093797</v>
          </cell>
          <cell r="Q296">
            <v>1052.224256</v>
          </cell>
          <cell r="R296">
            <v>4.2311212814645298</v>
          </cell>
          <cell r="S296">
            <v>1030.6327550000001</v>
          </cell>
          <cell r="T296">
            <v>4.2933025404157004</v>
          </cell>
          <cell r="U296">
            <v>532.05338700000004</v>
          </cell>
          <cell r="V296">
            <v>3.6812933025404102</v>
          </cell>
        </row>
        <row r="297">
          <cell r="A297" t="str">
            <v>019602</v>
          </cell>
          <cell r="B297">
            <v>1079.4000000000001</v>
          </cell>
          <cell r="C297">
            <v>1971.9248230000001</v>
          </cell>
          <cell r="D297">
            <v>3.4187956204379502</v>
          </cell>
          <cell r="E297">
            <v>224.696967</v>
          </cell>
          <cell r="F297">
            <v>1.53649635036496</v>
          </cell>
          <cell r="G297">
            <v>766.090507</v>
          </cell>
          <cell r="H297">
            <v>2.6289134438305699</v>
          </cell>
          <cell r="I297">
            <v>385.25968699999999</v>
          </cell>
          <cell r="J297">
            <v>2.0239410681399601</v>
          </cell>
          <cell r="K297">
            <v>1365.085045</v>
          </cell>
          <cell r="L297">
            <v>1.6657407407407401</v>
          </cell>
          <cell r="M297">
            <v>170.69106400000001</v>
          </cell>
          <cell r="N297">
            <v>1.0212962962962899</v>
          </cell>
          <cell r="O297">
            <v>2616.6120839999999</v>
          </cell>
          <cell r="P297">
            <v>1.86672879776328</v>
          </cell>
          <cell r="Q297">
            <v>158.580817</v>
          </cell>
          <cell r="R297">
            <v>0.58713886300093099</v>
          </cell>
          <cell r="S297">
            <v>124.734039</v>
          </cell>
          <cell r="T297">
            <v>0.49529190207156298</v>
          </cell>
          <cell r="U297">
            <v>41.424325000000003</v>
          </cell>
          <cell r="V297">
            <v>0.36346516007532897</v>
          </cell>
        </row>
        <row r="298">
          <cell r="A298" t="str">
            <v>019603</v>
          </cell>
          <cell r="B298">
            <v>597.79999999999995</v>
          </cell>
          <cell r="C298">
            <v>446.39351599999998</v>
          </cell>
          <cell r="D298">
            <v>1.6566666666666601</v>
          </cell>
          <cell r="E298">
            <v>248.56687500000001</v>
          </cell>
          <cell r="F298">
            <v>1.0983333333333301</v>
          </cell>
          <cell r="G298">
            <v>955.380448</v>
          </cell>
          <cell r="H298">
            <v>1.74958263772954</v>
          </cell>
          <cell r="I298">
            <v>141.93709000000001</v>
          </cell>
          <cell r="J298">
            <v>1.18030050083472</v>
          </cell>
          <cell r="K298">
            <v>736.33511299999998</v>
          </cell>
          <cell r="L298">
            <v>2.1919866444073399</v>
          </cell>
          <cell r="M298">
            <v>88.535030000000006</v>
          </cell>
          <cell r="N298">
            <v>0.87312186978297102</v>
          </cell>
          <cell r="O298">
            <v>5827.8778890000003</v>
          </cell>
          <cell r="P298">
            <v>2.2144053601340001</v>
          </cell>
          <cell r="Q298">
            <v>366.06069200000002</v>
          </cell>
          <cell r="R298">
            <v>0.88107202680066998</v>
          </cell>
          <cell r="S298">
            <v>1810.4262900000001</v>
          </cell>
          <cell r="T298">
            <v>1.9983164983164901</v>
          </cell>
          <cell r="U298">
            <v>241.55785599999999</v>
          </cell>
          <cell r="V298">
            <v>1.08922558922558</v>
          </cell>
        </row>
        <row r="299">
          <cell r="A299" t="str">
            <v>019701</v>
          </cell>
          <cell r="B299">
            <v>1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297</v>
          </cell>
          <cell r="T299">
            <v>1</v>
          </cell>
          <cell r="U299">
            <v>297</v>
          </cell>
          <cell r="V299">
            <v>1</v>
          </cell>
        </row>
        <row r="300">
          <cell r="A300" t="str">
            <v>020101</v>
          </cell>
          <cell r="B300">
            <v>890.8</v>
          </cell>
          <cell r="C300">
            <v>1271.447138</v>
          </cell>
          <cell r="D300">
            <v>3.1535038932146802</v>
          </cell>
          <cell r="E300">
            <v>406.32430699999998</v>
          </cell>
          <cell r="F300">
            <v>2.1924360400444902</v>
          </cell>
          <cell r="G300">
            <v>165.36308199999999</v>
          </cell>
          <cell r="H300">
            <v>0.99328859060402597</v>
          </cell>
          <cell r="I300">
            <v>163.11275499999999</v>
          </cell>
          <cell r="J300">
            <v>0.98322147651006697</v>
          </cell>
          <cell r="K300">
            <v>3627.5151559999999</v>
          </cell>
          <cell r="L300">
            <v>5.6196868008948497</v>
          </cell>
          <cell r="M300">
            <v>494.88133800000003</v>
          </cell>
          <cell r="N300">
            <v>2.65324384787472</v>
          </cell>
          <cell r="O300">
            <v>208.84527700000001</v>
          </cell>
          <cell r="P300">
            <v>1.57900677200902</v>
          </cell>
          <cell r="Q300">
            <v>74.855228999999994</v>
          </cell>
          <cell r="R300">
            <v>0.98984198645598098</v>
          </cell>
          <cell r="S300">
            <v>548.28913999999997</v>
          </cell>
          <cell r="T300">
            <v>3.5845629965947698</v>
          </cell>
          <cell r="U300">
            <v>284.99226199999998</v>
          </cell>
          <cell r="V300">
            <v>2.7355278093075999</v>
          </cell>
        </row>
        <row r="301">
          <cell r="A301" t="str">
            <v>020103</v>
          </cell>
          <cell r="B301">
            <v>719.88888799999995</v>
          </cell>
          <cell r="C301">
            <v>17.235004</v>
          </cell>
          <cell r="D301">
            <v>0.11750599520383601</v>
          </cell>
          <cell r="E301">
            <v>10.923947999999999</v>
          </cell>
          <cell r="F301">
            <v>6.4748201438848907E-2</v>
          </cell>
          <cell r="G301">
            <v>376.036539</v>
          </cell>
          <cell r="H301">
            <v>1.9829059829059801</v>
          </cell>
          <cell r="I301">
            <v>376.036539</v>
          </cell>
          <cell r="J301">
            <v>1.9829059829059801</v>
          </cell>
          <cell r="K301">
            <v>956.24036999999998</v>
          </cell>
          <cell r="L301">
            <v>2.8274173806609499</v>
          </cell>
          <cell r="M301">
            <v>369.50677200000001</v>
          </cell>
          <cell r="N301">
            <v>1.39902080783353</v>
          </cell>
          <cell r="O301">
            <v>1296.6650259999999</v>
          </cell>
          <cell r="P301">
            <v>3.6064757160647498</v>
          </cell>
          <cell r="Q301">
            <v>203.63250300000001</v>
          </cell>
          <cell r="R301">
            <v>2.3673723536737201</v>
          </cell>
          <cell r="S301">
            <v>1553.2764179999999</v>
          </cell>
          <cell r="T301">
            <v>5.3442622950819603</v>
          </cell>
          <cell r="U301">
            <v>231.619609</v>
          </cell>
          <cell r="V301">
            <v>3.1752837326607799</v>
          </cell>
        </row>
        <row r="302">
          <cell r="A302" t="str">
            <v>020104</v>
          </cell>
          <cell r="B302">
            <v>142.5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1120.0973799999999</v>
          </cell>
          <cell r="P302">
            <v>10.0285714285714</v>
          </cell>
          <cell r="Q302">
            <v>460.353095</v>
          </cell>
          <cell r="R302">
            <v>4.4928571428571402</v>
          </cell>
          <cell r="S302">
            <v>154.008734</v>
          </cell>
          <cell r="T302">
            <v>2.2344827586206799</v>
          </cell>
          <cell r="U302">
            <v>77.122528000000003</v>
          </cell>
          <cell r="V302">
            <v>2.1310344827586198</v>
          </cell>
        </row>
        <row r="303">
          <cell r="A303" t="str">
            <v>020301</v>
          </cell>
          <cell r="B303">
            <v>1</v>
          </cell>
          <cell r="C303">
            <v>50</v>
          </cell>
          <cell r="D303">
            <v>1</v>
          </cell>
          <cell r="E303">
            <v>50</v>
          </cell>
          <cell r="F303">
            <v>1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</row>
        <row r="304">
          <cell r="A304" t="str">
            <v>020502</v>
          </cell>
          <cell r="B304">
            <v>817.4</v>
          </cell>
          <cell r="C304">
            <v>5.8069899999999999</v>
          </cell>
          <cell r="D304">
            <v>3.0413625304136199E-2</v>
          </cell>
          <cell r="E304">
            <v>3.9898660000000001</v>
          </cell>
          <cell r="F304">
            <v>1.8248175182481698E-2</v>
          </cell>
          <cell r="G304">
            <v>54.908071999999997</v>
          </cell>
          <cell r="H304">
            <v>4.4226044226044203E-2</v>
          </cell>
          <cell r="I304">
            <v>7.3640189999999999</v>
          </cell>
          <cell r="J304">
            <v>1.1056511056511001E-2</v>
          </cell>
          <cell r="K304">
            <v>230.820954</v>
          </cell>
          <cell r="L304">
            <v>1.22682926829268</v>
          </cell>
          <cell r="M304">
            <v>69.663739000000007</v>
          </cell>
          <cell r="N304">
            <v>1.0987804878048699</v>
          </cell>
          <cell r="O304">
            <v>118.750446</v>
          </cell>
          <cell r="P304">
            <v>0.13536585365853601</v>
          </cell>
          <cell r="Q304">
            <v>18.013902000000002</v>
          </cell>
          <cell r="R304">
            <v>8.7804878048780399E-2</v>
          </cell>
          <cell r="S304">
            <v>3.4640970000000002</v>
          </cell>
          <cell r="T304">
            <v>1.35635018495684E-2</v>
          </cell>
          <cell r="U304">
            <v>3.312001</v>
          </cell>
          <cell r="V304">
            <v>1.2330456226880299E-2</v>
          </cell>
        </row>
        <row r="305">
          <cell r="A305" t="str">
            <v>020701</v>
          </cell>
          <cell r="B305">
            <v>1513.4</v>
          </cell>
          <cell r="C305">
            <v>8.2104949999999999</v>
          </cell>
          <cell r="D305">
            <v>3.72836218375499E-2</v>
          </cell>
          <cell r="E305">
            <v>3.5873970000000002</v>
          </cell>
          <cell r="F305">
            <v>2.3968042609853499E-2</v>
          </cell>
          <cell r="G305">
            <v>47.226520000000001</v>
          </cell>
          <cell r="H305">
            <v>0.26058201058201003</v>
          </cell>
          <cell r="I305">
            <v>21.012297</v>
          </cell>
          <cell r="J305">
            <v>0.136243386243386</v>
          </cell>
          <cell r="K305">
            <v>770.60589200000004</v>
          </cell>
          <cell r="L305">
            <v>3.7495042961004601</v>
          </cell>
          <cell r="M305">
            <v>731.92496100000005</v>
          </cell>
          <cell r="N305">
            <v>3.6245869134170499</v>
          </cell>
          <cell r="O305">
            <v>285.96414199999998</v>
          </cell>
          <cell r="P305">
            <v>0.38973008558262001</v>
          </cell>
          <cell r="Q305">
            <v>69.259139000000005</v>
          </cell>
          <cell r="R305">
            <v>0.25674786043449599</v>
          </cell>
          <cell r="S305">
            <v>1051.4590169999999</v>
          </cell>
          <cell r="T305">
            <v>2.9033530571992099</v>
          </cell>
          <cell r="U305">
            <v>880.44776400000001</v>
          </cell>
          <cell r="V305">
            <v>2.5568704799474</v>
          </cell>
        </row>
        <row r="306">
          <cell r="A306" t="str">
            <v>020702</v>
          </cell>
          <cell r="B306">
            <v>1398</v>
          </cell>
          <cell r="C306">
            <v>27.428142000000001</v>
          </cell>
          <cell r="D306">
            <v>0.18073136427566799</v>
          </cell>
          <cell r="E306">
            <v>26.842348000000001</v>
          </cell>
          <cell r="F306">
            <v>0.18002812939521801</v>
          </cell>
          <cell r="G306">
            <v>189.14946699999999</v>
          </cell>
          <cell r="H306">
            <v>0.37437365783822402</v>
          </cell>
          <cell r="I306">
            <v>40.463504999999998</v>
          </cell>
          <cell r="J306">
            <v>0.181102362204724</v>
          </cell>
          <cell r="K306">
            <v>107.96019800000001</v>
          </cell>
          <cell r="L306">
            <v>0.28263988522238098</v>
          </cell>
          <cell r="M306">
            <v>42.352331</v>
          </cell>
          <cell r="N306">
            <v>0.22381635581061601</v>
          </cell>
          <cell r="O306">
            <v>117.12191799999999</v>
          </cell>
          <cell r="P306">
            <v>0.38646288209606899</v>
          </cell>
          <cell r="Q306">
            <v>76.080675999999997</v>
          </cell>
          <cell r="R306">
            <v>0.37045123726346402</v>
          </cell>
          <cell r="S306">
            <v>975.72620500000005</v>
          </cell>
          <cell r="T306">
            <v>2.70919458303635</v>
          </cell>
          <cell r="U306">
            <v>950.21824600000002</v>
          </cell>
          <cell r="V306">
            <v>2.6678545972915102</v>
          </cell>
        </row>
        <row r="307">
          <cell r="A307" t="str">
            <v>020901</v>
          </cell>
          <cell r="B307">
            <v>237.33333300000001</v>
          </cell>
          <cell r="C307">
            <v>36.806598999999999</v>
          </cell>
          <cell r="D307">
            <v>0.141666666666666</v>
          </cell>
          <cell r="E307">
            <v>36.806598999999999</v>
          </cell>
          <cell r="F307">
            <v>0.141666666666666</v>
          </cell>
          <cell r="G307">
            <v>699.58441700000003</v>
          </cell>
          <cell r="H307">
            <v>1.72384937238493</v>
          </cell>
          <cell r="I307">
            <v>450.40813900000001</v>
          </cell>
          <cell r="J307">
            <v>1.0794979079497899</v>
          </cell>
          <cell r="K307">
            <v>1054.5102670000001</v>
          </cell>
          <cell r="L307">
            <v>0.57805907172995696</v>
          </cell>
          <cell r="M307">
            <v>314.379817</v>
          </cell>
          <cell r="N307">
            <v>0.37130801687763698</v>
          </cell>
          <cell r="O307">
            <v>363.38446299999998</v>
          </cell>
          <cell r="P307">
            <v>2.20338983050847</v>
          </cell>
          <cell r="Q307">
            <v>248.06730200000001</v>
          </cell>
          <cell r="R307">
            <v>2.1228813559322002</v>
          </cell>
          <cell r="S307">
            <v>260.975281</v>
          </cell>
          <cell r="T307">
            <v>0.52542372881355903</v>
          </cell>
          <cell r="U307">
            <v>74.633403000000001</v>
          </cell>
          <cell r="V307">
            <v>0.42372881355932202</v>
          </cell>
        </row>
        <row r="308">
          <cell r="A308" t="str">
            <v>020902</v>
          </cell>
          <cell r="B308">
            <v>1470.444444</v>
          </cell>
          <cell r="C308">
            <v>17.929019</v>
          </cell>
          <cell r="D308">
            <v>0.118008185538881</v>
          </cell>
          <cell r="E308">
            <v>17.929019</v>
          </cell>
          <cell r="F308">
            <v>0.118008185538881</v>
          </cell>
          <cell r="G308">
            <v>138.28724700000001</v>
          </cell>
          <cell r="H308">
            <v>0.17518745739604599</v>
          </cell>
          <cell r="I308">
            <v>14.269671000000001</v>
          </cell>
          <cell r="J308">
            <v>8.4526244035446396E-2</v>
          </cell>
          <cell r="K308">
            <v>256.49395800000002</v>
          </cell>
          <cell r="L308">
            <v>0.17305061559507501</v>
          </cell>
          <cell r="M308">
            <v>16.247320999999999</v>
          </cell>
          <cell r="N308">
            <v>8.34473324213406E-2</v>
          </cell>
          <cell r="O308">
            <v>878.75709099999995</v>
          </cell>
          <cell r="P308">
            <v>3.0192175703500301</v>
          </cell>
          <cell r="Q308">
            <v>530.44430299999999</v>
          </cell>
          <cell r="R308">
            <v>2.5017158544955298</v>
          </cell>
          <cell r="S308">
            <v>134.17020400000001</v>
          </cell>
          <cell r="T308">
            <v>0.22229639519359101</v>
          </cell>
          <cell r="U308">
            <v>133.828271</v>
          </cell>
          <cell r="V308">
            <v>0.22162883845126799</v>
          </cell>
        </row>
        <row r="309">
          <cell r="A309" t="str">
            <v>020903</v>
          </cell>
          <cell r="B309">
            <v>1767.444444</v>
          </cell>
          <cell r="C309">
            <v>0.18621099999999999</v>
          </cell>
          <cell r="D309">
            <v>1.1154489682096999E-3</v>
          </cell>
          <cell r="E309">
            <v>0.18621099999999999</v>
          </cell>
          <cell r="F309">
            <v>1.1154489682096999E-3</v>
          </cell>
          <cell r="G309">
            <v>93.825203999999999</v>
          </cell>
          <cell r="H309">
            <v>0.34860335195530701</v>
          </cell>
          <cell r="I309">
            <v>26.620569</v>
          </cell>
          <cell r="J309">
            <v>0.28715083798882601</v>
          </cell>
          <cell r="K309">
            <v>232.718829</v>
          </cell>
          <cell r="L309">
            <v>0.39171796306659201</v>
          </cell>
          <cell r="M309">
            <v>45.370350000000002</v>
          </cell>
          <cell r="N309">
            <v>0.28707330721880198</v>
          </cell>
          <cell r="O309">
            <v>583.18755799999997</v>
          </cell>
          <cell r="P309">
            <v>2.3977464788732301</v>
          </cell>
          <cell r="Q309">
            <v>442.57219700000002</v>
          </cell>
          <cell r="R309">
            <v>2.1538028169014001</v>
          </cell>
          <cell r="S309">
            <v>257.676402</v>
          </cell>
          <cell r="T309">
            <v>0.84926686217008696</v>
          </cell>
          <cell r="U309">
            <v>143.67519999999999</v>
          </cell>
          <cell r="V309">
            <v>0.69736070381231596</v>
          </cell>
        </row>
        <row r="310">
          <cell r="A310" t="str">
            <v>021102</v>
          </cell>
          <cell r="B310">
            <v>1720.6666660000001</v>
          </cell>
          <cell r="C310">
            <v>11.810860999999999</v>
          </cell>
          <cell r="D310">
            <v>3.54239256678281E-2</v>
          </cell>
          <cell r="E310">
            <v>11.810860999999999</v>
          </cell>
          <cell r="F310">
            <v>3.54239256678281E-2</v>
          </cell>
          <cell r="G310">
            <v>395.87436600000001</v>
          </cell>
          <cell r="H310">
            <v>1.1861948955916399</v>
          </cell>
          <cell r="I310">
            <v>380.45357899999999</v>
          </cell>
          <cell r="J310">
            <v>1.17343387470997</v>
          </cell>
          <cell r="K310">
            <v>941.42669000000001</v>
          </cell>
          <cell r="L310">
            <v>1.4959396751740099</v>
          </cell>
          <cell r="M310">
            <v>302.01101999999997</v>
          </cell>
          <cell r="N310">
            <v>0.90661252900232003</v>
          </cell>
          <cell r="O310">
            <v>511.554124</v>
          </cell>
          <cell r="P310">
            <v>1.80592678675188</v>
          </cell>
          <cell r="Q310">
            <v>175.41353799999999</v>
          </cell>
          <cell r="R310">
            <v>1.27890761185357</v>
          </cell>
          <cell r="S310">
            <v>1023.7852</v>
          </cell>
          <cell r="T310">
            <v>2.0852305896088699</v>
          </cell>
          <cell r="U310">
            <v>349.32237700000002</v>
          </cell>
          <cell r="V310">
            <v>1.26094570928196</v>
          </cell>
        </row>
        <row r="311">
          <cell r="A311" t="str">
            <v>021103</v>
          </cell>
          <cell r="B311">
            <v>976.88888799999995</v>
          </cell>
          <cell r="C311">
            <v>43.509453999999998</v>
          </cell>
          <cell r="D311">
            <v>0.14122137404580101</v>
          </cell>
          <cell r="E311">
            <v>43.509453999999998</v>
          </cell>
          <cell r="F311">
            <v>0.14122137404580101</v>
          </cell>
          <cell r="G311">
            <v>323.325761</v>
          </cell>
          <cell r="H311">
            <v>1.27632850241545</v>
          </cell>
          <cell r="I311">
            <v>92.182454000000007</v>
          </cell>
          <cell r="J311">
            <v>1.1565217391304301</v>
          </cell>
          <cell r="K311">
            <v>100.089124</v>
          </cell>
          <cell r="L311">
            <v>0.789575289575289</v>
          </cell>
          <cell r="M311">
            <v>99.808880000000002</v>
          </cell>
          <cell r="N311">
            <v>0.78764478764478696</v>
          </cell>
          <cell r="O311">
            <v>522.99440500000003</v>
          </cell>
          <cell r="P311">
            <v>0.53191489361702105</v>
          </cell>
          <cell r="Q311">
            <v>67.175402000000005</v>
          </cell>
          <cell r="R311">
            <v>0.309477756286266</v>
          </cell>
          <cell r="S311">
            <v>239.29687300000001</v>
          </cell>
          <cell r="T311">
            <v>0.71720116618075802</v>
          </cell>
          <cell r="U311">
            <v>93.722125000000005</v>
          </cell>
          <cell r="V311">
            <v>0.66472303206996997</v>
          </cell>
        </row>
        <row r="312">
          <cell r="A312" t="str">
            <v>021201</v>
          </cell>
          <cell r="B312">
            <v>1312.2</v>
          </cell>
          <cell r="C312">
            <v>1833.25766</v>
          </cell>
          <cell r="D312">
            <v>0.88261851015801296</v>
          </cell>
          <cell r="E312">
            <v>8.2182619999999993</v>
          </cell>
          <cell r="F312">
            <v>5.1166290443942802E-2</v>
          </cell>
          <cell r="G312">
            <v>69.848995000000002</v>
          </cell>
          <cell r="H312">
            <v>0.21872659176029899</v>
          </cell>
          <cell r="I312">
            <v>46.858854999999998</v>
          </cell>
          <cell r="J312">
            <v>0.21048689138576701</v>
          </cell>
          <cell r="K312">
            <v>980.29363899999998</v>
          </cell>
          <cell r="L312">
            <v>1.5487256371814</v>
          </cell>
          <cell r="M312">
            <v>45.556421</v>
          </cell>
          <cell r="N312">
            <v>0.37031484257871</v>
          </cell>
          <cell r="O312">
            <v>365.89860099999999</v>
          </cell>
          <cell r="P312">
            <v>2.2677345537757398</v>
          </cell>
          <cell r="Q312">
            <v>339.01078000000001</v>
          </cell>
          <cell r="R312">
            <v>2.2044241037375998</v>
          </cell>
          <cell r="S312">
            <v>165.419274</v>
          </cell>
          <cell r="T312">
            <v>0.73801916932907297</v>
          </cell>
          <cell r="U312">
            <v>85.247563</v>
          </cell>
          <cell r="V312">
            <v>0.68370607028753905</v>
          </cell>
        </row>
        <row r="313">
          <cell r="A313" t="str">
            <v>021202</v>
          </cell>
          <cell r="B313">
            <v>1547.6666660000001</v>
          </cell>
          <cell r="C313">
            <v>2004.6303640000001</v>
          </cell>
          <cell r="D313">
            <v>2.1951530612244801</v>
          </cell>
          <cell r="E313">
            <v>201.05788000000001</v>
          </cell>
          <cell r="F313">
            <v>1.6664540816326501</v>
          </cell>
          <cell r="G313">
            <v>143.504321</v>
          </cell>
          <cell r="H313">
            <v>1.0292249047013899</v>
          </cell>
          <cell r="I313">
            <v>74.883812000000006</v>
          </cell>
          <cell r="J313">
            <v>0.99301143583227403</v>
          </cell>
          <cell r="K313">
            <v>634.11761799999999</v>
          </cell>
          <cell r="L313">
            <v>1.5298223350253799</v>
          </cell>
          <cell r="M313">
            <v>117.67208100000001</v>
          </cell>
          <cell r="N313">
            <v>0.85215736040609102</v>
          </cell>
          <cell r="O313">
            <v>264.51210300000002</v>
          </cell>
          <cell r="P313">
            <v>1.7825242718446599</v>
          </cell>
          <cell r="Q313">
            <v>264.51210300000002</v>
          </cell>
          <cell r="R313">
            <v>1.7825242718446599</v>
          </cell>
          <cell r="S313">
            <v>139.719413</v>
          </cell>
          <cell r="T313">
            <v>0.229986431478968</v>
          </cell>
          <cell r="U313">
            <v>27.690535000000001</v>
          </cell>
          <cell r="V313">
            <v>0.18995929443690601</v>
          </cell>
        </row>
        <row r="314">
          <cell r="A314" t="str">
            <v>021203</v>
          </cell>
          <cell r="B314">
            <v>1365.2</v>
          </cell>
          <cell r="C314">
            <v>605.30887499999994</v>
          </cell>
          <cell r="D314">
            <v>0.53289473684210498</v>
          </cell>
          <cell r="E314">
            <v>5.7993969999999999</v>
          </cell>
          <cell r="F314">
            <v>6.6520467836257299E-2</v>
          </cell>
          <cell r="G314">
            <v>1163.39849</v>
          </cell>
          <cell r="H314">
            <v>2.0394448502556601</v>
          </cell>
          <cell r="I314">
            <v>345.947653</v>
          </cell>
          <cell r="J314">
            <v>1.3747260774287799</v>
          </cell>
          <cell r="K314">
            <v>81.555656999999997</v>
          </cell>
          <cell r="L314">
            <v>0.323313782991202</v>
          </cell>
          <cell r="M314">
            <v>79.725733000000005</v>
          </cell>
          <cell r="N314">
            <v>0.31378299120234598</v>
          </cell>
          <cell r="O314">
            <v>34.377001999999997</v>
          </cell>
          <cell r="P314">
            <v>0.128560993425858</v>
          </cell>
          <cell r="Q314">
            <v>21.218164000000002</v>
          </cell>
          <cell r="R314">
            <v>0.108838568298027</v>
          </cell>
          <cell r="S314">
            <v>36.938862999999998</v>
          </cell>
          <cell r="T314">
            <v>0.15929203539823</v>
          </cell>
          <cell r="U314">
            <v>17.319541999999998</v>
          </cell>
          <cell r="V314">
            <v>0.1452802359882</v>
          </cell>
        </row>
        <row r="315">
          <cell r="A315" t="str">
            <v>021204</v>
          </cell>
          <cell r="B315">
            <v>1230.5555549999999</v>
          </cell>
          <cell r="C315">
            <v>288.38875899999999</v>
          </cell>
          <cell r="D315">
            <v>0.29620661824051597</v>
          </cell>
          <cell r="E315">
            <v>21.412572000000001</v>
          </cell>
          <cell r="F315">
            <v>6.3761097659402702E-2</v>
          </cell>
          <cell r="G315">
            <v>205.29441700000001</v>
          </cell>
          <cell r="H315">
            <v>2.1219709208400599</v>
          </cell>
          <cell r="I315">
            <v>175.17163199999999</v>
          </cell>
          <cell r="J315">
            <v>2.07835218093699</v>
          </cell>
          <cell r="K315">
            <v>499.07513999999998</v>
          </cell>
          <cell r="L315">
            <v>1.1754244139046</v>
          </cell>
          <cell r="M315">
            <v>493.83869499999997</v>
          </cell>
          <cell r="N315">
            <v>1.1552142279708899</v>
          </cell>
          <cell r="O315">
            <v>117.58228200000001</v>
          </cell>
          <cell r="P315">
            <v>1.17124394184168</v>
          </cell>
          <cell r="Q315">
            <v>113.972926</v>
          </cell>
          <cell r="R315">
            <v>1.13489499192245</v>
          </cell>
          <cell r="S315">
            <v>137.77556200000001</v>
          </cell>
          <cell r="T315">
            <v>1.2502134927412401</v>
          </cell>
          <cell r="U315">
            <v>137.77556200000001</v>
          </cell>
          <cell r="V315">
            <v>1.2502134927412401</v>
          </cell>
        </row>
        <row r="316">
          <cell r="A316" t="str">
            <v>021301</v>
          </cell>
          <cell r="B316">
            <v>544.6</v>
          </cell>
          <cell r="C316">
            <v>2238.0801719999999</v>
          </cell>
          <cell r="D316">
            <v>1.0354767184035401</v>
          </cell>
          <cell r="E316">
            <v>23.944382000000001</v>
          </cell>
          <cell r="F316">
            <v>0.186252771618625</v>
          </cell>
          <cell r="G316">
            <v>218.11501200000001</v>
          </cell>
          <cell r="H316">
            <v>1.66161616161616</v>
          </cell>
          <cell r="I316">
            <v>147.269927</v>
          </cell>
          <cell r="J316">
            <v>1.4865319865319799</v>
          </cell>
          <cell r="K316">
            <v>296.652694</v>
          </cell>
          <cell r="L316">
            <v>0.39999999999999902</v>
          </cell>
          <cell r="M316">
            <v>131.69347200000001</v>
          </cell>
          <cell r="N316">
            <v>0.37333333333333302</v>
          </cell>
          <cell r="O316">
            <v>106.805595</v>
          </cell>
          <cell r="P316">
            <v>1.11433756805807</v>
          </cell>
          <cell r="Q316">
            <v>106.245977</v>
          </cell>
          <cell r="R316">
            <v>1.1125226860254001</v>
          </cell>
          <cell r="S316">
            <v>30.643073000000001</v>
          </cell>
          <cell r="T316">
            <v>0.25047438330170702</v>
          </cell>
          <cell r="U316">
            <v>25.212333000000001</v>
          </cell>
          <cell r="V316">
            <v>0.20493358633775999</v>
          </cell>
        </row>
        <row r="317">
          <cell r="A317" t="str">
            <v>021302</v>
          </cell>
          <cell r="B317">
            <v>1476</v>
          </cell>
          <cell r="C317">
            <v>2403.3893480000002</v>
          </cell>
          <cell r="D317">
            <v>2.63253012048192</v>
          </cell>
          <cell r="E317">
            <v>153.507677</v>
          </cell>
          <cell r="F317">
            <v>1.21419009370816</v>
          </cell>
          <cell r="G317">
            <v>101.876982</v>
          </cell>
          <cell r="H317">
            <v>1.1647612642905101</v>
          </cell>
          <cell r="I317">
            <v>54.994219999999999</v>
          </cell>
          <cell r="J317">
            <v>1.1338264963012701</v>
          </cell>
          <cell r="K317">
            <v>37.629125999999999</v>
          </cell>
          <cell r="L317">
            <v>0.16462585034013599</v>
          </cell>
          <cell r="M317">
            <v>37.629125999999999</v>
          </cell>
          <cell r="N317">
            <v>0.16462585034013599</v>
          </cell>
          <cell r="O317">
            <v>131.78282300000001</v>
          </cell>
          <cell r="P317">
            <v>0.27581521739130399</v>
          </cell>
          <cell r="Q317">
            <v>77.300362000000007</v>
          </cell>
          <cell r="R317">
            <v>0.23709239130434701</v>
          </cell>
          <cell r="S317">
            <v>179.84659400000001</v>
          </cell>
          <cell r="T317">
            <v>2.0900962861072898</v>
          </cell>
          <cell r="U317">
            <v>176.917812</v>
          </cell>
          <cell r="V317">
            <v>2.0880330123796398</v>
          </cell>
        </row>
        <row r="318">
          <cell r="A318" t="str">
            <v>021303</v>
          </cell>
          <cell r="B318">
            <v>1742</v>
          </cell>
          <cell r="C318">
            <v>3133.9481289999999</v>
          </cell>
          <cell r="D318">
            <v>1.6817401259301601</v>
          </cell>
          <cell r="E318">
            <v>59.524887</v>
          </cell>
          <cell r="F318">
            <v>0.56611333714939804</v>
          </cell>
          <cell r="G318">
            <v>765.21267399999999</v>
          </cell>
          <cell r="H318">
            <v>0.59299655568312204</v>
          </cell>
          <cell r="I318">
            <v>18.656167</v>
          </cell>
          <cell r="J318">
            <v>8.3237657864523501E-2</v>
          </cell>
          <cell r="K318">
            <v>338.28829300000001</v>
          </cell>
          <cell r="L318">
            <v>0.87910189982728804</v>
          </cell>
          <cell r="M318">
            <v>174.23807300000001</v>
          </cell>
          <cell r="N318">
            <v>0.78641335636154197</v>
          </cell>
          <cell r="O318">
            <v>59.912297000000002</v>
          </cell>
          <cell r="P318">
            <v>0.23850574712643599</v>
          </cell>
          <cell r="Q318">
            <v>30.336752000000001</v>
          </cell>
          <cell r="R318">
            <v>0.16609195402298799</v>
          </cell>
          <cell r="S318">
            <v>995.25572299999999</v>
          </cell>
          <cell r="T318">
            <v>1.13761467889908</v>
          </cell>
          <cell r="U318">
            <v>13.916962</v>
          </cell>
          <cell r="V318">
            <v>0.134747706422018</v>
          </cell>
        </row>
        <row r="319">
          <cell r="A319" t="str">
            <v>021401</v>
          </cell>
          <cell r="B319">
            <v>110.4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1224.8686600000001</v>
          </cell>
          <cell r="H319">
            <v>1.0181818181818101</v>
          </cell>
          <cell r="I319">
            <v>778.42924200000004</v>
          </cell>
          <cell r="J319">
            <v>0.5</v>
          </cell>
          <cell r="K319">
            <v>358.77252199999998</v>
          </cell>
          <cell r="L319">
            <v>3.2972972972972898</v>
          </cell>
          <cell r="M319">
            <v>358.77252199999998</v>
          </cell>
          <cell r="N319">
            <v>3.2972972972972898</v>
          </cell>
          <cell r="O319">
            <v>203.19626099999999</v>
          </cell>
          <cell r="P319">
            <v>1.0373831775700899</v>
          </cell>
          <cell r="Q319">
            <v>203.19626099999999</v>
          </cell>
          <cell r="R319">
            <v>1.0373831775700899</v>
          </cell>
          <cell r="S319">
            <v>37.072367999999997</v>
          </cell>
          <cell r="T319">
            <v>0.18421052631578899</v>
          </cell>
          <cell r="U319">
            <v>37.072367999999997</v>
          </cell>
          <cell r="V319">
            <v>0.18421052631578899</v>
          </cell>
        </row>
        <row r="320">
          <cell r="A320" t="str">
            <v>021402</v>
          </cell>
          <cell r="B320">
            <v>1281.888888</v>
          </cell>
          <cell r="C320">
            <v>4.4595310000000001</v>
          </cell>
          <cell r="D320">
            <v>5.9052059052059E-2</v>
          </cell>
          <cell r="E320">
            <v>4.4595310000000001</v>
          </cell>
          <cell r="F320">
            <v>5.9052059052059E-2</v>
          </cell>
          <cell r="G320">
            <v>149.924981</v>
          </cell>
          <cell r="H320">
            <v>0.33075734157650599</v>
          </cell>
          <cell r="I320">
            <v>22.280351</v>
          </cell>
          <cell r="J320">
            <v>8.0370942812982904E-2</v>
          </cell>
          <cell r="K320">
            <v>331.98907200000002</v>
          </cell>
          <cell r="L320">
            <v>1.2903474903474901</v>
          </cell>
          <cell r="M320">
            <v>249.497477</v>
          </cell>
          <cell r="N320">
            <v>1.22934362934362</v>
          </cell>
          <cell r="O320">
            <v>34.640991999999997</v>
          </cell>
          <cell r="P320">
            <v>0.151294498381877</v>
          </cell>
          <cell r="Q320">
            <v>25.188983</v>
          </cell>
          <cell r="R320">
            <v>0.14724919093851099</v>
          </cell>
          <cell r="S320">
            <v>82.77655</v>
          </cell>
          <cell r="T320">
            <v>0.85769230769230698</v>
          </cell>
          <cell r="U320">
            <v>21.265756</v>
          </cell>
          <cell r="V320">
            <v>0.16538461538461499</v>
          </cell>
        </row>
        <row r="321">
          <cell r="A321" t="str">
            <v>021403</v>
          </cell>
          <cell r="B321">
            <v>334.625</v>
          </cell>
          <cell r="C321">
            <v>229.724715</v>
          </cell>
          <cell r="D321">
            <v>2.6784741144414101</v>
          </cell>
          <cell r="E321">
            <v>229.724715</v>
          </cell>
          <cell r="F321">
            <v>2.6784741144414101</v>
          </cell>
          <cell r="G321">
            <v>16.504239999999999</v>
          </cell>
          <cell r="H321">
            <v>2.7322404371584601E-2</v>
          </cell>
          <cell r="I321">
            <v>1.871766</v>
          </cell>
          <cell r="J321">
            <v>1.09289617486338E-2</v>
          </cell>
          <cell r="K321">
            <v>152.971777</v>
          </cell>
          <cell r="L321">
            <v>1.4254143646408799</v>
          </cell>
          <cell r="M321">
            <v>152.971777</v>
          </cell>
          <cell r="N321">
            <v>1.4254143646408799</v>
          </cell>
          <cell r="O321">
            <v>82.326228</v>
          </cell>
          <cell r="P321">
            <v>0.63114754098360604</v>
          </cell>
          <cell r="Q321">
            <v>41.355327000000003</v>
          </cell>
          <cell r="R321">
            <v>0.62295081967213095</v>
          </cell>
          <cell r="S321">
            <v>11.201235</v>
          </cell>
          <cell r="T321">
            <v>6.5934065934065894E-2</v>
          </cell>
          <cell r="U321">
            <v>1.500915</v>
          </cell>
          <cell r="V321">
            <v>5.2197802197802103E-2</v>
          </cell>
        </row>
        <row r="322">
          <cell r="A322" t="str">
            <v>021601</v>
          </cell>
          <cell r="B322">
            <v>551.125</v>
          </cell>
          <cell r="C322">
            <v>174.82114899999999</v>
          </cell>
          <cell r="D322">
            <v>0.38240917782026701</v>
          </cell>
          <cell r="E322">
            <v>174.82114899999999</v>
          </cell>
          <cell r="F322">
            <v>0.38240917782026701</v>
          </cell>
          <cell r="G322">
            <v>191.383993</v>
          </cell>
          <cell r="H322">
            <v>1.1101083032490899</v>
          </cell>
          <cell r="I322">
            <v>189.77326099999999</v>
          </cell>
          <cell r="J322">
            <v>1.10830324909747</v>
          </cell>
          <cell r="K322">
            <v>51.995722000000001</v>
          </cell>
          <cell r="L322">
            <v>0.55000000000000004</v>
          </cell>
          <cell r="M322">
            <v>51.995722000000001</v>
          </cell>
          <cell r="N322">
            <v>0.55000000000000004</v>
          </cell>
          <cell r="O322">
            <v>711.37403200000006</v>
          </cell>
          <cell r="P322">
            <v>1.0073664825046</v>
          </cell>
          <cell r="Q322">
            <v>0.42679499999999998</v>
          </cell>
          <cell r="R322">
            <v>5.5248618784530298E-3</v>
          </cell>
          <cell r="S322">
            <v>522.96602499999995</v>
          </cell>
          <cell r="T322">
            <v>1.7197802197802099</v>
          </cell>
          <cell r="U322">
            <v>435.04026199999998</v>
          </cell>
          <cell r="V322">
            <v>1.3479853479853401</v>
          </cell>
        </row>
        <row r="323">
          <cell r="A323" t="str">
            <v>021602</v>
          </cell>
          <cell r="B323">
            <v>953.8</v>
          </cell>
          <cell r="C323">
            <v>52.140453000000001</v>
          </cell>
          <cell r="D323">
            <v>0.13914656771799599</v>
          </cell>
          <cell r="E323">
            <v>47.240943999999999</v>
          </cell>
          <cell r="F323">
            <v>0.13729128014842301</v>
          </cell>
          <cell r="G323">
            <v>218.209653</v>
          </cell>
          <cell r="H323">
            <v>1.2200188857412599</v>
          </cell>
          <cell r="I323">
            <v>217.98841100000001</v>
          </cell>
          <cell r="J323">
            <v>1.2190745986779901</v>
          </cell>
          <cell r="K323">
            <v>498.76951400000002</v>
          </cell>
          <cell r="L323">
            <v>1.7497639282341799</v>
          </cell>
          <cell r="M323">
            <v>403.36499800000001</v>
          </cell>
          <cell r="N323">
            <v>1.7242681775259601</v>
          </cell>
          <cell r="O323">
            <v>354.90973000000002</v>
          </cell>
          <cell r="P323">
            <v>1.5241706161137401</v>
          </cell>
          <cell r="Q323">
            <v>149.16609700000001</v>
          </cell>
          <cell r="R323">
            <v>1.04549763033175</v>
          </cell>
          <cell r="S323">
            <v>450.30138699999998</v>
          </cell>
          <cell r="T323">
            <v>1.3869441816461601</v>
          </cell>
          <cell r="U323">
            <v>446.26425399999999</v>
          </cell>
          <cell r="V323">
            <v>1.3718070009460701</v>
          </cell>
        </row>
        <row r="324">
          <cell r="A324" t="str">
            <v>021603</v>
          </cell>
          <cell r="B324">
            <v>1157.5</v>
          </cell>
          <cell r="C324">
            <v>50.175452999999997</v>
          </cell>
          <cell r="D324">
            <v>0.17593360995850599</v>
          </cell>
          <cell r="E324">
            <v>50.175452999999997</v>
          </cell>
          <cell r="F324">
            <v>0.17593360995850599</v>
          </cell>
          <cell r="G324">
            <v>166.13073499999999</v>
          </cell>
          <cell r="H324">
            <v>1.6333052985702201</v>
          </cell>
          <cell r="I324">
            <v>166.13073499999999</v>
          </cell>
          <cell r="J324">
            <v>1.6333052985702201</v>
          </cell>
          <cell r="K324">
            <v>154.920705</v>
          </cell>
          <cell r="L324">
            <v>1.7047781569965801</v>
          </cell>
          <cell r="M324">
            <v>154.920705</v>
          </cell>
          <cell r="N324">
            <v>1.7047781569965801</v>
          </cell>
          <cell r="O324">
            <v>82.293229999999994</v>
          </cell>
          <cell r="P324">
            <v>0.54449339207048397</v>
          </cell>
          <cell r="Q324">
            <v>82.293229999999994</v>
          </cell>
          <cell r="R324">
            <v>0.54449339207048397</v>
          </cell>
          <cell r="S324">
            <v>423.67946999999998</v>
          </cell>
          <cell r="T324">
            <v>1.0730837789661301</v>
          </cell>
          <cell r="U324">
            <v>399.76586400000002</v>
          </cell>
          <cell r="V324">
            <v>1.0454545454545401</v>
          </cell>
        </row>
        <row r="325">
          <cell r="A325" t="str">
            <v>021701</v>
          </cell>
          <cell r="B325">
            <v>1529.4</v>
          </cell>
          <cell r="C325">
            <v>561.16378099999997</v>
          </cell>
          <cell r="D325">
            <v>2.8235294117646998</v>
          </cell>
          <cell r="E325">
            <v>557.47406999999998</v>
          </cell>
          <cell r="F325">
            <v>2.8039215686274499</v>
          </cell>
          <cell r="G325">
            <v>94.548249999999996</v>
          </cell>
          <cell r="H325">
            <v>1.1344647519582201</v>
          </cell>
          <cell r="I325">
            <v>81.688740999999993</v>
          </cell>
          <cell r="J325">
            <v>1.10574412532637</v>
          </cell>
          <cell r="K325">
            <v>97.265860000000004</v>
          </cell>
          <cell r="L325">
            <v>0.361201828870019</v>
          </cell>
          <cell r="M325">
            <v>26.126180999999999</v>
          </cell>
          <cell r="N325">
            <v>0.28674069235793498</v>
          </cell>
          <cell r="O325">
            <v>212.48726099999999</v>
          </cell>
          <cell r="P325">
            <v>0.99148657498362802</v>
          </cell>
          <cell r="Q325">
            <v>134.409637</v>
          </cell>
          <cell r="R325">
            <v>0.93778650949574305</v>
          </cell>
          <cell r="S325">
            <v>622.30063199999995</v>
          </cell>
          <cell r="T325">
            <v>2.6869679109364699</v>
          </cell>
          <cell r="U325">
            <v>431.08483899999999</v>
          </cell>
          <cell r="V325">
            <v>2.3077930582842101</v>
          </cell>
        </row>
        <row r="326">
          <cell r="A326" t="str">
            <v>021702</v>
          </cell>
          <cell r="B326">
            <v>1333.1111109999999</v>
          </cell>
          <cell r="C326">
            <v>426.50164699999999</v>
          </cell>
          <cell r="D326">
            <v>1.15918958031837</v>
          </cell>
          <cell r="E326">
            <v>426.50164699999999</v>
          </cell>
          <cell r="F326">
            <v>1.15918958031837</v>
          </cell>
          <cell r="G326">
            <v>453.71710400000001</v>
          </cell>
          <cell r="H326">
            <v>0.26729106628242</v>
          </cell>
          <cell r="I326">
            <v>10.280080999999999</v>
          </cell>
          <cell r="J326">
            <v>6.8443804034582098E-2</v>
          </cell>
          <cell r="K326">
            <v>1421.9775990000001</v>
          </cell>
          <cell r="L326">
            <v>1.3635652853792</v>
          </cell>
          <cell r="M326">
            <v>78.896247000000002</v>
          </cell>
          <cell r="N326">
            <v>0.276778733385457</v>
          </cell>
          <cell r="O326">
            <v>63.535656000000003</v>
          </cell>
          <cell r="P326">
            <v>0.209448818897637</v>
          </cell>
          <cell r="Q326">
            <v>19.336929000000001</v>
          </cell>
          <cell r="R326">
            <v>0.109448818897637</v>
          </cell>
          <cell r="S326">
            <v>64.763542000000001</v>
          </cell>
          <cell r="T326">
            <v>1.1976659372720599</v>
          </cell>
          <cell r="U326">
            <v>64.568404999999998</v>
          </cell>
          <cell r="V326">
            <v>1.1969365426695799</v>
          </cell>
        </row>
        <row r="327">
          <cell r="A327" t="str">
            <v>021703</v>
          </cell>
          <cell r="B327">
            <v>1738.5</v>
          </cell>
          <cell r="C327">
            <v>582.00845500000003</v>
          </cell>
          <cell r="D327">
            <v>1.22025171624713</v>
          </cell>
          <cell r="E327">
            <v>581.93659500000001</v>
          </cell>
          <cell r="F327">
            <v>1.21967963386727</v>
          </cell>
          <cell r="G327">
            <v>56.825391000000003</v>
          </cell>
          <cell r="H327">
            <v>0.228620296465222</v>
          </cell>
          <cell r="I327">
            <v>56.825391000000003</v>
          </cell>
          <cell r="J327">
            <v>0.228620296465222</v>
          </cell>
          <cell r="K327">
            <v>117.520481</v>
          </cell>
          <cell r="L327">
            <v>0.46697038724373502</v>
          </cell>
          <cell r="M327">
            <v>40.814197999999998</v>
          </cell>
          <cell r="N327">
            <v>0.30751708428246</v>
          </cell>
          <cell r="O327">
            <v>23.852854000000001</v>
          </cell>
          <cell r="P327">
            <v>0.18968692449355401</v>
          </cell>
          <cell r="Q327">
            <v>18.135992999999999</v>
          </cell>
          <cell r="R327">
            <v>0.16635972989564099</v>
          </cell>
          <cell r="S327">
            <v>129.01049599999999</v>
          </cell>
          <cell r="T327">
            <v>1.1329449152542299</v>
          </cell>
          <cell r="U327">
            <v>129.01049599999999</v>
          </cell>
          <cell r="V327">
            <v>1.1329449152542299</v>
          </cell>
        </row>
        <row r="328">
          <cell r="A328" t="str">
            <v>021801</v>
          </cell>
          <cell r="B328">
            <v>1724.333333</v>
          </cell>
          <cell r="C328">
            <v>2412.7387629999998</v>
          </cell>
          <cell r="D328">
            <v>2.2977272727272702</v>
          </cell>
          <cell r="E328">
            <v>151.44729899999999</v>
          </cell>
          <cell r="F328">
            <v>0.66363636363636302</v>
          </cell>
          <cell r="G328">
            <v>1067.556801</v>
          </cell>
          <cell r="H328">
            <v>3.2128628343767698</v>
          </cell>
          <cell r="I328">
            <v>338.80249800000001</v>
          </cell>
          <cell r="J328">
            <v>2.0535002845759802</v>
          </cell>
          <cell r="K328">
            <v>215.11542600000001</v>
          </cell>
          <cell r="L328">
            <v>2.2799545712663201</v>
          </cell>
          <cell r="M328">
            <v>215.11542600000001</v>
          </cell>
          <cell r="N328">
            <v>2.2799545712663201</v>
          </cell>
          <cell r="O328">
            <v>26.674778</v>
          </cell>
          <cell r="P328">
            <v>0.24728588661037301</v>
          </cell>
          <cell r="Q328">
            <v>22.19425</v>
          </cell>
          <cell r="R328">
            <v>0.236429433051869</v>
          </cell>
          <cell r="S328">
            <v>190.74460999999999</v>
          </cell>
          <cell r="T328">
            <v>0.943075117370892</v>
          </cell>
          <cell r="U328">
            <v>166.57574299999999</v>
          </cell>
          <cell r="V328">
            <v>0.91549295774647799</v>
          </cell>
        </row>
        <row r="329">
          <cell r="A329" t="str">
            <v>021802</v>
          </cell>
          <cell r="B329">
            <v>1047.777777</v>
          </cell>
          <cell r="C329">
            <v>4239.9885709999999</v>
          </cell>
          <cell r="D329">
            <v>1.7857819905213199</v>
          </cell>
          <cell r="E329">
            <v>35.529088000000002</v>
          </cell>
          <cell r="F329">
            <v>0.2521327014218</v>
          </cell>
          <cell r="G329">
            <v>556.83951100000002</v>
          </cell>
          <cell r="H329">
            <v>1.6567877629062999</v>
          </cell>
          <cell r="I329">
            <v>311.08894199999997</v>
          </cell>
          <cell r="J329">
            <v>1.56596558317399</v>
          </cell>
          <cell r="K329">
            <v>39.492981999999998</v>
          </cell>
          <cell r="L329">
            <v>0.22488038277511899</v>
          </cell>
          <cell r="M329">
            <v>28.092424000000001</v>
          </cell>
          <cell r="N329">
            <v>0.21722488038277499</v>
          </cell>
          <cell r="O329">
            <v>536.57304399999998</v>
          </cell>
          <cell r="P329">
            <v>6.5270655270655196</v>
          </cell>
          <cell r="Q329">
            <v>498.06777399999999</v>
          </cell>
          <cell r="R329">
            <v>6.4283000949667599</v>
          </cell>
          <cell r="S329">
            <v>441.24253800000002</v>
          </cell>
          <cell r="T329">
            <v>3.0116279069767402</v>
          </cell>
          <cell r="U329">
            <v>441.24253800000002</v>
          </cell>
          <cell r="V329">
            <v>3.0116279069767402</v>
          </cell>
        </row>
        <row r="330">
          <cell r="A330" t="str">
            <v>021901</v>
          </cell>
          <cell r="B330">
            <v>1263.4000000000001</v>
          </cell>
          <cell r="C330">
            <v>1645.2160590000001</v>
          </cell>
          <cell r="D330">
            <v>0.875786163522012</v>
          </cell>
          <cell r="E330">
            <v>16.118559000000001</v>
          </cell>
          <cell r="F330">
            <v>0.13207547169811301</v>
          </cell>
          <cell r="G330">
            <v>1186.7202030000001</v>
          </cell>
          <cell r="H330">
            <v>1.0141509433962199</v>
          </cell>
          <cell r="I330">
            <v>6.0160159999999996</v>
          </cell>
          <cell r="J330">
            <v>1.6509433962264099E-2</v>
          </cell>
          <cell r="K330">
            <v>107.53752900000001</v>
          </cell>
          <cell r="L330">
            <v>0.37136113296616802</v>
          </cell>
          <cell r="M330">
            <v>102.729727</v>
          </cell>
          <cell r="N330">
            <v>0.363493312352478</v>
          </cell>
          <cell r="O330">
            <v>3104.5769740000001</v>
          </cell>
          <cell r="P330">
            <v>1.04788961038961</v>
          </cell>
          <cell r="Q330">
            <v>8.8472259999999991</v>
          </cell>
          <cell r="R330">
            <v>8.4415584415584402E-2</v>
          </cell>
          <cell r="S330">
            <v>112.739841</v>
          </cell>
          <cell r="T330">
            <v>0.68661417322834595</v>
          </cell>
          <cell r="U330">
            <v>112.482952</v>
          </cell>
          <cell r="V330">
            <v>0.685826771653543</v>
          </cell>
        </row>
        <row r="331">
          <cell r="A331" t="str">
            <v>021902</v>
          </cell>
          <cell r="B331">
            <v>1768</v>
          </cell>
          <cell r="C331">
            <v>1261.8979790000001</v>
          </cell>
          <cell r="D331">
            <v>0.631161473087818</v>
          </cell>
          <cell r="E331">
            <v>38.127940000000002</v>
          </cell>
          <cell r="F331">
            <v>0.15977337110481499</v>
          </cell>
          <cell r="G331">
            <v>1574.5215479999999</v>
          </cell>
          <cell r="H331">
            <v>1.1540632054176001</v>
          </cell>
          <cell r="I331">
            <v>35.765014999999998</v>
          </cell>
          <cell r="J331">
            <v>0.149548532731376</v>
          </cell>
          <cell r="K331">
            <v>36.868661000000003</v>
          </cell>
          <cell r="L331">
            <v>0.32919254658385</v>
          </cell>
          <cell r="M331">
            <v>34.599463</v>
          </cell>
          <cell r="N331">
            <v>0.320722755505364</v>
          </cell>
          <cell r="O331">
            <v>293.26478700000001</v>
          </cell>
          <cell r="P331">
            <v>1.04532577903682</v>
          </cell>
          <cell r="Q331">
            <v>104.24755399999999</v>
          </cell>
          <cell r="R331">
            <v>0.96940509915014095</v>
          </cell>
          <cell r="S331">
            <v>24.289114000000001</v>
          </cell>
          <cell r="T331">
            <v>0.24957555178268201</v>
          </cell>
          <cell r="U331">
            <v>22.032464999999998</v>
          </cell>
          <cell r="V331">
            <v>0.23712507074136899</v>
          </cell>
        </row>
        <row r="332">
          <cell r="A332" t="str">
            <v>021903</v>
          </cell>
          <cell r="B332">
            <v>976.44444399999998</v>
          </cell>
          <cell r="C332">
            <v>2461.1906140000001</v>
          </cell>
          <cell r="D332">
            <v>0.81746810598626096</v>
          </cell>
          <cell r="E332">
            <v>7.9678839999999997</v>
          </cell>
          <cell r="F332">
            <v>8.2433758586849801E-2</v>
          </cell>
          <cell r="G332">
            <v>3362.6017959999999</v>
          </cell>
          <cell r="H332">
            <v>2.3977844914400799</v>
          </cell>
          <cell r="I332">
            <v>552.95394199999998</v>
          </cell>
          <cell r="J332">
            <v>1.2517623363544801</v>
          </cell>
          <cell r="K332">
            <v>25.806744999999999</v>
          </cell>
          <cell r="L332">
            <v>0.20389344262295001</v>
          </cell>
          <cell r="M332">
            <v>25.806744999999999</v>
          </cell>
          <cell r="N332">
            <v>0.20389344262295001</v>
          </cell>
          <cell r="O332">
            <v>1952.2957369999999</v>
          </cell>
          <cell r="P332">
            <v>1.5278688524590101</v>
          </cell>
          <cell r="Q332">
            <v>186.20152999999999</v>
          </cell>
          <cell r="R332">
            <v>0.71803278688524497</v>
          </cell>
          <cell r="S332">
            <v>183.45316600000001</v>
          </cell>
          <cell r="T332">
            <v>0.50153217568947905</v>
          </cell>
          <cell r="U332">
            <v>74.126233999999997</v>
          </cell>
          <cell r="V332">
            <v>0.39223697650663902</v>
          </cell>
        </row>
        <row r="333">
          <cell r="A333" t="str">
            <v>022001</v>
          </cell>
          <cell r="B333">
            <v>528.6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210.142179</v>
          </cell>
          <cell r="L333">
            <v>1.31849315068493</v>
          </cell>
          <cell r="M333">
            <v>7.7121279999999999</v>
          </cell>
          <cell r="N333">
            <v>4.4520547945205401E-2</v>
          </cell>
          <cell r="O333">
            <v>164.77941200000001</v>
          </cell>
          <cell r="P333">
            <v>1.53299492385786</v>
          </cell>
          <cell r="Q333">
            <v>159.50121200000001</v>
          </cell>
          <cell r="R333">
            <v>1.49915397631133</v>
          </cell>
          <cell r="S333">
            <v>67.401194000000004</v>
          </cell>
          <cell r="T333">
            <v>1.4573378839590401</v>
          </cell>
          <cell r="U333">
            <v>67.401194000000004</v>
          </cell>
          <cell r="V333">
            <v>1.4573378839590401</v>
          </cell>
        </row>
        <row r="334">
          <cell r="A334" t="str">
            <v>022003</v>
          </cell>
          <cell r="B334">
            <v>404.2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1667.397412</v>
          </cell>
          <cell r="L334">
            <v>2.2150776053215</v>
          </cell>
          <cell r="M334">
            <v>44.387065</v>
          </cell>
          <cell r="N334">
            <v>0.18847006651884701</v>
          </cell>
          <cell r="O334">
            <v>207.82744299999999</v>
          </cell>
          <cell r="P334">
            <v>0.66666666666666596</v>
          </cell>
          <cell r="Q334">
            <v>188.996666</v>
          </cell>
          <cell r="R334">
            <v>0.62888888888888805</v>
          </cell>
          <cell r="S334">
            <v>35.392997999999999</v>
          </cell>
          <cell r="T334">
            <v>0.26940639269406302</v>
          </cell>
          <cell r="U334">
            <v>35.392997999999999</v>
          </cell>
          <cell r="V334">
            <v>0.26940639269406302</v>
          </cell>
        </row>
        <row r="335">
          <cell r="A335" t="str">
            <v>022201</v>
          </cell>
          <cell r="B335">
            <v>1225.8</v>
          </cell>
          <cell r="C335">
            <v>2640.3778889999999</v>
          </cell>
          <cell r="D335">
            <v>3.5122189638318599</v>
          </cell>
          <cell r="E335">
            <v>626.971767</v>
          </cell>
          <cell r="F335">
            <v>1.8318670576735001</v>
          </cell>
          <cell r="G335">
            <v>463.381485</v>
          </cell>
          <cell r="H335">
            <v>1.4646464646464601</v>
          </cell>
          <cell r="I335">
            <v>272.59993800000001</v>
          </cell>
          <cell r="J335">
            <v>1.2634032634032599</v>
          </cell>
          <cell r="K335">
            <v>2251.0933839999998</v>
          </cell>
          <cell r="L335">
            <v>2.9375</v>
          </cell>
          <cell r="M335">
            <v>208.00726499999999</v>
          </cell>
          <cell r="N335">
            <v>1.59453125</v>
          </cell>
          <cell r="O335">
            <v>2516.7631590000001</v>
          </cell>
          <cell r="P335">
            <v>2.7391646966115002</v>
          </cell>
          <cell r="Q335">
            <v>231.596059</v>
          </cell>
          <cell r="R335">
            <v>1.2127659574467999</v>
          </cell>
          <cell r="S335">
            <v>2772.2099199999998</v>
          </cell>
          <cell r="T335">
            <v>2.25354330708661</v>
          </cell>
          <cell r="U335">
            <v>131.81770299999999</v>
          </cell>
          <cell r="V335">
            <v>1.43307086614173</v>
          </cell>
        </row>
        <row r="336">
          <cell r="A336" t="str">
            <v>022202</v>
          </cell>
          <cell r="B336">
            <v>1401.2</v>
          </cell>
          <cell r="C336">
            <v>3232.8302440000002</v>
          </cell>
          <cell r="D336">
            <v>5.8702290076335801</v>
          </cell>
          <cell r="E336">
            <v>867.400711</v>
          </cell>
          <cell r="F336">
            <v>4.0312977099236598</v>
          </cell>
          <cell r="G336">
            <v>1090.0255589999999</v>
          </cell>
          <cell r="H336">
            <v>2.4999999999999898</v>
          </cell>
          <cell r="I336">
            <v>421.52526</v>
          </cell>
          <cell r="J336">
            <v>1.45908460471567</v>
          </cell>
          <cell r="K336">
            <v>1924.075912</v>
          </cell>
          <cell r="L336">
            <v>2.54780181437543</v>
          </cell>
          <cell r="M336">
            <v>156.420411</v>
          </cell>
          <cell r="N336">
            <v>1.3963712491277001</v>
          </cell>
          <cell r="O336">
            <v>1084.8801169999999</v>
          </cell>
          <cell r="P336">
            <v>4.2501766784452197</v>
          </cell>
          <cell r="Q336">
            <v>624.50743199999999</v>
          </cell>
          <cell r="R336">
            <v>3.8360424028268501</v>
          </cell>
          <cell r="S336">
            <v>6503.4521450000002</v>
          </cell>
          <cell r="T336">
            <v>3.8093883357041198</v>
          </cell>
          <cell r="U336">
            <v>321.09493800000001</v>
          </cell>
          <cell r="V336">
            <v>1.5832147937411001</v>
          </cell>
        </row>
        <row r="337">
          <cell r="A337" t="str">
            <v>022301</v>
          </cell>
          <cell r="B337">
            <v>701.4</v>
          </cell>
          <cell r="C337">
            <v>204.05713600000001</v>
          </cell>
          <cell r="D337">
            <v>0.56223175965665195</v>
          </cell>
          <cell r="E337">
            <v>24.374793</v>
          </cell>
          <cell r="F337">
            <v>0.128755364806866</v>
          </cell>
          <cell r="G337">
            <v>824.95998499999996</v>
          </cell>
          <cell r="H337">
            <v>1.9786931818181801</v>
          </cell>
          <cell r="I337">
            <v>213.28245100000001</v>
          </cell>
          <cell r="J337">
            <v>1.36789772727272</v>
          </cell>
          <cell r="K337">
            <v>1028.2844210000001</v>
          </cell>
          <cell r="L337">
            <v>1.60227272727272</v>
          </cell>
          <cell r="M337">
            <v>76.476963999999995</v>
          </cell>
          <cell r="N337">
            <v>0.5</v>
          </cell>
          <cell r="O337">
            <v>367.95208300000002</v>
          </cell>
          <cell r="P337">
            <v>1.9090909090909001</v>
          </cell>
          <cell r="Q337">
            <v>312.273887</v>
          </cell>
          <cell r="R337">
            <v>1.86789772727272</v>
          </cell>
          <cell r="S337">
            <v>357.82768099999998</v>
          </cell>
          <cell r="T337">
            <v>0.69971264367816</v>
          </cell>
          <cell r="U337">
            <v>97.890589000000006</v>
          </cell>
          <cell r="V337">
            <v>0.59770114942528696</v>
          </cell>
        </row>
        <row r="338">
          <cell r="A338" t="str">
            <v>022302</v>
          </cell>
          <cell r="B338">
            <v>887.6</v>
          </cell>
          <cell r="C338">
            <v>145.122049</v>
          </cell>
          <cell r="D338">
            <v>0.64624999999999999</v>
          </cell>
          <cell r="E338">
            <v>116.650009</v>
          </cell>
          <cell r="F338">
            <v>0.62375000000000003</v>
          </cell>
          <cell r="G338">
            <v>703.39512999999999</v>
          </cell>
          <cell r="H338">
            <v>1.7189460476787899</v>
          </cell>
          <cell r="I338">
            <v>155.384423</v>
          </cell>
          <cell r="J338">
            <v>1.0075282308657401</v>
          </cell>
          <cell r="K338">
            <v>3483.0404090000002</v>
          </cell>
          <cell r="L338">
            <v>3.0494296577946698</v>
          </cell>
          <cell r="M338">
            <v>230.81320199999999</v>
          </cell>
          <cell r="N338">
            <v>1.0861850443599399</v>
          </cell>
          <cell r="O338">
            <v>473.68479000000002</v>
          </cell>
          <cell r="P338">
            <v>0.98863636363636298</v>
          </cell>
          <cell r="Q338">
            <v>210.90789699999999</v>
          </cell>
          <cell r="R338">
            <v>0.65113636363636296</v>
          </cell>
          <cell r="S338">
            <v>1224.2306020000001</v>
          </cell>
          <cell r="T338">
            <v>1.83105802047781</v>
          </cell>
          <cell r="U338">
            <v>240.325526</v>
          </cell>
          <cell r="V338">
            <v>1.0529010238907801</v>
          </cell>
        </row>
        <row r="339">
          <cell r="A339" t="str">
            <v>022303</v>
          </cell>
          <cell r="B339">
            <v>329.5</v>
          </cell>
          <cell r="C339">
            <v>1391.57547</v>
          </cell>
          <cell r="D339">
            <v>2.9560975609755999</v>
          </cell>
          <cell r="E339">
            <v>325.95590299999998</v>
          </cell>
          <cell r="F339">
            <v>2.0926829268292599</v>
          </cell>
          <cell r="G339">
            <v>557.12840400000005</v>
          </cell>
          <cell r="H339">
            <v>1.0987654320987601</v>
          </cell>
          <cell r="I339">
            <v>150.75856400000001</v>
          </cell>
          <cell r="J339">
            <v>0.85432098765431996</v>
          </cell>
          <cell r="K339">
            <v>2500.76613</v>
          </cell>
          <cell r="L339">
            <v>2.1456790123456702</v>
          </cell>
          <cell r="M339">
            <v>169.83320900000001</v>
          </cell>
          <cell r="N339">
            <v>0.72592592592592498</v>
          </cell>
          <cell r="O339">
            <v>1669.598624</v>
          </cell>
          <cell r="P339">
            <v>4.0660066006600601</v>
          </cell>
          <cell r="Q339">
            <v>232.50703999999999</v>
          </cell>
          <cell r="R339">
            <v>1.6864686468646799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</row>
        <row r="340">
          <cell r="A340" t="str">
            <v>022401</v>
          </cell>
          <cell r="B340">
            <v>1013.4</v>
          </cell>
          <cell r="C340">
            <v>285.83162299999998</v>
          </cell>
          <cell r="D340">
            <v>1.4156862745098</v>
          </cell>
          <cell r="E340">
            <v>264.54677900000002</v>
          </cell>
          <cell r="F340">
            <v>1.40980392156862</v>
          </cell>
          <cell r="G340">
            <v>165.07051100000001</v>
          </cell>
          <cell r="H340">
            <v>0.47693817468105898</v>
          </cell>
          <cell r="I340">
            <v>55.249465000000001</v>
          </cell>
          <cell r="J340">
            <v>9.7154072620215803E-2</v>
          </cell>
          <cell r="K340">
            <v>85.151269999999997</v>
          </cell>
          <cell r="L340">
            <v>0.118279569892473</v>
          </cell>
          <cell r="M340">
            <v>30.667757999999999</v>
          </cell>
          <cell r="N340">
            <v>9.4819159335288297E-2</v>
          </cell>
          <cell r="O340">
            <v>34.187896000000002</v>
          </cell>
          <cell r="P340">
            <v>0.19146825396825301</v>
          </cell>
          <cell r="Q340">
            <v>25.495767000000001</v>
          </cell>
          <cell r="R340">
            <v>0.182539682539682</v>
          </cell>
          <cell r="S340">
            <v>393.59287799999998</v>
          </cell>
          <cell r="T340">
            <v>1.4353059177532499</v>
          </cell>
          <cell r="U340">
            <v>354.10310900000002</v>
          </cell>
          <cell r="V340">
            <v>1.4132397191574699</v>
          </cell>
        </row>
        <row r="341">
          <cell r="A341" t="str">
            <v>022402</v>
          </cell>
          <cell r="B341">
            <v>377</v>
          </cell>
          <cell r="C341">
            <v>31.017637000000001</v>
          </cell>
          <cell r="D341">
            <v>0.113207547169811</v>
          </cell>
          <cell r="E341">
            <v>31.017637000000001</v>
          </cell>
          <cell r="F341">
            <v>0.113207547169811</v>
          </cell>
          <cell r="G341">
            <v>3.0085480000000002</v>
          </cell>
          <cell r="H341">
            <v>1.5873015873015799E-2</v>
          </cell>
          <cell r="I341">
            <v>3.0085480000000002</v>
          </cell>
          <cell r="J341">
            <v>1.5873015873015799E-2</v>
          </cell>
          <cell r="K341">
            <v>83.842303000000001</v>
          </cell>
          <cell r="L341">
            <v>0.124010554089709</v>
          </cell>
          <cell r="M341">
            <v>27.954705000000001</v>
          </cell>
          <cell r="N341">
            <v>0.105540897097625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16.440476</v>
          </cell>
          <cell r="T341">
            <v>4.7619047619047603E-2</v>
          </cell>
          <cell r="U341">
            <v>16.440476</v>
          </cell>
          <cell r="V341">
            <v>4.7619047619047603E-2</v>
          </cell>
        </row>
        <row r="342">
          <cell r="A342" t="str">
            <v>022403</v>
          </cell>
          <cell r="B342">
            <v>211</v>
          </cell>
          <cell r="C342">
            <v>12.015675</v>
          </cell>
          <cell r="D342">
            <v>5.7416267942583699E-2</v>
          </cell>
          <cell r="E342">
            <v>12.015675</v>
          </cell>
          <cell r="F342">
            <v>5.7416267942583699E-2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1.2290270000000001</v>
          </cell>
          <cell r="L342">
            <v>1.9138755980861202E-2</v>
          </cell>
          <cell r="M342">
            <v>1.2290270000000001</v>
          </cell>
          <cell r="N342">
            <v>1.9138755980861202E-2</v>
          </cell>
          <cell r="O342">
            <v>1.6713610000000001</v>
          </cell>
          <cell r="P342">
            <v>2.3474178403755801E-2</v>
          </cell>
          <cell r="Q342">
            <v>1.6713610000000001</v>
          </cell>
          <cell r="R342">
            <v>2.3474178403755801E-2</v>
          </cell>
          <cell r="S342">
            <v>81.658450000000002</v>
          </cell>
          <cell r="T342">
            <v>8.9201877934272297E-2</v>
          </cell>
          <cell r="U342">
            <v>81.658450000000002</v>
          </cell>
          <cell r="V342">
            <v>8.9201877934272297E-2</v>
          </cell>
        </row>
        <row r="343">
          <cell r="A343" t="str">
            <v>022404</v>
          </cell>
          <cell r="B343">
            <v>1280.625</v>
          </cell>
          <cell r="C343">
            <v>173.80101099999999</v>
          </cell>
          <cell r="D343">
            <v>0.60450660450660398</v>
          </cell>
          <cell r="E343">
            <v>117.461246</v>
          </cell>
          <cell r="F343">
            <v>0.58663558663558601</v>
          </cell>
          <cell r="G343">
            <v>810.26452200000006</v>
          </cell>
          <cell r="H343">
            <v>1.1299921691464301</v>
          </cell>
          <cell r="I343">
            <v>18.94924</v>
          </cell>
          <cell r="J343">
            <v>0.21299921691464299</v>
          </cell>
          <cell r="K343">
            <v>16.054556999999999</v>
          </cell>
          <cell r="L343">
            <v>4.2925278219395797E-2</v>
          </cell>
          <cell r="M343">
            <v>16.054556999999999</v>
          </cell>
          <cell r="N343">
            <v>4.2925278219395797E-2</v>
          </cell>
          <cell r="O343">
            <v>120.813903</v>
          </cell>
          <cell r="P343">
            <v>1.2114639814097501</v>
          </cell>
          <cell r="Q343">
            <v>120.813903</v>
          </cell>
          <cell r="R343">
            <v>1.2114639814097501</v>
          </cell>
          <cell r="S343">
            <v>57.666288999999999</v>
          </cell>
          <cell r="T343">
            <v>0.25155763239875301</v>
          </cell>
          <cell r="U343">
            <v>55.873882999999999</v>
          </cell>
          <cell r="V343">
            <v>0.25077881619937598</v>
          </cell>
        </row>
        <row r="344">
          <cell r="A344" t="str">
            <v>022405</v>
          </cell>
          <cell r="B344">
            <v>935</v>
          </cell>
          <cell r="C344">
            <v>116.69174700000001</v>
          </cell>
          <cell r="D344">
            <v>0.1545842217484</v>
          </cell>
          <cell r="E344">
            <v>81.798589000000007</v>
          </cell>
          <cell r="F344">
            <v>0.113006396588486</v>
          </cell>
          <cell r="G344">
            <v>169.10172</v>
          </cell>
          <cell r="H344">
            <v>1.2387580299785801</v>
          </cell>
          <cell r="I344">
            <v>85.902102999999997</v>
          </cell>
          <cell r="J344">
            <v>1.1916488222698001</v>
          </cell>
          <cell r="K344">
            <v>85.334395999999998</v>
          </cell>
          <cell r="L344">
            <v>0.19351351351351301</v>
          </cell>
          <cell r="M344">
            <v>84.031026999999995</v>
          </cell>
          <cell r="N344">
            <v>0.184864864864864</v>
          </cell>
          <cell r="O344">
            <v>51.431733000000001</v>
          </cell>
          <cell r="P344">
            <v>0.40831556503198202</v>
          </cell>
          <cell r="Q344">
            <v>39.820753000000003</v>
          </cell>
          <cell r="R344">
            <v>0.37739872068230201</v>
          </cell>
          <cell r="S344">
            <v>27.208083999999999</v>
          </cell>
          <cell r="T344">
            <v>0.10106382978723399</v>
          </cell>
          <cell r="U344">
            <v>20.707021000000001</v>
          </cell>
          <cell r="V344">
            <v>8.8297872340425507E-2</v>
          </cell>
        </row>
        <row r="345">
          <cell r="A345" t="str">
            <v>022501</v>
          </cell>
          <cell r="B345">
            <v>282.44444399999998</v>
          </cell>
          <cell r="C345">
            <v>11.737736999999999</v>
          </cell>
          <cell r="D345">
            <v>4.2168674698795101E-2</v>
          </cell>
          <cell r="E345">
            <v>11.737736999999999</v>
          </cell>
          <cell r="F345">
            <v>4.2168674698795101E-2</v>
          </cell>
          <cell r="G345">
            <v>118.687263</v>
          </cell>
          <cell r="H345">
            <v>2.0304878048780401</v>
          </cell>
          <cell r="I345">
            <v>104.686649</v>
          </cell>
          <cell r="J345">
            <v>2.0121951219512102</v>
          </cell>
          <cell r="K345">
            <v>581.31497200000001</v>
          </cell>
          <cell r="L345">
            <v>2.6065573770491799</v>
          </cell>
          <cell r="M345">
            <v>221.06344200000001</v>
          </cell>
          <cell r="N345">
            <v>2.4688524590163898</v>
          </cell>
          <cell r="O345">
            <v>89.016666000000001</v>
          </cell>
          <cell r="P345">
            <v>0.50833333333333297</v>
          </cell>
          <cell r="Q345">
            <v>80.113287</v>
          </cell>
          <cell r="R345">
            <v>0.49444444444444402</v>
          </cell>
          <cell r="S345">
            <v>214.62404699999999</v>
          </cell>
          <cell r="T345">
            <v>0.66573816155988796</v>
          </cell>
          <cell r="U345">
            <v>125.90622</v>
          </cell>
          <cell r="V345">
            <v>0.42339832869080701</v>
          </cell>
        </row>
        <row r="346">
          <cell r="A346" t="str">
            <v>022503</v>
          </cell>
          <cell r="B346">
            <v>745</v>
          </cell>
          <cell r="C346">
            <v>1052.3532580000001</v>
          </cell>
          <cell r="D346">
            <v>0.80907877169559395</v>
          </cell>
          <cell r="E346">
            <v>51.280738999999997</v>
          </cell>
          <cell r="F346">
            <v>0.28170894526034701</v>
          </cell>
          <cell r="G346">
            <v>541.56599800000004</v>
          </cell>
          <cell r="H346">
            <v>1.49865951742627</v>
          </cell>
          <cell r="I346">
            <v>402.79781800000001</v>
          </cell>
          <cell r="J346">
            <v>1.2627345844504001</v>
          </cell>
          <cell r="K346">
            <v>709.90343900000005</v>
          </cell>
          <cell r="L346">
            <v>1.0254691689008</v>
          </cell>
          <cell r="M346">
            <v>84.953507000000002</v>
          </cell>
          <cell r="N346">
            <v>0.64209115281501306</v>
          </cell>
          <cell r="O346">
            <v>407.272064</v>
          </cell>
          <cell r="P346">
            <v>1.9244264507422399</v>
          </cell>
          <cell r="Q346">
            <v>187.383805</v>
          </cell>
          <cell r="R346">
            <v>1.5991902834008001</v>
          </cell>
          <cell r="S346">
            <v>508.938648</v>
          </cell>
          <cell r="T346">
            <v>1.24764468371467</v>
          </cell>
          <cell r="U346">
            <v>68.693494000000001</v>
          </cell>
          <cell r="V346">
            <v>0.42799461641991898</v>
          </cell>
        </row>
        <row r="347">
          <cell r="A347" t="str">
            <v>022504</v>
          </cell>
          <cell r="B347">
            <v>981.8</v>
          </cell>
          <cell r="C347">
            <v>264.03608600000001</v>
          </cell>
          <cell r="D347">
            <v>0.55666003976143097</v>
          </cell>
          <cell r="E347">
            <v>83.173747000000006</v>
          </cell>
          <cell r="F347">
            <v>0.406560636182902</v>
          </cell>
          <cell r="G347">
            <v>328.14184299999999</v>
          </cell>
          <cell r="H347">
            <v>0.86781029263370302</v>
          </cell>
          <cell r="I347">
            <v>30.374466999999999</v>
          </cell>
          <cell r="J347">
            <v>0.18970736629667001</v>
          </cell>
          <cell r="K347">
            <v>9.7513749999999995</v>
          </cell>
          <cell r="L347">
            <v>7.8491335372069301E-2</v>
          </cell>
          <cell r="M347">
            <v>6.1194860000000002</v>
          </cell>
          <cell r="N347">
            <v>7.7471967380224202E-2</v>
          </cell>
          <cell r="O347">
            <v>546.03461800000002</v>
          </cell>
          <cell r="P347">
            <v>1.74279835390946</v>
          </cell>
          <cell r="Q347">
            <v>265.85173099999997</v>
          </cell>
          <cell r="R347">
            <v>1.43518518518518</v>
          </cell>
          <cell r="S347">
            <v>290.40811500000001</v>
          </cell>
          <cell r="T347">
            <v>0.89155370177267901</v>
          </cell>
          <cell r="U347">
            <v>115.80542199999999</v>
          </cell>
          <cell r="V347">
            <v>0.48905109489051002</v>
          </cell>
        </row>
        <row r="348">
          <cell r="A348" t="str">
            <v>022701</v>
          </cell>
          <cell r="B348">
            <v>931.4</v>
          </cell>
          <cell r="C348">
            <v>107.078605</v>
          </cell>
          <cell r="D348">
            <v>1.0103950103950099</v>
          </cell>
          <cell r="E348">
            <v>106.748637</v>
          </cell>
          <cell r="F348">
            <v>1.0072765072765</v>
          </cell>
          <cell r="G348">
            <v>573.34183599999994</v>
          </cell>
          <cell r="H348">
            <v>2.89171974522292</v>
          </cell>
          <cell r="I348">
            <v>299.98108000000002</v>
          </cell>
          <cell r="J348">
            <v>2.3619957537154899</v>
          </cell>
          <cell r="K348">
            <v>286.38224400000001</v>
          </cell>
          <cell r="L348">
            <v>1.1059957173447501</v>
          </cell>
          <cell r="M348">
            <v>96.735082000000006</v>
          </cell>
          <cell r="N348">
            <v>0.77087794432548096</v>
          </cell>
          <cell r="O348">
            <v>1653.590811</v>
          </cell>
          <cell r="P348">
            <v>2.12227074235807</v>
          </cell>
          <cell r="Q348">
            <v>719.88349700000003</v>
          </cell>
          <cell r="R348">
            <v>1.0993449781659299</v>
          </cell>
          <cell r="S348">
            <v>670.21336199999996</v>
          </cell>
          <cell r="T348">
            <v>2.0066445182724202</v>
          </cell>
          <cell r="U348">
            <v>136.367681</v>
          </cell>
          <cell r="V348">
            <v>0.65337763012181604</v>
          </cell>
        </row>
        <row r="349">
          <cell r="A349" t="str">
            <v>022702</v>
          </cell>
          <cell r="B349">
            <v>1259.4000000000001</v>
          </cell>
          <cell r="C349">
            <v>590.84141899999997</v>
          </cell>
          <cell r="D349">
            <v>3.3454301075268802</v>
          </cell>
          <cell r="E349">
            <v>590.62367800000004</v>
          </cell>
          <cell r="F349">
            <v>3.3440860215053698</v>
          </cell>
          <cell r="G349">
            <v>593.80225399999995</v>
          </cell>
          <cell r="H349">
            <v>2.4698275862068901</v>
          </cell>
          <cell r="I349">
            <v>267.258038</v>
          </cell>
          <cell r="J349">
            <v>2.0337643678160902</v>
          </cell>
          <cell r="K349">
            <v>609.348927</v>
          </cell>
          <cell r="L349">
            <v>1.6847748391708299</v>
          </cell>
          <cell r="M349">
            <v>73.217940999999996</v>
          </cell>
          <cell r="N349">
            <v>0.48105789849892699</v>
          </cell>
          <cell r="O349">
            <v>1857.6863430000001</v>
          </cell>
          <cell r="P349">
            <v>2.9595375722543298</v>
          </cell>
          <cell r="Q349">
            <v>862.97888899999998</v>
          </cell>
          <cell r="R349">
            <v>1.9270231213872799</v>
          </cell>
          <cell r="S349">
            <v>2323.5732210000001</v>
          </cell>
          <cell r="T349">
            <v>3.57982583454281</v>
          </cell>
          <cell r="U349">
            <v>250.92386300000001</v>
          </cell>
          <cell r="V349">
            <v>1.30841799709724</v>
          </cell>
        </row>
        <row r="350">
          <cell r="A350" t="str">
            <v>022801</v>
          </cell>
          <cell r="B350">
            <v>831.2</v>
          </cell>
          <cell r="C350">
            <v>441.730975</v>
          </cell>
          <cell r="D350">
            <v>2.64971098265895</v>
          </cell>
          <cell r="E350">
            <v>263.17384199999998</v>
          </cell>
          <cell r="F350">
            <v>2.40115606936416</v>
          </cell>
          <cell r="G350">
            <v>547.19058399999994</v>
          </cell>
          <cell r="H350">
            <v>2.0617577197149601</v>
          </cell>
          <cell r="I350">
            <v>243.676526</v>
          </cell>
          <cell r="J350">
            <v>1.6710213776722</v>
          </cell>
          <cell r="K350">
            <v>733.73928899999999</v>
          </cell>
          <cell r="L350">
            <v>1.61973525872442</v>
          </cell>
          <cell r="M350">
            <v>169.74616900000001</v>
          </cell>
          <cell r="N350">
            <v>0.95427196149217797</v>
          </cell>
          <cell r="O350">
            <v>406.73329100000001</v>
          </cell>
          <cell r="P350">
            <v>1.34394124847001</v>
          </cell>
          <cell r="Q350">
            <v>149.29508300000001</v>
          </cell>
          <cell r="R350">
            <v>0.91064871481028098</v>
          </cell>
          <cell r="S350">
            <v>410.960735</v>
          </cell>
          <cell r="T350">
            <v>2.6878901373283299</v>
          </cell>
          <cell r="U350">
            <v>301.921493</v>
          </cell>
          <cell r="V350">
            <v>1.6803995006242101</v>
          </cell>
        </row>
        <row r="351">
          <cell r="A351" t="str">
            <v>022802</v>
          </cell>
          <cell r="B351">
            <v>285.60000000000002</v>
          </cell>
          <cell r="C351">
            <v>125.236728</v>
          </cell>
          <cell r="D351">
            <v>1.2395833333333299</v>
          </cell>
          <cell r="E351">
            <v>51.802762000000001</v>
          </cell>
          <cell r="F351">
            <v>1.1736111111111101</v>
          </cell>
          <cell r="G351">
            <v>42.501485000000002</v>
          </cell>
          <cell r="H351">
            <v>0.16725978647686801</v>
          </cell>
          <cell r="I351">
            <v>7.4257169999999997</v>
          </cell>
          <cell r="J351">
            <v>5.3380782918149398E-2</v>
          </cell>
          <cell r="K351">
            <v>1013.905496</v>
          </cell>
          <cell r="L351">
            <v>2.6070175438596399</v>
          </cell>
          <cell r="M351">
            <v>792.97274800000002</v>
          </cell>
          <cell r="N351">
            <v>2.4842105263157799</v>
          </cell>
          <cell r="O351">
            <v>1369.4553969999999</v>
          </cell>
          <cell r="P351">
            <v>1.27402135231316</v>
          </cell>
          <cell r="Q351">
            <v>45.469394999999999</v>
          </cell>
          <cell r="R351">
            <v>0.29537366548042698</v>
          </cell>
          <cell r="S351">
            <v>1021.834754</v>
          </cell>
          <cell r="T351">
            <v>2.86689419795221</v>
          </cell>
          <cell r="U351">
            <v>505.65301399999998</v>
          </cell>
          <cell r="V351">
            <v>2.49488054607508</v>
          </cell>
        </row>
        <row r="352">
          <cell r="A352" t="str">
            <v>022803</v>
          </cell>
          <cell r="B352">
            <v>1346.4</v>
          </cell>
          <cell r="C352">
            <v>59.776446999999997</v>
          </cell>
          <cell r="D352">
            <v>0.111551155115511</v>
          </cell>
          <cell r="E352">
            <v>11.566198</v>
          </cell>
          <cell r="F352">
            <v>7.6567656765676506E-2</v>
          </cell>
          <cell r="G352">
            <v>97.715215999999998</v>
          </cell>
          <cell r="H352">
            <v>0.61161022805805099</v>
          </cell>
          <cell r="I352">
            <v>96.782334000000006</v>
          </cell>
          <cell r="J352">
            <v>0.58880442294402202</v>
          </cell>
          <cell r="K352">
            <v>104.585831</v>
          </cell>
          <cell r="L352">
            <v>0.71179039301309999</v>
          </cell>
          <cell r="M352">
            <v>69.550872999999996</v>
          </cell>
          <cell r="N352">
            <v>0.68049490538573498</v>
          </cell>
          <cell r="O352">
            <v>434.29525999999998</v>
          </cell>
          <cell r="P352">
            <v>1.43844320889594</v>
          </cell>
          <cell r="Q352">
            <v>94.055824000000001</v>
          </cell>
          <cell r="R352">
            <v>0.96346306592533704</v>
          </cell>
          <cell r="S352">
            <v>605.94055900000001</v>
          </cell>
          <cell r="T352">
            <v>3.5233069481090502</v>
          </cell>
          <cell r="U352">
            <v>378.67490400000003</v>
          </cell>
          <cell r="V352">
            <v>2.42568161829375</v>
          </cell>
        </row>
        <row r="353">
          <cell r="A353" t="str">
            <v>022901</v>
          </cell>
          <cell r="B353">
            <v>1094.4000000000001</v>
          </cell>
          <cell r="C353">
            <v>1060.1637539999999</v>
          </cell>
          <cell r="D353">
            <v>3.0929808568824</v>
          </cell>
          <cell r="E353">
            <v>239.1961</v>
          </cell>
          <cell r="F353">
            <v>2.0218778486782099</v>
          </cell>
          <cell r="G353">
            <v>436.92273699999998</v>
          </cell>
          <cell r="H353">
            <v>1.3526170798898001</v>
          </cell>
          <cell r="I353">
            <v>234.22689099999999</v>
          </cell>
          <cell r="J353">
            <v>1.1910009182736401</v>
          </cell>
          <cell r="K353">
            <v>1841.8443729999999</v>
          </cell>
          <cell r="L353">
            <v>4.64958828911253</v>
          </cell>
          <cell r="M353">
            <v>640.91184799999996</v>
          </cell>
          <cell r="N353">
            <v>3.81884720951509</v>
          </cell>
          <cell r="O353">
            <v>471.26442800000001</v>
          </cell>
          <cell r="P353">
            <v>1.67762557077625</v>
          </cell>
          <cell r="Q353">
            <v>399.99237399999998</v>
          </cell>
          <cell r="R353">
            <v>1.51689497716894</v>
          </cell>
          <cell r="S353">
            <v>1020.839647</v>
          </cell>
          <cell r="T353">
            <v>2.8642987249544598</v>
          </cell>
          <cell r="U353">
            <v>182.37515099999999</v>
          </cell>
          <cell r="V353">
            <v>1.4735883424408001</v>
          </cell>
        </row>
        <row r="354">
          <cell r="A354" t="str">
            <v>022902</v>
          </cell>
          <cell r="B354">
            <v>643.20000000000005</v>
          </cell>
          <cell r="C354">
            <v>427.94672600000001</v>
          </cell>
          <cell r="D354">
            <v>1.36432926829268</v>
          </cell>
          <cell r="E354">
            <v>49.840938999999999</v>
          </cell>
          <cell r="F354">
            <v>0.65396341463414598</v>
          </cell>
          <cell r="G354">
            <v>1531.8678090000001</v>
          </cell>
          <cell r="H354">
            <v>3.4763358778625899</v>
          </cell>
          <cell r="I354">
            <v>240.88085899999999</v>
          </cell>
          <cell r="J354">
            <v>0.70992366412213703</v>
          </cell>
          <cell r="K354">
            <v>645.69912999999997</v>
          </cell>
          <cell r="L354">
            <v>1.6395705521472299</v>
          </cell>
          <cell r="M354">
            <v>163.752837</v>
          </cell>
          <cell r="N354">
            <v>1.05521472392638</v>
          </cell>
          <cell r="O354">
            <v>393.29394400000001</v>
          </cell>
          <cell r="P354">
            <v>0.99684044233807201</v>
          </cell>
          <cell r="Q354">
            <v>245.30447599999999</v>
          </cell>
          <cell r="R354">
            <v>0.81990521327014199</v>
          </cell>
          <cell r="S354">
            <v>481.08389699999998</v>
          </cell>
          <cell r="T354">
            <v>2.1725806451612901</v>
          </cell>
          <cell r="U354">
            <v>242.355887</v>
          </cell>
          <cell r="V354">
            <v>1.7403225806451601</v>
          </cell>
        </row>
        <row r="355">
          <cell r="A355" t="str">
            <v>023001</v>
          </cell>
          <cell r="B355">
            <v>343.44444399999998</v>
          </cell>
          <cell r="C355">
            <v>237.48700600000001</v>
          </cell>
          <cell r="D355">
            <v>1.5446685878962501</v>
          </cell>
          <cell r="E355">
            <v>45.951008000000002</v>
          </cell>
          <cell r="F355">
            <v>0.94812680115273695</v>
          </cell>
          <cell r="G355">
            <v>104.150837</v>
          </cell>
          <cell r="H355">
            <v>0.95930232558139505</v>
          </cell>
          <cell r="I355">
            <v>103.13410500000001</v>
          </cell>
          <cell r="J355">
            <v>0.956395348837209</v>
          </cell>
          <cell r="K355">
            <v>2006.1763840000001</v>
          </cell>
          <cell r="L355">
            <v>2.4635568513119499</v>
          </cell>
          <cell r="M355">
            <v>91.339843999999999</v>
          </cell>
          <cell r="N355">
            <v>1.4606413994169001</v>
          </cell>
          <cell r="O355">
            <v>1346.8123029999999</v>
          </cell>
          <cell r="P355">
            <v>1.76764705882352</v>
          </cell>
          <cell r="Q355">
            <v>220.606764</v>
          </cell>
          <cell r="R355">
            <v>1.29411764705882</v>
          </cell>
          <cell r="S355">
            <v>23.520309999999998</v>
          </cell>
          <cell r="T355">
            <v>7.5801749271137003E-2</v>
          </cell>
          <cell r="U355">
            <v>23.520309999999998</v>
          </cell>
          <cell r="V355">
            <v>7.5801749271137003E-2</v>
          </cell>
        </row>
        <row r="356">
          <cell r="A356" t="str">
            <v>023002</v>
          </cell>
          <cell r="B356">
            <v>766.2</v>
          </cell>
          <cell r="C356">
            <v>198.89058600000001</v>
          </cell>
          <cell r="D356">
            <v>0.50452781371280697</v>
          </cell>
          <cell r="E356">
            <v>24.998709000000002</v>
          </cell>
          <cell r="F356">
            <v>0.15912031047865399</v>
          </cell>
          <cell r="G356">
            <v>191.03883300000001</v>
          </cell>
          <cell r="H356">
            <v>0.60858257477243105</v>
          </cell>
          <cell r="I356">
            <v>186.85114100000001</v>
          </cell>
          <cell r="J356">
            <v>0.60338101430429103</v>
          </cell>
          <cell r="K356">
            <v>2184.3236259999999</v>
          </cell>
          <cell r="L356">
            <v>2.88197146562905</v>
          </cell>
          <cell r="M356">
            <v>146.492693</v>
          </cell>
          <cell r="N356">
            <v>1.84176394293125</v>
          </cell>
          <cell r="O356">
            <v>2844.616117</v>
          </cell>
          <cell r="P356">
            <v>3.0474308300395201</v>
          </cell>
          <cell r="Q356">
            <v>514.02942399999995</v>
          </cell>
          <cell r="R356">
            <v>2.1488801054018398</v>
          </cell>
          <cell r="S356">
            <v>548.85098700000003</v>
          </cell>
          <cell r="T356">
            <v>2.0830039525691602</v>
          </cell>
          <cell r="U356">
            <v>496.06818099999998</v>
          </cell>
          <cell r="V356">
            <v>2.0131752305665298</v>
          </cell>
        </row>
        <row r="357">
          <cell r="A357" t="str">
            <v>023101</v>
          </cell>
          <cell r="B357">
            <v>1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92</v>
          </cell>
          <cell r="H357">
            <v>1</v>
          </cell>
          <cell r="I357">
            <v>92</v>
          </cell>
          <cell r="J357">
            <v>1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</row>
        <row r="358">
          <cell r="A358" t="str">
            <v>023102</v>
          </cell>
          <cell r="B358">
            <v>598.4</v>
          </cell>
          <cell r="C358">
            <v>872.97517500000004</v>
          </cell>
          <cell r="D358">
            <v>1.29478827361563</v>
          </cell>
          <cell r="E358">
            <v>114.86270399999999</v>
          </cell>
          <cell r="F358">
            <v>0.93322475570032504</v>
          </cell>
          <cell r="G358">
            <v>185.78466900000001</v>
          </cell>
          <cell r="H358">
            <v>1.19630872483221</v>
          </cell>
          <cell r="I358">
            <v>182.91748799999999</v>
          </cell>
          <cell r="J358">
            <v>1.19295302013422</v>
          </cell>
          <cell r="K358">
            <v>866.217219</v>
          </cell>
          <cell r="L358">
            <v>2.0099502487562102</v>
          </cell>
          <cell r="M358">
            <v>377.723051</v>
          </cell>
          <cell r="N358">
            <v>1.7495854063018199</v>
          </cell>
          <cell r="O358">
            <v>2230.0776449999998</v>
          </cell>
          <cell r="P358">
            <v>1.3938879456706199</v>
          </cell>
          <cell r="Q358">
            <v>381.87348600000001</v>
          </cell>
          <cell r="R358">
            <v>1.06960950764006</v>
          </cell>
          <cell r="S358">
            <v>336.27177799999998</v>
          </cell>
          <cell r="T358">
            <v>1.2949152542372799</v>
          </cell>
          <cell r="U358">
            <v>335.75135499999999</v>
          </cell>
          <cell r="V358">
            <v>1.2932203389830501</v>
          </cell>
        </row>
        <row r="359">
          <cell r="A359" t="str">
            <v>023103</v>
          </cell>
          <cell r="B359">
            <v>859.6</v>
          </cell>
          <cell r="C359">
            <v>1309.2148239999999</v>
          </cell>
          <cell r="D359">
            <v>1.5741626794258301</v>
          </cell>
          <cell r="E359">
            <v>205.10870700000001</v>
          </cell>
          <cell r="F359">
            <v>1.16148325358851</v>
          </cell>
          <cell r="G359">
            <v>760.33851200000004</v>
          </cell>
          <cell r="H359">
            <v>3.5215252152521499</v>
          </cell>
          <cell r="I359">
            <v>749.80254400000001</v>
          </cell>
          <cell r="J359">
            <v>3.5067650676506701</v>
          </cell>
          <cell r="K359">
            <v>1395.0861609999999</v>
          </cell>
          <cell r="L359">
            <v>3.2606060606060598</v>
          </cell>
          <cell r="M359">
            <v>523.46690899999999</v>
          </cell>
          <cell r="N359">
            <v>2.7539393939393899</v>
          </cell>
          <cell r="O359">
            <v>617.90290400000004</v>
          </cell>
          <cell r="P359">
            <v>1.08158220024721</v>
          </cell>
          <cell r="Q359">
            <v>127.452039</v>
          </cell>
          <cell r="R359">
            <v>0.48949320148331199</v>
          </cell>
          <cell r="S359">
            <v>175.22044199999999</v>
          </cell>
          <cell r="T359">
            <v>0.70837438423645305</v>
          </cell>
          <cell r="U359">
            <v>129.93343100000001</v>
          </cell>
          <cell r="V359">
            <v>0.56354679802955598</v>
          </cell>
        </row>
        <row r="360">
          <cell r="A360" t="str">
            <v>023104</v>
          </cell>
          <cell r="B360">
            <v>806.8</v>
          </cell>
          <cell r="C360">
            <v>1270.9231520000001</v>
          </cell>
          <cell r="D360">
            <v>2.9673278879813298</v>
          </cell>
          <cell r="E360">
            <v>372.31538</v>
          </cell>
          <cell r="F360">
            <v>2.0210035005834301</v>
          </cell>
          <cell r="G360">
            <v>713.41153699999995</v>
          </cell>
          <cell r="H360">
            <v>3.56973995271867</v>
          </cell>
          <cell r="I360">
            <v>464.01356199999998</v>
          </cell>
          <cell r="J360">
            <v>2.7600472813238701</v>
          </cell>
          <cell r="K360">
            <v>580.89512500000001</v>
          </cell>
          <cell r="L360">
            <v>0.89976415094339601</v>
          </cell>
          <cell r="M360">
            <v>537.46479899999997</v>
          </cell>
          <cell r="N360">
            <v>0.83490566037735803</v>
          </cell>
          <cell r="O360">
            <v>716.31680500000004</v>
          </cell>
          <cell r="P360">
            <v>2.8349282296650702</v>
          </cell>
          <cell r="Q360">
            <v>506.88767899999999</v>
          </cell>
          <cell r="R360">
            <v>2.2332535885167402</v>
          </cell>
          <cell r="S360">
            <v>626.96563500000002</v>
          </cell>
          <cell r="T360">
            <v>3.0200927357032401</v>
          </cell>
          <cell r="U360">
            <v>358.06813399999999</v>
          </cell>
          <cell r="V360">
            <v>2.10510046367851</v>
          </cell>
        </row>
        <row r="361">
          <cell r="A361" t="str">
            <v>023401</v>
          </cell>
          <cell r="B361">
            <v>1526.8</v>
          </cell>
          <cell r="C361">
            <v>1734.412268</v>
          </cell>
          <cell r="D361">
            <v>2.8932384341636999</v>
          </cell>
          <cell r="E361">
            <v>337.77680199999998</v>
          </cell>
          <cell r="F361">
            <v>1.69395017793594</v>
          </cell>
          <cell r="G361">
            <v>351.61541999999997</v>
          </cell>
          <cell r="H361">
            <v>1.28242811501597</v>
          </cell>
          <cell r="I361">
            <v>313.63356099999999</v>
          </cell>
          <cell r="J361">
            <v>1.2626198083067</v>
          </cell>
          <cell r="K361">
            <v>864.44697699999995</v>
          </cell>
          <cell r="L361">
            <v>2.3997445721583599</v>
          </cell>
          <cell r="M361">
            <v>484.30490600000002</v>
          </cell>
          <cell r="N361">
            <v>2.2139208173690901</v>
          </cell>
          <cell r="O361">
            <v>496.99292700000001</v>
          </cell>
          <cell r="P361">
            <v>0.95989650711513497</v>
          </cell>
          <cell r="Q361">
            <v>210.978083</v>
          </cell>
          <cell r="R361">
            <v>0.67270375161707596</v>
          </cell>
          <cell r="S361">
            <v>1071.3211759999999</v>
          </cell>
          <cell r="T361">
            <v>2.3182989690721598</v>
          </cell>
          <cell r="U361">
            <v>331.41488399999997</v>
          </cell>
          <cell r="V361">
            <v>1.1643041237113401</v>
          </cell>
        </row>
        <row r="362">
          <cell r="A362" t="str">
            <v>023402</v>
          </cell>
          <cell r="B362">
            <v>1771</v>
          </cell>
          <cell r="C362">
            <v>2089.5465330000002</v>
          </cell>
          <cell r="D362">
            <v>1.65241844769403</v>
          </cell>
          <cell r="E362">
            <v>102.55932900000001</v>
          </cell>
          <cell r="F362">
            <v>0.52980877390326198</v>
          </cell>
          <cell r="G362">
            <v>488.16819500000003</v>
          </cell>
          <cell r="H362">
            <v>1.44999999999999</v>
          </cell>
          <cell r="I362">
            <v>360.75681300000002</v>
          </cell>
          <cell r="J362">
            <v>1.24269662921348</v>
          </cell>
          <cell r="K362">
            <v>1096.417762</v>
          </cell>
          <cell r="L362">
            <v>2.48903878583473</v>
          </cell>
          <cell r="M362">
            <v>897.45659499999999</v>
          </cell>
          <cell r="N362">
            <v>2.4170882518268599</v>
          </cell>
          <cell r="O362">
            <v>137.55465799999999</v>
          </cell>
          <cell r="P362">
            <v>0.68181818181818099</v>
          </cell>
          <cell r="Q362">
            <v>135.674081</v>
          </cell>
          <cell r="R362">
            <v>0.67670454545454495</v>
          </cell>
          <cell r="S362">
            <v>320.40490999999997</v>
          </cell>
          <cell r="T362">
            <v>1.3083048919226301</v>
          </cell>
          <cell r="U362">
            <v>227.20766900000001</v>
          </cell>
          <cell r="V362">
            <v>1.2263936291240001</v>
          </cell>
        </row>
        <row r="363">
          <cell r="A363" t="str">
            <v>023503</v>
          </cell>
          <cell r="B363">
            <v>3411.4</v>
          </cell>
          <cell r="C363">
            <v>101.637073</v>
          </cell>
          <cell r="D363">
            <v>0.98657718120805304</v>
          </cell>
          <cell r="E363">
            <v>101.429866</v>
          </cell>
          <cell r="F363">
            <v>0.97081995914794195</v>
          </cell>
          <cell r="G363">
            <v>203.16139899999999</v>
          </cell>
          <cell r="H363">
            <v>1.1744730679156901</v>
          </cell>
          <cell r="I363">
            <v>198.40013300000001</v>
          </cell>
          <cell r="J363">
            <v>1.16334894613583</v>
          </cell>
          <cell r="K363">
            <v>179.171435</v>
          </cell>
          <cell r="L363">
            <v>1.0464776381175001</v>
          </cell>
          <cell r="M363">
            <v>75.459372999999999</v>
          </cell>
          <cell r="N363">
            <v>1.0078924291142899</v>
          </cell>
          <cell r="O363">
            <v>47.53884</v>
          </cell>
          <cell r="P363">
            <v>0.236571764015262</v>
          </cell>
          <cell r="Q363">
            <v>44.916612000000001</v>
          </cell>
          <cell r="R363">
            <v>0.22835339007924799</v>
          </cell>
          <cell r="S363">
            <v>158.508746</v>
          </cell>
          <cell r="T363">
            <v>1.3476077968103899</v>
          </cell>
          <cell r="U363">
            <v>129.52325200000001</v>
          </cell>
          <cell r="V363">
            <v>1.3360897814530399</v>
          </cell>
        </row>
        <row r="364">
          <cell r="A364" t="str">
            <v>023504</v>
          </cell>
          <cell r="B364">
            <v>879</v>
          </cell>
          <cell r="C364">
            <v>190.545491</v>
          </cell>
          <cell r="D364">
            <v>1.95130237825594</v>
          </cell>
          <cell r="E364">
            <v>190.545491</v>
          </cell>
          <cell r="F364">
            <v>1.95130237825594</v>
          </cell>
          <cell r="G364">
            <v>465.91574400000002</v>
          </cell>
          <cell r="H364">
            <v>0.47904869762174401</v>
          </cell>
          <cell r="I364">
            <v>23.917693</v>
          </cell>
          <cell r="J364">
            <v>9.62627406568516E-2</v>
          </cell>
          <cell r="K364">
            <v>1023.049318</v>
          </cell>
          <cell r="L364">
            <v>2.2576617480136201</v>
          </cell>
          <cell r="M364">
            <v>114.786322</v>
          </cell>
          <cell r="N364">
            <v>1.27128263337116</v>
          </cell>
          <cell r="O364">
            <v>62.477080000000001</v>
          </cell>
          <cell r="P364">
            <v>0.51539338654503897</v>
          </cell>
          <cell r="Q364">
            <v>46.816153</v>
          </cell>
          <cell r="R364">
            <v>0.27594070695553002</v>
          </cell>
          <cell r="S364">
            <v>156.05992699999999</v>
          </cell>
          <cell r="T364">
            <v>1.06071019473081</v>
          </cell>
          <cell r="U364">
            <v>129.16130200000001</v>
          </cell>
          <cell r="V364">
            <v>1.0492554410080099</v>
          </cell>
        </row>
        <row r="365">
          <cell r="A365" t="str">
            <v>023505</v>
          </cell>
          <cell r="B365">
            <v>467</v>
          </cell>
          <cell r="C365">
            <v>2.9705870000000001</v>
          </cell>
          <cell r="D365">
            <v>1.70575692963752E-2</v>
          </cell>
          <cell r="E365">
            <v>2.9705870000000001</v>
          </cell>
          <cell r="F365">
            <v>1.70575692963752E-2</v>
          </cell>
          <cell r="G365">
            <v>37.504210999999998</v>
          </cell>
          <cell r="H365">
            <v>0.44325481798715199</v>
          </cell>
          <cell r="I365">
            <v>37.504210999999998</v>
          </cell>
          <cell r="J365">
            <v>0.44325481798715199</v>
          </cell>
          <cell r="K365">
            <v>10.554228</v>
          </cell>
          <cell r="L365">
            <v>0.14498933901918901</v>
          </cell>
          <cell r="M365">
            <v>8.4914349999999992</v>
          </cell>
          <cell r="N365">
            <v>0.14285714285714199</v>
          </cell>
          <cell r="O365">
            <v>118.400035</v>
          </cell>
          <cell r="P365">
            <v>0.24093816631129999</v>
          </cell>
          <cell r="Q365">
            <v>118.400035</v>
          </cell>
          <cell r="R365">
            <v>0.24093816631129999</v>
          </cell>
          <cell r="S365">
            <v>44.081316999999999</v>
          </cell>
          <cell r="T365">
            <v>0.20950323974082</v>
          </cell>
          <cell r="U365">
            <v>11.835457</v>
          </cell>
          <cell r="V365">
            <v>0.159827213822894</v>
          </cell>
        </row>
        <row r="366">
          <cell r="A366" t="str">
            <v>023506</v>
          </cell>
          <cell r="B366">
            <v>1910.6</v>
          </cell>
          <cell r="C366">
            <v>13.823803</v>
          </cell>
          <cell r="D366">
            <v>0.126448893572181</v>
          </cell>
          <cell r="E366">
            <v>13.74305</v>
          </cell>
          <cell r="F366">
            <v>0.125922023182297</v>
          </cell>
          <cell r="G366">
            <v>47.951813000000001</v>
          </cell>
          <cell r="H366">
            <v>0.47788065843621302</v>
          </cell>
          <cell r="I366">
            <v>37.945270000000001</v>
          </cell>
          <cell r="J366">
            <v>0.44032921810699499</v>
          </cell>
          <cell r="K366">
            <v>62.323742000000003</v>
          </cell>
          <cell r="L366">
            <v>0.22446863659927399</v>
          </cell>
          <cell r="M366">
            <v>17.725393</v>
          </cell>
          <cell r="N366">
            <v>0.187143597719025</v>
          </cell>
          <cell r="O366">
            <v>111.351381</v>
          </cell>
          <cell r="P366">
            <v>0.52667723190702498</v>
          </cell>
          <cell r="Q366">
            <v>44.775717</v>
          </cell>
          <cell r="R366">
            <v>0.35076597992604303</v>
          </cell>
          <cell r="S366">
            <v>358.94865800000002</v>
          </cell>
          <cell r="T366">
            <v>0.40021175224986699</v>
          </cell>
          <cell r="U366">
            <v>19.005866999999999</v>
          </cell>
          <cell r="V366">
            <v>0.100052938062466</v>
          </cell>
        </row>
        <row r="367">
          <cell r="A367" t="str">
            <v>023507</v>
          </cell>
          <cell r="B367">
            <v>1034.2222220000001</v>
          </cell>
          <cell r="C367">
            <v>11.25041</v>
          </cell>
          <cell r="D367">
            <v>5.3897978825794002E-2</v>
          </cell>
          <cell r="E367">
            <v>9.085305</v>
          </cell>
          <cell r="F367">
            <v>4.0423484119345501E-2</v>
          </cell>
          <cell r="G367">
            <v>59.766159000000002</v>
          </cell>
          <cell r="H367">
            <v>1.10693641618497</v>
          </cell>
          <cell r="I367">
            <v>59.766159000000002</v>
          </cell>
          <cell r="J367">
            <v>1.10693641618497</v>
          </cell>
          <cell r="K367">
            <v>398.62260199999997</v>
          </cell>
          <cell r="L367">
            <v>1.1998069498069399</v>
          </cell>
          <cell r="M367">
            <v>15.89091</v>
          </cell>
          <cell r="N367">
            <v>0.16505791505791501</v>
          </cell>
          <cell r="O367">
            <v>21.929368</v>
          </cell>
          <cell r="P367">
            <v>0.12233009708737801</v>
          </cell>
          <cell r="Q367">
            <v>12.875209999999999</v>
          </cell>
          <cell r="R367">
            <v>0.113592233009708</v>
          </cell>
          <cell r="S367">
            <v>2524.1756789999999</v>
          </cell>
          <cell r="T367">
            <v>1.33689320388349</v>
          </cell>
          <cell r="U367">
            <v>75.091181000000006</v>
          </cell>
          <cell r="V367">
            <v>0.29805825242718398</v>
          </cell>
        </row>
        <row r="368">
          <cell r="A368" t="str">
            <v>023508</v>
          </cell>
          <cell r="B368">
            <v>517.75</v>
          </cell>
          <cell r="C368">
            <v>11.636547</v>
          </cell>
          <cell r="D368">
            <v>0.16539923954372601</v>
          </cell>
          <cell r="E368">
            <v>11.636547</v>
          </cell>
          <cell r="F368">
            <v>0.16539923954372601</v>
          </cell>
          <cell r="G368">
            <v>21.43674</v>
          </cell>
          <cell r="H368">
            <v>0.124045801526717</v>
          </cell>
          <cell r="I368">
            <v>14.609178</v>
          </cell>
          <cell r="J368">
            <v>4.3893129770992301E-2</v>
          </cell>
          <cell r="K368">
            <v>209.669736</v>
          </cell>
          <cell r="L368">
            <v>0.186180422264875</v>
          </cell>
          <cell r="M368">
            <v>24.441106000000001</v>
          </cell>
          <cell r="N368">
            <v>0.130518234165067</v>
          </cell>
          <cell r="O368">
            <v>16.51925</v>
          </cell>
          <cell r="P368">
            <v>0.104651162790697</v>
          </cell>
          <cell r="Q368">
            <v>16.51925</v>
          </cell>
          <cell r="R368">
            <v>0.104651162790697</v>
          </cell>
          <cell r="S368">
            <v>43.186467999999998</v>
          </cell>
          <cell r="T368">
            <v>9.1089108910891003E-2</v>
          </cell>
          <cell r="U368">
            <v>15.975841000000001</v>
          </cell>
          <cell r="V368">
            <v>7.7227722772277199E-2</v>
          </cell>
        </row>
        <row r="369">
          <cell r="A369" t="str">
            <v>023702</v>
          </cell>
          <cell r="B369">
            <v>1449.4</v>
          </cell>
          <cell r="C369">
            <v>26.430994999999999</v>
          </cell>
          <cell r="D369">
            <v>0.31048663468128801</v>
          </cell>
          <cell r="E369">
            <v>25.634734000000002</v>
          </cell>
          <cell r="F369">
            <v>0.30637422892392002</v>
          </cell>
          <cell r="G369">
            <v>131.723525</v>
          </cell>
          <cell r="H369">
            <v>1.2038435140699999</v>
          </cell>
          <cell r="I369">
            <v>123.59646100000001</v>
          </cell>
          <cell r="J369">
            <v>1.1763898421413801</v>
          </cell>
          <cell r="K369">
            <v>858.22201900000005</v>
          </cell>
          <cell r="L369">
            <v>3.5110041265474501</v>
          </cell>
          <cell r="M369">
            <v>314.19211300000001</v>
          </cell>
          <cell r="N369">
            <v>2.3342503438789501</v>
          </cell>
          <cell r="O369">
            <v>145.075276</v>
          </cell>
          <cell r="P369">
            <v>0.73407202216066403</v>
          </cell>
          <cell r="Q369">
            <v>103.341643</v>
          </cell>
          <cell r="R369">
            <v>0.66481994459833704</v>
          </cell>
          <cell r="S369">
            <v>762.244102</v>
          </cell>
          <cell r="T369">
            <v>1.97348220516399</v>
          </cell>
          <cell r="U369">
            <v>445.887113</v>
          </cell>
          <cell r="V369">
            <v>1.6482903000697799</v>
          </cell>
        </row>
        <row r="370">
          <cell r="A370" t="str">
            <v>023801</v>
          </cell>
          <cell r="B370">
            <v>1423.5555549999999</v>
          </cell>
          <cell r="C370">
            <v>36.038812</v>
          </cell>
          <cell r="D370">
            <v>0.18194444444444399</v>
          </cell>
          <cell r="E370">
            <v>36.038812</v>
          </cell>
          <cell r="F370">
            <v>0.18194444444444399</v>
          </cell>
          <cell r="G370">
            <v>770.71203200000002</v>
          </cell>
          <cell r="H370">
            <v>2.0264623955431702</v>
          </cell>
          <cell r="I370">
            <v>170.22042500000001</v>
          </cell>
          <cell r="J370">
            <v>1.5856545961002699</v>
          </cell>
          <cell r="K370">
            <v>1153.281236</v>
          </cell>
          <cell r="L370">
            <v>3.2431865828092201</v>
          </cell>
          <cell r="M370">
            <v>207.420312</v>
          </cell>
          <cell r="N370">
            <v>1.31795946890286</v>
          </cell>
          <cell r="O370">
            <v>407.85004600000002</v>
          </cell>
          <cell r="P370">
            <v>0.49718706047819899</v>
          </cell>
          <cell r="Q370">
            <v>25.548511000000001</v>
          </cell>
          <cell r="R370">
            <v>0.177215189873417</v>
          </cell>
          <cell r="S370">
            <v>210.83072000000001</v>
          </cell>
          <cell r="T370">
            <v>0.999999999999999</v>
          </cell>
          <cell r="U370">
            <v>79.490562999999995</v>
          </cell>
          <cell r="V370">
            <v>0.62276306370794499</v>
          </cell>
        </row>
        <row r="371">
          <cell r="A371" t="str">
            <v>023802</v>
          </cell>
          <cell r="B371">
            <v>1242.4000000000001</v>
          </cell>
          <cell r="C371">
            <v>209.766693</v>
          </cell>
          <cell r="D371">
            <v>1.2614641995172899</v>
          </cell>
          <cell r="E371">
            <v>146.07199700000001</v>
          </cell>
          <cell r="F371">
            <v>1.0973451327433601</v>
          </cell>
          <cell r="G371">
            <v>623.97444399999995</v>
          </cell>
          <cell r="H371">
            <v>2.10024057738572</v>
          </cell>
          <cell r="I371">
            <v>306.98488600000002</v>
          </cell>
          <cell r="J371">
            <v>1.86126704089815</v>
          </cell>
          <cell r="K371">
            <v>2206.5346549999999</v>
          </cell>
          <cell r="L371">
            <v>2.4599358974358898</v>
          </cell>
          <cell r="M371">
            <v>130.09395000000001</v>
          </cell>
          <cell r="N371">
            <v>0.32291666666666602</v>
          </cell>
          <cell r="O371">
            <v>324.19386300000002</v>
          </cell>
          <cell r="P371">
            <v>2.0988745980707302</v>
          </cell>
          <cell r="Q371">
            <v>220.93836999999999</v>
          </cell>
          <cell r="R371">
            <v>1.41077170418006</v>
          </cell>
          <cell r="S371">
            <v>613.74462000000005</v>
          </cell>
          <cell r="T371">
            <v>2.3040650406504</v>
          </cell>
          <cell r="U371">
            <v>356.70894299999998</v>
          </cell>
          <cell r="V371">
            <v>1.5390243902439</v>
          </cell>
        </row>
        <row r="372">
          <cell r="A372" t="str">
            <v>024102</v>
          </cell>
          <cell r="B372">
            <v>2042</v>
          </cell>
          <cell r="C372">
            <v>218.76642799999999</v>
          </cell>
          <cell r="D372">
            <v>1.1681075888568599</v>
          </cell>
          <cell r="E372">
            <v>218.44636299999999</v>
          </cell>
          <cell r="F372">
            <v>1.1671469740634</v>
          </cell>
          <cell r="G372">
            <v>123.69735799999999</v>
          </cell>
          <cell r="H372">
            <v>1.27333652465294</v>
          </cell>
          <cell r="I372">
            <v>105.433336</v>
          </cell>
          <cell r="J372">
            <v>1.2613690761129699</v>
          </cell>
          <cell r="K372">
            <v>84.431047000000007</v>
          </cell>
          <cell r="L372">
            <v>0.24688398849472601</v>
          </cell>
          <cell r="M372">
            <v>30.716705999999999</v>
          </cell>
          <cell r="N372">
            <v>0.199904122722914</v>
          </cell>
          <cell r="O372">
            <v>174.20262399999999</v>
          </cell>
          <cell r="P372">
            <v>0.26151560178305999</v>
          </cell>
          <cell r="Q372">
            <v>34.650652000000001</v>
          </cell>
          <cell r="R372">
            <v>0.171867261020307</v>
          </cell>
          <cell r="S372">
            <v>1298.8766450000001</v>
          </cell>
          <cell r="T372">
            <v>1.0051706308169499</v>
          </cell>
          <cell r="U372">
            <v>42.799655000000001</v>
          </cell>
          <cell r="V372">
            <v>0.32523267838676301</v>
          </cell>
        </row>
        <row r="373">
          <cell r="A373" t="str">
            <v>024103</v>
          </cell>
          <cell r="B373">
            <v>3867.4</v>
          </cell>
          <cell r="C373">
            <v>315.97688299999999</v>
          </cell>
          <cell r="D373">
            <v>2.3029077117572601</v>
          </cell>
          <cell r="E373">
            <v>310.39578599999999</v>
          </cell>
          <cell r="F373">
            <v>2.2932996207332401</v>
          </cell>
          <cell r="G373">
            <v>380.504841</v>
          </cell>
          <cell r="H373">
            <v>2.2100989596548999</v>
          </cell>
          <cell r="I373">
            <v>146.81164699999999</v>
          </cell>
          <cell r="J373">
            <v>1.5341283938086701</v>
          </cell>
          <cell r="K373">
            <v>80.193820000000002</v>
          </cell>
          <cell r="L373">
            <v>0.31592554291623498</v>
          </cell>
          <cell r="M373">
            <v>25.173943999999999</v>
          </cell>
          <cell r="N373">
            <v>0.21509824198552199</v>
          </cell>
          <cell r="O373">
            <v>721.07453899999996</v>
          </cell>
          <cell r="P373">
            <v>1.76522875816993</v>
          </cell>
          <cell r="Q373">
            <v>166.65028699999999</v>
          </cell>
          <cell r="R373">
            <v>0.76575163398692803</v>
          </cell>
          <cell r="S373">
            <v>222.26678100000001</v>
          </cell>
          <cell r="T373">
            <v>3.20597652081109</v>
          </cell>
          <cell r="U373">
            <v>182.563838</v>
          </cell>
          <cell r="V373">
            <v>3.18489861259338</v>
          </cell>
        </row>
        <row r="374">
          <cell r="A374" t="str">
            <v>024104</v>
          </cell>
          <cell r="B374">
            <v>329.375</v>
          </cell>
          <cell r="C374">
            <v>37.120266000000001</v>
          </cell>
          <cell r="D374">
            <v>0.33439490445859799</v>
          </cell>
          <cell r="E374">
            <v>37.120266000000001</v>
          </cell>
          <cell r="F374">
            <v>0.33439490445859799</v>
          </cell>
          <cell r="G374">
            <v>282.75783200000001</v>
          </cell>
          <cell r="H374">
            <v>1.4220779220779201</v>
          </cell>
          <cell r="I374">
            <v>274.13327900000002</v>
          </cell>
          <cell r="J374">
            <v>1.36038961038961</v>
          </cell>
          <cell r="K374">
            <v>379.40156300000001</v>
          </cell>
          <cell r="L374">
            <v>2.9158576051779899</v>
          </cell>
          <cell r="M374">
            <v>362.29083000000003</v>
          </cell>
          <cell r="N374">
            <v>2.90614886731391</v>
          </cell>
          <cell r="O374">
            <v>12.038869999999999</v>
          </cell>
          <cell r="P374">
            <v>0.10423452768729601</v>
          </cell>
          <cell r="Q374">
            <v>6.7578170000000002</v>
          </cell>
          <cell r="R374">
            <v>9.4462540716612295E-2</v>
          </cell>
          <cell r="S374">
            <v>0.70130300000000001</v>
          </cell>
          <cell r="T374">
            <v>2.1141649048625698E-3</v>
          </cell>
          <cell r="U374">
            <v>0.70130300000000001</v>
          </cell>
          <cell r="V374">
            <v>2.1141649048625698E-3</v>
          </cell>
        </row>
        <row r="375">
          <cell r="A375" t="str">
            <v>024105</v>
          </cell>
          <cell r="B375">
            <v>1482.8</v>
          </cell>
          <cell r="C375">
            <v>71.281595999999993</v>
          </cell>
          <cell r="D375">
            <v>0.258940397350993</v>
          </cell>
          <cell r="E375">
            <v>56.269154999999998</v>
          </cell>
          <cell r="F375">
            <v>0.24503311258278099</v>
          </cell>
          <cell r="G375">
            <v>135.21799100000001</v>
          </cell>
          <cell r="H375">
            <v>1.1892076502732201</v>
          </cell>
          <cell r="I375">
            <v>124.26727700000001</v>
          </cell>
          <cell r="J375">
            <v>1.1714480874316899</v>
          </cell>
          <cell r="K375">
            <v>72.161135999999999</v>
          </cell>
          <cell r="L375">
            <v>0.26279863481228599</v>
          </cell>
          <cell r="M375">
            <v>22.318667999999999</v>
          </cell>
          <cell r="N375">
            <v>0.24163822525597201</v>
          </cell>
          <cell r="O375">
            <v>2299.9470879999999</v>
          </cell>
          <cell r="P375">
            <v>3.13096037609133</v>
          </cell>
          <cell r="Q375">
            <v>340.18422800000002</v>
          </cell>
          <cell r="R375">
            <v>1.7891202149093299</v>
          </cell>
          <cell r="S375">
            <v>2198.5898929999998</v>
          </cell>
          <cell r="T375">
            <v>2.0323014804845201</v>
          </cell>
          <cell r="U375">
            <v>93.903206999999995</v>
          </cell>
          <cell r="V375">
            <v>0.92328398384925903</v>
          </cell>
        </row>
        <row r="376">
          <cell r="A376" t="str">
            <v>024201</v>
          </cell>
          <cell r="B376">
            <v>713.22222199999999</v>
          </cell>
          <cell r="C376">
            <v>468.76579400000003</v>
          </cell>
          <cell r="D376">
            <v>1.52480417754569</v>
          </cell>
          <cell r="E376">
            <v>468.76579400000003</v>
          </cell>
          <cell r="F376">
            <v>1.52480417754569</v>
          </cell>
          <cell r="G376">
            <v>490.53120100000001</v>
          </cell>
          <cell r="H376">
            <v>3.4565789473684201</v>
          </cell>
          <cell r="I376">
            <v>484.05510700000002</v>
          </cell>
          <cell r="J376">
            <v>3.4513157894736799</v>
          </cell>
          <cell r="K376">
            <v>3430.6909890000002</v>
          </cell>
          <cell r="L376">
            <v>4.1291611185086499</v>
          </cell>
          <cell r="M376">
            <v>407.959476</v>
          </cell>
          <cell r="N376">
            <v>3.0905459387483298</v>
          </cell>
          <cell r="O376">
            <v>520.90348300000005</v>
          </cell>
          <cell r="P376">
            <v>2.2464516129032202</v>
          </cell>
          <cell r="Q376">
            <v>427.04531100000003</v>
          </cell>
          <cell r="R376">
            <v>2.1354838709677399</v>
          </cell>
          <cell r="S376">
            <v>370.274248</v>
          </cell>
          <cell r="T376">
            <v>1.9275956284153</v>
          </cell>
          <cell r="U376">
            <v>330.21689400000002</v>
          </cell>
          <cell r="V376">
            <v>1.8497267759562801</v>
          </cell>
        </row>
        <row r="377">
          <cell r="A377" t="str">
            <v>024202</v>
          </cell>
          <cell r="B377">
            <v>1189</v>
          </cell>
          <cell r="C377">
            <v>48.252687000000002</v>
          </cell>
          <cell r="D377">
            <v>0.53266331658291399</v>
          </cell>
          <cell r="E377">
            <v>48.103512000000002</v>
          </cell>
          <cell r="F377">
            <v>0.53098827470686705</v>
          </cell>
          <cell r="G377">
            <v>81.085656999999998</v>
          </cell>
          <cell r="H377">
            <v>0.61976549413735305</v>
          </cell>
          <cell r="I377">
            <v>44.551251000000001</v>
          </cell>
          <cell r="J377">
            <v>0.60469011725293098</v>
          </cell>
          <cell r="K377">
            <v>3333.5288559999999</v>
          </cell>
          <cell r="L377">
            <v>3.01255230125523</v>
          </cell>
          <cell r="M377">
            <v>236.191283</v>
          </cell>
          <cell r="N377">
            <v>1.8577405857740501</v>
          </cell>
          <cell r="O377">
            <v>2140.973262</v>
          </cell>
          <cell r="P377">
            <v>1.4243697478991499</v>
          </cell>
          <cell r="Q377">
            <v>67.238459000000006</v>
          </cell>
          <cell r="R377">
            <v>0.42016806722688999</v>
          </cell>
          <cell r="S377">
            <v>158.997027</v>
          </cell>
          <cell r="T377">
            <v>1.5964163822525499</v>
          </cell>
          <cell r="U377">
            <v>95.132906000000006</v>
          </cell>
          <cell r="V377">
            <v>1.1834470989760999</v>
          </cell>
        </row>
        <row r="378">
          <cell r="A378" t="str">
            <v>024203</v>
          </cell>
          <cell r="B378">
            <v>279.55555500000003</v>
          </cell>
          <cell r="C378">
            <v>1.0411010000000001</v>
          </cell>
          <cell r="D378">
            <v>1.53846153846153E-2</v>
          </cell>
          <cell r="E378">
            <v>0.36219899999999999</v>
          </cell>
          <cell r="F378">
            <v>1.0256410256410199E-2</v>
          </cell>
          <cell r="G378">
            <v>60.702744000000003</v>
          </cell>
          <cell r="H378">
            <v>0.54639175257731898</v>
          </cell>
          <cell r="I378">
            <v>60.702744000000003</v>
          </cell>
          <cell r="J378">
            <v>0.54639175257731898</v>
          </cell>
          <cell r="K378">
            <v>2607.7022320000001</v>
          </cell>
          <cell r="L378">
            <v>2.5876288659793798</v>
          </cell>
          <cell r="M378">
            <v>98.663573</v>
          </cell>
          <cell r="N378">
            <v>1.5412371134020599</v>
          </cell>
          <cell r="O378">
            <v>263.15552500000001</v>
          </cell>
          <cell r="P378">
            <v>1.0777202072538801</v>
          </cell>
          <cell r="Q378">
            <v>8.7943859999999994</v>
          </cell>
          <cell r="R378">
            <v>7.2538860103626895E-2</v>
          </cell>
          <cell r="S378">
            <v>287.70377000000002</v>
          </cell>
          <cell r="T378">
            <v>1.90500863557858</v>
          </cell>
          <cell r="U378">
            <v>285.92061000000001</v>
          </cell>
          <cell r="V378">
            <v>1.90328151986183</v>
          </cell>
        </row>
        <row r="379">
          <cell r="A379" t="str">
            <v>024301</v>
          </cell>
          <cell r="B379">
            <v>1815</v>
          </cell>
          <cell r="C379">
            <v>292.49160000000001</v>
          </cell>
          <cell r="D379">
            <v>0.91793478260869499</v>
          </cell>
          <cell r="E379">
            <v>36.415174999999998</v>
          </cell>
          <cell r="F379">
            <v>0.54891304347825998</v>
          </cell>
          <cell r="G379">
            <v>421.05210299999999</v>
          </cell>
          <cell r="H379">
            <v>0.43886462882096</v>
          </cell>
          <cell r="I379">
            <v>31.656755</v>
          </cell>
          <cell r="J379">
            <v>5.7314410480349298E-2</v>
          </cell>
          <cell r="K379">
            <v>72.773416999999995</v>
          </cell>
          <cell r="L379">
            <v>0.34961580680570797</v>
          </cell>
          <cell r="M379">
            <v>65.579244000000003</v>
          </cell>
          <cell r="N379">
            <v>0.341931942919868</v>
          </cell>
          <cell r="O379">
            <v>264.49693000000002</v>
          </cell>
          <cell r="P379">
            <v>1.50693288962839</v>
          </cell>
          <cell r="Q379">
            <v>82.705768000000006</v>
          </cell>
          <cell r="R379">
            <v>1.1669439822518</v>
          </cell>
          <cell r="S379">
            <v>378.99035400000002</v>
          </cell>
          <cell r="T379">
            <v>1.6400449943757001</v>
          </cell>
          <cell r="U379">
            <v>235.605943</v>
          </cell>
          <cell r="V379">
            <v>1.2221597300337399</v>
          </cell>
        </row>
        <row r="380">
          <cell r="A380" t="str">
            <v>024302</v>
          </cell>
          <cell r="B380">
            <v>1554.6</v>
          </cell>
          <cell r="C380">
            <v>142.481086</v>
          </cell>
          <cell r="D380">
            <v>0.122807017543859</v>
          </cell>
          <cell r="E380">
            <v>21.311845000000002</v>
          </cell>
          <cell r="F380">
            <v>9.1478696741854604E-2</v>
          </cell>
          <cell r="G380">
            <v>120.14743300000001</v>
          </cell>
          <cell r="H380">
            <v>0.67946257197696702</v>
          </cell>
          <cell r="I380">
            <v>76.980656999999994</v>
          </cell>
          <cell r="J380">
            <v>0.51759436980166296</v>
          </cell>
          <cell r="K380">
            <v>60.743620999999997</v>
          </cell>
          <cell r="L380">
            <v>1.14533762057877</v>
          </cell>
          <cell r="M380">
            <v>57.625968999999998</v>
          </cell>
          <cell r="N380">
            <v>1.1318327974276501</v>
          </cell>
          <cell r="O380">
            <v>82.009082000000006</v>
          </cell>
          <cell r="P380">
            <v>1.1910039113428901</v>
          </cell>
          <cell r="Q380">
            <v>81.631681</v>
          </cell>
          <cell r="R380">
            <v>1.1897001303780901</v>
          </cell>
          <cell r="S380">
            <v>48.147015000000003</v>
          </cell>
          <cell r="T380">
            <v>0.39016393442622899</v>
          </cell>
          <cell r="U380">
            <v>46.540010000000002</v>
          </cell>
          <cell r="V380">
            <v>0.38229508196721301</v>
          </cell>
        </row>
        <row r="381">
          <cell r="A381" t="str">
            <v>024401</v>
          </cell>
          <cell r="B381">
            <v>684.25</v>
          </cell>
          <cell r="C381">
            <v>33.318604000000001</v>
          </cell>
          <cell r="D381">
            <v>0.162921348314606</v>
          </cell>
          <cell r="E381">
            <v>23.492774000000001</v>
          </cell>
          <cell r="F381">
            <v>0.15870786516853899</v>
          </cell>
          <cell r="G381">
            <v>6.683141</v>
          </cell>
          <cell r="H381">
            <v>3.3707865168539297E-2</v>
          </cell>
          <cell r="I381">
            <v>5.0939670000000001</v>
          </cell>
          <cell r="J381">
            <v>2.8089887640449399E-2</v>
          </cell>
          <cell r="K381">
            <v>142.78605099999999</v>
          </cell>
          <cell r="L381">
            <v>0.582278481012658</v>
          </cell>
          <cell r="M381">
            <v>142.226136</v>
          </cell>
          <cell r="N381">
            <v>0.58087201125175802</v>
          </cell>
          <cell r="O381">
            <v>68.502723000000003</v>
          </cell>
          <cell r="P381">
            <v>1.1169014084507001</v>
          </cell>
          <cell r="Q381">
            <v>68.502723000000003</v>
          </cell>
          <cell r="R381">
            <v>1.1169014084507001</v>
          </cell>
          <cell r="S381">
            <v>19.411234</v>
          </cell>
          <cell r="T381">
            <v>0.103238866396761</v>
          </cell>
          <cell r="U381">
            <v>19.411234</v>
          </cell>
          <cell r="V381">
            <v>0.103238866396761</v>
          </cell>
        </row>
        <row r="382">
          <cell r="A382" t="str">
            <v>024402</v>
          </cell>
          <cell r="B382">
            <v>1391.888888</v>
          </cell>
          <cell r="C382">
            <v>909.11406999999997</v>
          </cell>
          <cell r="D382">
            <v>1.3627187079407801</v>
          </cell>
          <cell r="E382">
            <v>101.30517</v>
          </cell>
          <cell r="F382">
            <v>0.91049798115746905</v>
          </cell>
          <cell r="G382">
            <v>932.92710199999999</v>
          </cell>
          <cell r="H382">
            <v>2.9842249657064399</v>
          </cell>
          <cell r="I382">
            <v>98.168591000000006</v>
          </cell>
          <cell r="J382">
            <v>0.54526748971193395</v>
          </cell>
          <cell r="K382">
            <v>635.68437600000004</v>
          </cell>
          <cell r="L382">
            <v>1.4175365344467601</v>
          </cell>
          <cell r="M382">
            <v>75.406135000000006</v>
          </cell>
          <cell r="N382">
            <v>0.28879610299234498</v>
          </cell>
          <cell r="O382">
            <v>238.86164099999999</v>
          </cell>
          <cell r="P382">
            <v>1.27571428571428</v>
          </cell>
          <cell r="Q382">
            <v>124.88199899999999</v>
          </cell>
          <cell r="R382">
            <v>1.1992857142857101</v>
          </cell>
          <cell r="S382">
            <v>53.440430999999997</v>
          </cell>
          <cell r="T382">
            <v>0.41243523316062097</v>
          </cell>
          <cell r="U382">
            <v>53.440430999999997</v>
          </cell>
          <cell r="V382">
            <v>0.41243523316062097</v>
          </cell>
        </row>
        <row r="383">
          <cell r="A383" t="str">
            <v>024403</v>
          </cell>
          <cell r="B383">
            <v>1409.1111109999999</v>
          </cell>
          <cell r="C383">
            <v>42.759369</v>
          </cell>
          <cell r="D383">
            <v>6.7940552016985095E-2</v>
          </cell>
          <cell r="E383">
            <v>2.0274299999999998</v>
          </cell>
          <cell r="F383">
            <v>1.48619957537154E-2</v>
          </cell>
          <cell r="G383">
            <v>540.86319400000002</v>
          </cell>
          <cell r="H383">
            <v>1.1197732104890099</v>
          </cell>
          <cell r="I383">
            <v>16.864090999999998</v>
          </cell>
          <cell r="J383">
            <v>8.7172218284904304E-2</v>
          </cell>
          <cell r="K383">
            <v>175.31381300000001</v>
          </cell>
          <cell r="L383">
            <v>0.82173295454545403</v>
          </cell>
          <cell r="M383">
            <v>174.496105</v>
          </cell>
          <cell r="N383">
            <v>0.8203125</v>
          </cell>
          <cell r="O383">
            <v>221.337411</v>
          </cell>
          <cell r="P383">
            <v>2.2325746799431001</v>
          </cell>
          <cell r="Q383">
            <v>221.337411</v>
          </cell>
          <cell r="R383">
            <v>2.2325746799431001</v>
          </cell>
          <cell r="S383">
            <v>302.772355</v>
          </cell>
          <cell r="T383">
            <v>1.0078236130867699</v>
          </cell>
          <cell r="U383">
            <v>0.63103299999999996</v>
          </cell>
          <cell r="V383">
            <v>9.2460881934566096E-3</v>
          </cell>
        </row>
        <row r="384">
          <cell r="A384" t="str">
            <v>024404</v>
          </cell>
          <cell r="B384">
            <v>938.4</v>
          </cell>
          <cell r="C384">
            <v>634.97746800000004</v>
          </cell>
          <cell r="D384">
            <v>0.65200000000000002</v>
          </cell>
          <cell r="E384">
            <v>35.414752999999997</v>
          </cell>
          <cell r="F384">
            <v>0.26600000000000001</v>
          </cell>
          <cell r="G384">
            <v>20.653708999999999</v>
          </cell>
          <cell r="H384">
            <v>0.14866310160427801</v>
          </cell>
          <cell r="I384">
            <v>19.519459999999999</v>
          </cell>
          <cell r="J384">
            <v>0.14438502673796699</v>
          </cell>
          <cell r="K384">
            <v>273.54160400000001</v>
          </cell>
          <cell r="L384">
            <v>0.35401069518716499</v>
          </cell>
          <cell r="M384">
            <v>10.030891</v>
          </cell>
          <cell r="N384">
            <v>0.152941176470588</v>
          </cell>
          <cell r="O384">
            <v>81.662124000000006</v>
          </cell>
          <cell r="P384">
            <v>1.2253218884120101</v>
          </cell>
          <cell r="Q384">
            <v>77.813501000000002</v>
          </cell>
          <cell r="R384">
            <v>1.2017167381974201</v>
          </cell>
          <cell r="S384">
            <v>26.453309000000001</v>
          </cell>
          <cell r="T384">
            <v>0.13165467625899199</v>
          </cell>
          <cell r="U384">
            <v>11.368608999999999</v>
          </cell>
          <cell r="V384">
            <v>0.121582733812949</v>
          </cell>
        </row>
        <row r="385">
          <cell r="A385" t="str">
            <v>024501</v>
          </cell>
          <cell r="B385">
            <v>1145.1111109999999</v>
          </cell>
          <cell r="C385">
            <v>33.155194999999999</v>
          </cell>
          <cell r="D385">
            <v>0.185217391304347</v>
          </cell>
          <cell r="E385">
            <v>33.155194999999999</v>
          </cell>
          <cell r="F385">
            <v>0.185217391304347</v>
          </cell>
          <cell r="G385">
            <v>137.86598699999999</v>
          </cell>
          <cell r="H385">
            <v>0.37456747404844198</v>
          </cell>
          <cell r="I385">
            <v>83.426111000000006</v>
          </cell>
          <cell r="J385">
            <v>0.31574394463667799</v>
          </cell>
          <cell r="K385">
            <v>136.395161</v>
          </cell>
          <cell r="L385">
            <v>0.356152512998266</v>
          </cell>
          <cell r="M385">
            <v>85.049841000000001</v>
          </cell>
          <cell r="N385">
            <v>0.28942807625649902</v>
          </cell>
          <cell r="O385">
            <v>80.742383000000004</v>
          </cell>
          <cell r="P385">
            <v>0.33479789103690599</v>
          </cell>
          <cell r="Q385">
            <v>12.08963</v>
          </cell>
          <cell r="R385">
            <v>0.109841827768014</v>
          </cell>
          <cell r="S385">
            <v>441.91140000000001</v>
          </cell>
          <cell r="T385">
            <v>2.0238938053097302</v>
          </cell>
          <cell r="U385">
            <v>436.44314100000003</v>
          </cell>
          <cell r="V385">
            <v>2.0221238938053001</v>
          </cell>
        </row>
        <row r="386">
          <cell r="A386" t="str">
            <v>024502</v>
          </cell>
          <cell r="B386">
            <v>1385</v>
          </cell>
          <cell r="C386">
            <v>22.067404</v>
          </cell>
          <cell r="D386">
            <v>8.5920577617328506E-2</v>
          </cell>
          <cell r="E386">
            <v>22.067404</v>
          </cell>
          <cell r="F386">
            <v>8.5920577617328506E-2</v>
          </cell>
          <cell r="G386">
            <v>187.335206</v>
          </cell>
          <cell r="H386">
            <v>0.95881502890173398</v>
          </cell>
          <cell r="I386">
            <v>112.802001</v>
          </cell>
          <cell r="J386">
            <v>0.93858381502890098</v>
          </cell>
          <cell r="K386">
            <v>284.88282800000002</v>
          </cell>
          <cell r="L386">
            <v>1.02018745493871</v>
          </cell>
          <cell r="M386">
            <v>186.50772599999999</v>
          </cell>
          <cell r="N386">
            <v>0.55731795241528403</v>
          </cell>
          <cell r="O386">
            <v>112.50956100000001</v>
          </cell>
          <cell r="P386">
            <v>0.62933526011560603</v>
          </cell>
          <cell r="Q386">
            <v>29.128793000000002</v>
          </cell>
          <cell r="R386">
            <v>0.37427745664739798</v>
          </cell>
          <cell r="S386">
            <v>465.18835000000001</v>
          </cell>
          <cell r="T386">
            <v>0.43537906137184101</v>
          </cell>
          <cell r="U386">
            <v>47.037460000000003</v>
          </cell>
          <cell r="V386">
            <v>0.15379061371841099</v>
          </cell>
        </row>
        <row r="387">
          <cell r="A387" t="str">
            <v>024503</v>
          </cell>
          <cell r="B387">
            <v>886.4</v>
          </cell>
          <cell r="C387">
            <v>269.01574199999999</v>
          </cell>
          <cell r="D387">
            <v>1.27689243027888</v>
          </cell>
          <cell r="E387">
            <v>112.306757</v>
          </cell>
          <cell r="F387">
            <v>1.0219123505976</v>
          </cell>
          <cell r="G387">
            <v>429.84793300000001</v>
          </cell>
          <cell r="H387">
            <v>2.0405268490374802</v>
          </cell>
          <cell r="I387">
            <v>308.553496</v>
          </cell>
          <cell r="J387">
            <v>1.8611955420466</v>
          </cell>
          <cell r="K387">
            <v>169.13630000000001</v>
          </cell>
          <cell r="L387">
            <v>0.42828077314343799</v>
          </cell>
          <cell r="M387">
            <v>165.26264800000001</v>
          </cell>
          <cell r="N387">
            <v>0.42217700915564499</v>
          </cell>
          <cell r="O387">
            <v>1145.2564339999999</v>
          </cell>
          <cell r="P387">
            <v>0.76098059244126603</v>
          </cell>
          <cell r="Q387">
            <v>40.683025999999998</v>
          </cell>
          <cell r="R387">
            <v>0.28294177732379899</v>
          </cell>
          <cell r="S387">
            <v>389.04505499999999</v>
          </cell>
          <cell r="T387">
            <v>0.60754332313965298</v>
          </cell>
          <cell r="U387">
            <v>232.18479400000001</v>
          </cell>
          <cell r="V387">
            <v>0.48419979612640102</v>
          </cell>
        </row>
        <row r="388">
          <cell r="A388" t="str">
            <v>024701</v>
          </cell>
          <cell r="B388">
            <v>669</v>
          </cell>
          <cell r="C388">
            <v>376.10833600000001</v>
          </cell>
          <cell r="D388">
            <v>0.94247787610619405</v>
          </cell>
          <cell r="E388">
            <v>247.91517200000001</v>
          </cell>
          <cell r="F388">
            <v>0.81858407079646001</v>
          </cell>
          <cell r="G388">
            <v>2256.6894379999999</v>
          </cell>
          <cell r="H388">
            <v>3.2340740740740701</v>
          </cell>
          <cell r="I388">
            <v>912.39579000000003</v>
          </cell>
          <cell r="J388">
            <v>2.2311111111111099</v>
          </cell>
          <cell r="K388">
            <v>695.099874</v>
          </cell>
          <cell r="L388">
            <v>1.50223546944858</v>
          </cell>
          <cell r="M388">
            <v>106.12141</v>
          </cell>
          <cell r="N388">
            <v>0.751117734724292</v>
          </cell>
          <cell r="O388">
            <v>470.54240499999997</v>
          </cell>
          <cell r="P388">
            <v>1.2436090225563901</v>
          </cell>
          <cell r="Q388">
            <v>154.758095</v>
          </cell>
          <cell r="R388">
            <v>0.80451127819548796</v>
          </cell>
          <cell r="S388">
            <v>1017.330868</v>
          </cell>
          <cell r="T388">
            <v>1.97865853658536</v>
          </cell>
          <cell r="U388">
            <v>229.09751</v>
          </cell>
          <cell r="V388">
            <v>1.53963414634146</v>
          </cell>
        </row>
        <row r="389">
          <cell r="A389" t="str">
            <v>024702</v>
          </cell>
          <cell r="B389">
            <v>167</v>
          </cell>
          <cell r="C389">
            <v>158.169701</v>
          </cell>
          <cell r="D389">
            <v>0.351190476190476</v>
          </cell>
          <cell r="E389">
            <v>105.188694</v>
          </cell>
          <cell r="F389">
            <v>0.29761904761904701</v>
          </cell>
          <cell r="G389">
            <v>704.56166700000006</v>
          </cell>
          <cell r="H389">
            <v>0.629411764705882</v>
          </cell>
          <cell r="I389">
            <v>40.904983000000001</v>
          </cell>
          <cell r="J389">
            <v>0.19411764705882301</v>
          </cell>
          <cell r="K389">
            <v>1179.4476460000001</v>
          </cell>
          <cell r="L389">
            <v>3.7588235294117598</v>
          </cell>
          <cell r="M389">
            <v>417.76774499999999</v>
          </cell>
          <cell r="N389">
            <v>2.8705882352941101</v>
          </cell>
          <cell r="O389">
            <v>47.679189999999998</v>
          </cell>
          <cell r="P389">
            <v>0.24852071005917101</v>
          </cell>
          <cell r="Q389">
            <v>47.328105999999998</v>
          </cell>
          <cell r="R389">
            <v>0.201183431952662</v>
          </cell>
          <cell r="S389">
            <v>346.46772099999998</v>
          </cell>
          <cell r="T389">
            <v>1.65189873417721</v>
          </cell>
          <cell r="U389">
            <v>331.79092800000001</v>
          </cell>
          <cell r="V389">
            <v>1.64556962025316</v>
          </cell>
        </row>
        <row r="390">
          <cell r="A390" t="str">
            <v>024801</v>
          </cell>
          <cell r="B390">
            <v>2648.6</v>
          </cell>
          <cell r="C390">
            <v>351.93727899999999</v>
          </cell>
          <cell r="D390">
            <v>1.7304964539006999</v>
          </cell>
          <cell r="E390">
            <v>198.26758000000001</v>
          </cell>
          <cell r="F390">
            <v>1.59462486002239</v>
          </cell>
          <cell r="G390">
            <v>252.179247</v>
          </cell>
          <cell r="H390">
            <v>2.4647676161918999</v>
          </cell>
          <cell r="I390">
            <v>248.006371</v>
          </cell>
          <cell r="J390">
            <v>2.4598950524737599</v>
          </cell>
          <cell r="K390">
            <v>1033.006924</v>
          </cell>
          <cell r="L390">
            <v>2.2043658261196799</v>
          </cell>
          <cell r="M390">
            <v>245.80330499999999</v>
          </cell>
          <cell r="N390">
            <v>1.74783590515619</v>
          </cell>
          <cell r="O390">
            <v>204.40474800000001</v>
          </cell>
          <cell r="P390">
            <v>1.4052016584998099</v>
          </cell>
          <cell r="Q390">
            <v>156.22872799999999</v>
          </cell>
          <cell r="R390">
            <v>1.3565774594798301</v>
          </cell>
          <cell r="S390">
            <v>1377.497447</v>
          </cell>
          <cell r="T390">
            <v>2.6403712296983701</v>
          </cell>
          <cell r="U390">
            <v>322.71222599999999</v>
          </cell>
          <cell r="V390">
            <v>2.1879350348027802</v>
          </cell>
        </row>
        <row r="391">
          <cell r="A391" t="str">
            <v>024802</v>
          </cell>
          <cell r="B391">
            <v>1382.8</v>
          </cell>
          <cell r="C391">
            <v>729.98685399999999</v>
          </cell>
          <cell r="D391">
            <v>1.7865810135617399</v>
          </cell>
          <cell r="E391">
            <v>269.93642699999998</v>
          </cell>
          <cell r="F391">
            <v>1.4618129907209101</v>
          </cell>
          <cell r="G391">
            <v>607.11226599999998</v>
          </cell>
          <cell r="H391">
            <v>1.67385057471264</v>
          </cell>
          <cell r="I391">
            <v>432.55878100000001</v>
          </cell>
          <cell r="J391">
            <v>1.47485632183908</v>
          </cell>
          <cell r="K391">
            <v>649.18068300000004</v>
          </cell>
          <cell r="L391">
            <v>2.37553956834532</v>
          </cell>
          <cell r="M391">
            <v>362.14371699999998</v>
          </cell>
          <cell r="N391">
            <v>2.2597122302158201</v>
          </cell>
          <cell r="O391">
            <v>675.61018899999999</v>
          </cell>
          <cell r="P391">
            <v>2.9471780028943502</v>
          </cell>
          <cell r="Q391">
            <v>491.48886800000002</v>
          </cell>
          <cell r="R391">
            <v>2.6808972503617898</v>
          </cell>
          <cell r="S391">
            <v>755.95803000000001</v>
          </cell>
          <cell r="T391">
            <v>4.3439584877687096</v>
          </cell>
          <cell r="U391">
            <v>594.46650599999998</v>
          </cell>
          <cell r="V391">
            <v>4.1267605633802802</v>
          </cell>
        </row>
        <row r="392">
          <cell r="A392" t="str">
            <v>024901</v>
          </cell>
          <cell r="B392">
            <v>2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271.25</v>
          </cell>
          <cell r="P392">
            <v>2</v>
          </cell>
          <cell r="Q392">
            <v>69.25</v>
          </cell>
          <cell r="R392">
            <v>1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</row>
        <row r="393">
          <cell r="A393" t="str">
            <v>024902</v>
          </cell>
          <cell r="B393">
            <v>565</v>
          </cell>
          <cell r="C393">
            <v>482.89469300000002</v>
          </cell>
          <cell r="D393">
            <v>2.6131260794473201</v>
          </cell>
          <cell r="E393">
            <v>468.03232100000002</v>
          </cell>
          <cell r="F393">
            <v>2.5803108808290101</v>
          </cell>
          <cell r="G393">
            <v>2602.0085690000001</v>
          </cell>
          <cell r="H393">
            <v>2.9463667820069199</v>
          </cell>
          <cell r="I393">
            <v>207.26111499999999</v>
          </cell>
          <cell r="J393">
            <v>1.0674740484428999</v>
          </cell>
          <cell r="K393">
            <v>1173.8730619999999</v>
          </cell>
          <cell r="L393">
            <v>1.80633802816901</v>
          </cell>
          <cell r="M393">
            <v>166.096889</v>
          </cell>
          <cell r="N393">
            <v>1.0528169014084501</v>
          </cell>
          <cell r="O393">
            <v>1994.1977690000001</v>
          </cell>
          <cell r="P393">
            <v>7.6383363471971002</v>
          </cell>
          <cell r="Q393">
            <v>618.04318799999999</v>
          </cell>
          <cell r="R393">
            <v>5.4792043399638297</v>
          </cell>
          <cell r="S393">
            <v>1909.721571</v>
          </cell>
          <cell r="T393">
            <v>3.8665447897623402</v>
          </cell>
          <cell r="U393">
            <v>367.34433200000001</v>
          </cell>
          <cell r="V393">
            <v>2.0365630712979801</v>
          </cell>
        </row>
        <row r="394">
          <cell r="A394" t="str">
            <v>025102</v>
          </cell>
          <cell r="B394">
            <v>1682.8</v>
          </cell>
          <cell r="C394">
            <v>1845.333971</v>
          </cell>
          <cell r="D394">
            <v>3.0637135922329999</v>
          </cell>
          <cell r="E394">
            <v>280.84799700000002</v>
          </cell>
          <cell r="F394">
            <v>2.0946601941747498</v>
          </cell>
          <cell r="G394">
            <v>147.591759</v>
          </cell>
          <cell r="H394">
            <v>1.36534954407294</v>
          </cell>
          <cell r="I394">
            <v>146.379347</v>
          </cell>
          <cell r="J394">
            <v>1.36291793313069</v>
          </cell>
          <cell r="K394">
            <v>62.032632</v>
          </cell>
          <cell r="L394">
            <v>0.31341463414634102</v>
          </cell>
          <cell r="M394">
            <v>49.104441000000001</v>
          </cell>
          <cell r="N394">
            <v>0.30853658536585299</v>
          </cell>
          <cell r="O394">
            <v>239.86008899999999</v>
          </cell>
          <cell r="P394">
            <v>1.50641417226634</v>
          </cell>
          <cell r="Q394">
            <v>197.34665000000001</v>
          </cell>
          <cell r="R394">
            <v>1.4685400122174701</v>
          </cell>
          <cell r="S394">
            <v>2154.896538</v>
          </cell>
          <cell r="T394">
            <v>3.13937093275488</v>
          </cell>
          <cell r="U394">
            <v>296.08139</v>
          </cell>
          <cell r="V394">
            <v>1.1328633405639901</v>
          </cell>
        </row>
        <row r="395">
          <cell r="A395" t="str">
            <v>025103</v>
          </cell>
          <cell r="B395">
            <v>1903.2</v>
          </cell>
          <cell r="C395">
            <v>1749.256181</v>
          </cell>
          <cell r="D395">
            <v>2.9270341207349002</v>
          </cell>
          <cell r="E395">
            <v>189.82460800000001</v>
          </cell>
          <cell r="F395">
            <v>0.90393700787401499</v>
          </cell>
          <cell r="G395">
            <v>199.72332499999999</v>
          </cell>
          <cell r="H395">
            <v>1.3415529905561301</v>
          </cell>
          <cell r="I395">
            <v>149.43599499999999</v>
          </cell>
          <cell r="J395">
            <v>1.2324239244491</v>
          </cell>
          <cell r="K395">
            <v>260.727191</v>
          </cell>
          <cell r="L395">
            <v>0.290813648293963</v>
          </cell>
          <cell r="M395">
            <v>26.821705999999999</v>
          </cell>
          <cell r="N395">
            <v>0.20682414698162699</v>
          </cell>
          <cell r="O395">
            <v>87.766717999999997</v>
          </cell>
          <cell r="P395">
            <v>0.93638275499474199</v>
          </cell>
          <cell r="Q395">
            <v>85.108473000000004</v>
          </cell>
          <cell r="R395">
            <v>0.92797055730809597</v>
          </cell>
          <cell r="S395">
            <v>334.83905700000003</v>
          </cell>
          <cell r="T395">
            <v>0.74552160168598502</v>
          </cell>
          <cell r="U395">
            <v>153.17572799999999</v>
          </cell>
          <cell r="V395">
            <v>0.53108535300316095</v>
          </cell>
        </row>
        <row r="396">
          <cell r="A396" t="str">
            <v>025104</v>
          </cell>
          <cell r="B396">
            <v>616.33333300000004</v>
          </cell>
          <cell r="C396">
            <v>82.950125</v>
          </cell>
          <cell r="D396">
            <v>0.14309484193011601</v>
          </cell>
          <cell r="E396">
            <v>35.072220000000002</v>
          </cell>
          <cell r="F396">
            <v>0.114808652246256</v>
          </cell>
          <cell r="G396">
            <v>110.404456</v>
          </cell>
          <cell r="H396">
            <v>0.40199335548172699</v>
          </cell>
          <cell r="I396">
            <v>7.8420189999999996</v>
          </cell>
          <cell r="J396">
            <v>6.8106312292358806E-2</v>
          </cell>
          <cell r="K396">
            <v>105.857848</v>
          </cell>
          <cell r="L396">
            <v>0.52412645590682105</v>
          </cell>
          <cell r="M396">
            <v>105.857848</v>
          </cell>
          <cell r="N396">
            <v>0.52412645590682105</v>
          </cell>
          <cell r="O396">
            <v>9.2372700000000005</v>
          </cell>
          <cell r="P396">
            <v>5.9900166389351001E-2</v>
          </cell>
          <cell r="Q396">
            <v>4.1282019999999999</v>
          </cell>
          <cell r="R396">
            <v>4.8252911813643898E-2</v>
          </cell>
          <cell r="S396">
            <v>37.237394000000002</v>
          </cell>
          <cell r="T396">
            <v>0.136023916292974</v>
          </cell>
          <cell r="U396">
            <v>28.879695999999999</v>
          </cell>
          <cell r="V396">
            <v>0.13153961136023901</v>
          </cell>
        </row>
        <row r="397">
          <cell r="A397" t="str">
            <v>025201</v>
          </cell>
          <cell r="B397">
            <v>1408.6666660000001</v>
          </cell>
          <cell r="C397">
            <v>1602.757662</v>
          </cell>
          <cell r="D397">
            <v>7.3333333333333304</v>
          </cell>
          <cell r="E397">
            <v>1602.757662</v>
          </cell>
          <cell r="F397">
            <v>7.3333333333333304</v>
          </cell>
          <cell r="G397">
            <v>416.50471399999998</v>
          </cell>
          <cell r="H397">
            <v>1.0692410119840201</v>
          </cell>
          <cell r="I397">
            <v>185.60718700000001</v>
          </cell>
          <cell r="J397">
            <v>0.88814913448735</v>
          </cell>
          <cell r="K397">
            <v>2256.4323300000001</v>
          </cell>
          <cell r="L397">
            <v>2.0975935828877001</v>
          </cell>
          <cell r="M397">
            <v>121.58047000000001</v>
          </cell>
          <cell r="N397">
            <v>0.44719251336898302</v>
          </cell>
          <cell r="O397">
            <v>1627.8802780000001</v>
          </cell>
          <cell r="P397">
            <v>2.3174496644295299</v>
          </cell>
          <cell r="Q397">
            <v>272.84179999999998</v>
          </cell>
          <cell r="R397">
            <v>0.78456375838926096</v>
          </cell>
          <cell r="S397">
            <v>368.70393000000001</v>
          </cell>
          <cell r="T397">
            <v>1.52488070892978</v>
          </cell>
          <cell r="U397">
            <v>242.12722099999999</v>
          </cell>
          <cell r="V397">
            <v>1.33605998636673</v>
          </cell>
        </row>
        <row r="398">
          <cell r="A398" t="str">
            <v>025202</v>
          </cell>
          <cell r="B398">
            <v>1216.6666660000001</v>
          </cell>
          <cell r="C398">
            <v>42.924608999999997</v>
          </cell>
          <cell r="D398">
            <v>0.39250814332247502</v>
          </cell>
          <cell r="E398">
            <v>42.924608999999997</v>
          </cell>
          <cell r="F398">
            <v>0.39250814332247502</v>
          </cell>
          <cell r="G398">
            <v>161.795253</v>
          </cell>
          <cell r="H398">
            <v>0.65959183673469302</v>
          </cell>
          <cell r="I398">
            <v>85.359110000000001</v>
          </cell>
          <cell r="J398">
            <v>0.29224489795918301</v>
          </cell>
          <cell r="K398">
            <v>1045.4941710000001</v>
          </cell>
          <cell r="L398">
            <v>0.662571662571662</v>
          </cell>
          <cell r="M398">
            <v>59.767622000000003</v>
          </cell>
          <cell r="N398">
            <v>0.35954135954135902</v>
          </cell>
          <cell r="O398">
            <v>1018.246784</v>
          </cell>
          <cell r="P398">
            <v>3.27504105090311</v>
          </cell>
          <cell r="Q398">
            <v>508.77714800000001</v>
          </cell>
          <cell r="R398">
            <v>2.8653530377668299</v>
          </cell>
          <cell r="S398">
            <v>156.24933100000001</v>
          </cell>
          <cell r="T398">
            <v>1.8279030910609799</v>
          </cell>
          <cell r="U398">
            <v>111.209468</v>
          </cell>
          <cell r="V398">
            <v>1.7343358395989901</v>
          </cell>
        </row>
        <row r="399">
          <cell r="A399" t="str">
            <v>025203</v>
          </cell>
          <cell r="B399">
            <v>558.22222199999999</v>
          </cell>
          <cell r="C399">
            <v>60.566771000000003</v>
          </cell>
          <cell r="D399">
            <v>0.35304659498207802</v>
          </cell>
          <cell r="E399">
            <v>60.566771000000003</v>
          </cell>
          <cell r="F399">
            <v>0.35304659498207802</v>
          </cell>
          <cell r="G399">
            <v>249.364699</v>
          </cell>
          <cell r="H399">
            <v>1.6357142857142799</v>
          </cell>
          <cell r="I399">
            <v>220.790672</v>
          </cell>
          <cell r="J399">
            <v>1.55535714285714</v>
          </cell>
          <cell r="K399">
            <v>414.83095100000003</v>
          </cell>
          <cell r="L399">
            <v>0.57857142857142796</v>
          </cell>
          <cell r="M399">
            <v>69.590922000000006</v>
          </cell>
          <cell r="N399">
            <v>0.433928571428571</v>
          </cell>
          <cell r="O399">
            <v>287.94588499999998</v>
          </cell>
          <cell r="P399">
            <v>0.89729729729729701</v>
          </cell>
          <cell r="Q399">
            <v>31.628288000000001</v>
          </cell>
          <cell r="R399">
            <v>0.30810810810810801</v>
          </cell>
          <cell r="S399">
            <v>189.385065</v>
          </cell>
          <cell r="T399">
            <v>0.90143369175627197</v>
          </cell>
          <cell r="U399">
            <v>42.095309999999998</v>
          </cell>
          <cell r="V399">
            <v>0.372759856630824</v>
          </cell>
        </row>
        <row r="400">
          <cell r="A400" t="str">
            <v>025301</v>
          </cell>
          <cell r="B400">
            <v>1196.4000000000001</v>
          </cell>
          <cell r="C400">
            <v>206.648639</v>
          </cell>
          <cell r="D400">
            <v>0.74278647980214296</v>
          </cell>
          <cell r="E400">
            <v>118.23896999999999</v>
          </cell>
          <cell r="F400">
            <v>0.55399835119538299</v>
          </cell>
          <cell r="G400">
            <v>770.57098399999995</v>
          </cell>
          <cell r="H400">
            <v>2.1084437086092702</v>
          </cell>
          <cell r="I400">
            <v>396.22744499999999</v>
          </cell>
          <cell r="J400">
            <v>1.59188741721854</v>
          </cell>
          <cell r="K400">
            <v>296.01607200000001</v>
          </cell>
          <cell r="L400">
            <v>0.46064623032311502</v>
          </cell>
          <cell r="M400">
            <v>53.578997000000001</v>
          </cell>
          <cell r="N400">
            <v>0.29494614747307302</v>
          </cell>
          <cell r="O400">
            <v>105.46742399999999</v>
          </cell>
          <cell r="P400">
            <v>0.46898263027295201</v>
          </cell>
          <cell r="Q400">
            <v>60.493671999999997</v>
          </cell>
          <cell r="R400">
            <v>0.42100909842845302</v>
          </cell>
          <cell r="S400">
            <v>412.65700099999998</v>
          </cell>
          <cell r="T400">
            <v>0.59825327510917004</v>
          </cell>
          <cell r="U400">
            <v>71.205399999999997</v>
          </cell>
          <cell r="V400">
            <v>0.424454148471615</v>
          </cell>
        </row>
        <row r="401">
          <cell r="A401" t="str">
            <v>025302</v>
          </cell>
          <cell r="B401">
            <v>1308.4000000000001</v>
          </cell>
          <cell r="C401">
            <v>475.02774399999998</v>
          </cell>
          <cell r="D401">
            <v>2.1886363636363599</v>
          </cell>
          <cell r="E401">
            <v>265.18613099999999</v>
          </cell>
          <cell r="F401">
            <v>1.64393939393939</v>
          </cell>
          <cell r="G401">
            <v>657.08252300000004</v>
          </cell>
          <cell r="H401">
            <v>1.57414448669201</v>
          </cell>
          <cell r="I401">
            <v>566.69242299999996</v>
          </cell>
          <cell r="J401">
            <v>1.45323193916349</v>
          </cell>
          <cell r="K401">
            <v>584.75002400000005</v>
          </cell>
          <cell r="L401">
            <v>2.0700152207001499</v>
          </cell>
          <cell r="M401">
            <v>160.31353300000001</v>
          </cell>
          <cell r="N401">
            <v>1.8211567732115601</v>
          </cell>
          <cell r="O401">
            <v>291.33552500000002</v>
          </cell>
          <cell r="P401">
            <v>1.3353612167300299</v>
          </cell>
          <cell r="Q401">
            <v>35.105651999999999</v>
          </cell>
          <cell r="R401">
            <v>0.181749049429657</v>
          </cell>
          <cell r="S401">
            <v>1102.763731</v>
          </cell>
          <cell r="T401">
            <v>2.5391236306729201</v>
          </cell>
          <cell r="U401">
            <v>356.77081299999998</v>
          </cell>
          <cell r="V401">
            <v>1.74021909233176</v>
          </cell>
        </row>
        <row r="402">
          <cell r="A402" t="str">
            <v>025401</v>
          </cell>
          <cell r="B402">
            <v>540.77777700000001</v>
          </cell>
          <cell r="C402">
            <v>154.12961300000001</v>
          </cell>
          <cell r="D402">
            <v>0.74771480804387502</v>
          </cell>
          <cell r="E402">
            <v>154.12961300000001</v>
          </cell>
          <cell r="F402">
            <v>0.74771480804387502</v>
          </cell>
          <cell r="G402">
            <v>114.15048400000001</v>
          </cell>
          <cell r="H402">
            <v>0.449355432780847</v>
          </cell>
          <cell r="I402">
            <v>103.611205</v>
          </cell>
          <cell r="J402">
            <v>0.44014732965009201</v>
          </cell>
          <cell r="K402">
            <v>2613.0612120000001</v>
          </cell>
          <cell r="L402">
            <v>3.1090573012939</v>
          </cell>
          <cell r="M402">
            <v>400.73259300000001</v>
          </cell>
          <cell r="N402">
            <v>1.3807763401108999</v>
          </cell>
          <cell r="O402">
            <v>467.99699900000002</v>
          </cell>
          <cell r="P402">
            <v>1.4712430426716101</v>
          </cell>
          <cell r="Q402">
            <v>433.425633</v>
          </cell>
          <cell r="R402">
            <v>1.3395176252319101</v>
          </cell>
          <cell r="S402">
            <v>944.39944000000003</v>
          </cell>
          <cell r="T402">
            <v>3.0595903165735501</v>
          </cell>
          <cell r="U402">
            <v>277.31852800000001</v>
          </cell>
          <cell r="V402">
            <v>1.21415270018621</v>
          </cell>
        </row>
        <row r="403">
          <cell r="A403" t="str">
            <v>025402</v>
          </cell>
          <cell r="B403">
            <v>483.4</v>
          </cell>
          <cell r="C403">
            <v>156.692947</v>
          </cell>
          <cell r="D403">
            <v>0.63333333333333297</v>
          </cell>
          <cell r="E403">
            <v>125.18674799999999</v>
          </cell>
          <cell r="F403">
            <v>0.50833333333333297</v>
          </cell>
          <cell r="G403">
            <v>83.36103</v>
          </cell>
          <cell r="H403">
            <v>0.26730769230769202</v>
          </cell>
          <cell r="I403">
            <v>58.288837000000001</v>
          </cell>
          <cell r="J403">
            <v>0.238461538461538</v>
          </cell>
          <cell r="K403">
            <v>705.02511100000004</v>
          </cell>
          <cell r="L403">
            <v>1.27552986512524</v>
          </cell>
          <cell r="M403">
            <v>387.76262000000003</v>
          </cell>
          <cell r="N403">
            <v>1.1849710982658901</v>
          </cell>
          <cell r="O403">
            <v>542.04827999999998</v>
          </cell>
          <cell r="P403">
            <v>1.4221789883268401</v>
          </cell>
          <cell r="Q403">
            <v>439.05424699999998</v>
          </cell>
          <cell r="R403">
            <v>1.284046692607</v>
          </cell>
          <cell r="S403">
            <v>1325.470998</v>
          </cell>
          <cell r="T403">
            <v>3.2321428571428501</v>
          </cell>
          <cell r="U403">
            <v>349.88392800000003</v>
          </cell>
          <cell r="V403">
            <v>1.7817460317460301</v>
          </cell>
        </row>
        <row r="404">
          <cell r="A404" t="str">
            <v>025403</v>
          </cell>
          <cell r="B404">
            <v>1175.5999999999999</v>
          </cell>
          <cell r="C404">
            <v>400.39580100000001</v>
          </cell>
          <cell r="D404">
            <v>1.3252032520325201</v>
          </cell>
          <cell r="E404">
            <v>207.17355499999999</v>
          </cell>
          <cell r="F404">
            <v>1.20325203252032</v>
          </cell>
          <cell r="G404">
            <v>317.514365</v>
          </cell>
          <cell r="H404">
            <v>1.98869630746043</v>
          </cell>
          <cell r="I404">
            <v>217.47580300000001</v>
          </cell>
          <cell r="J404">
            <v>1.79050489826676</v>
          </cell>
          <cell r="K404">
            <v>1560.925876</v>
          </cell>
          <cell r="L404">
            <v>3.3005299015896998</v>
          </cell>
          <cell r="M404">
            <v>532.75749399999995</v>
          </cell>
          <cell r="N404">
            <v>2.6252838758516202</v>
          </cell>
          <cell r="O404">
            <v>562.47157800000002</v>
          </cell>
          <cell r="P404">
            <v>1.9093678598629</v>
          </cell>
          <cell r="Q404">
            <v>445.05337600000001</v>
          </cell>
          <cell r="R404">
            <v>1.66945925361766</v>
          </cell>
          <cell r="S404">
            <v>1158.3171139999999</v>
          </cell>
          <cell r="T404">
            <v>3.4370199692780301</v>
          </cell>
          <cell r="U404">
            <v>357.46713999999997</v>
          </cell>
          <cell r="V404">
            <v>1.76420890937019</v>
          </cell>
        </row>
        <row r="405">
          <cell r="A405" t="str">
            <v>025501</v>
          </cell>
          <cell r="B405">
            <v>639</v>
          </cell>
          <cell r="C405">
            <v>375.02685500000001</v>
          </cell>
          <cell r="D405">
            <v>1.5407066052227301</v>
          </cell>
          <cell r="E405">
            <v>335.54647599999998</v>
          </cell>
          <cell r="F405">
            <v>1.50230414746543</v>
          </cell>
          <cell r="G405">
            <v>654.37491599999998</v>
          </cell>
          <cell r="H405">
            <v>2.1081916537867</v>
          </cell>
          <cell r="I405">
            <v>239.961646</v>
          </cell>
          <cell r="J405">
            <v>1.6939721792890201</v>
          </cell>
          <cell r="K405">
            <v>3123.4668980000001</v>
          </cell>
          <cell r="L405">
            <v>2.3457364341085198</v>
          </cell>
          <cell r="M405">
            <v>597.73540000000003</v>
          </cell>
          <cell r="N405">
            <v>1.50232558139534</v>
          </cell>
          <cell r="O405">
            <v>372.37335400000001</v>
          </cell>
          <cell r="P405">
            <v>1.8151658767772501</v>
          </cell>
          <cell r="Q405">
            <v>324.00168500000001</v>
          </cell>
          <cell r="R405">
            <v>1.53396524486571</v>
          </cell>
          <cell r="S405">
            <v>810.05355299999997</v>
          </cell>
          <cell r="T405">
            <v>3.7059773828756</v>
          </cell>
          <cell r="U405">
            <v>512.51952000000006</v>
          </cell>
          <cell r="V405">
            <v>3.5153473344103299</v>
          </cell>
        </row>
        <row r="406">
          <cell r="A406" t="str">
            <v>025502</v>
          </cell>
          <cell r="B406">
            <v>674.8</v>
          </cell>
          <cell r="C406">
            <v>633.00606600000003</v>
          </cell>
          <cell r="D406">
            <v>3.68029197080291</v>
          </cell>
          <cell r="E406">
            <v>426.47333200000003</v>
          </cell>
          <cell r="F406">
            <v>3.2788321167883199</v>
          </cell>
          <cell r="G406">
            <v>1161.4118209999999</v>
          </cell>
          <cell r="H406">
            <v>1.40353460972017</v>
          </cell>
          <cell r="I406">
            <v>104.789035</v>
          </cell>
          <cell r="J406">
            <v>0.33284241531664199</v>
          </cell>
          <cell r="K406">
            <v>1874.791344</v>
          </cell>
          <cell r="L406">
            <v>1.9896142433234401</v>
          </cell>
          <cell r="M406">
            <v>242.25637900000001</v>
          </cell>
          <cell r="N406">
            <v>1.09050445103857</v>
          </cell>
          <cell r="O406">
            <v>1003.3468360000001</v>
          </cell>
          <cell r="P406">
            <v>1.27055306427503</v>
          </cell>
          <cell r="Q406">
            <v>120.497708</v>
          </cell>
          <cell r="R406">
            <v>0.66517189835575397</v>
          </cell>
          <cell r="S406">
            <v>1907.307495</v>
          </cell>
          <cell r="T406">
            <v>2.6311844077961002</v>
          </cell>
          <cell r="U406">
            <v>352.52603599999998</v>
          </cell>
          <cell r="V406">
            <v>1.8215892053973</v>
          </cell>
        </row>
        <row r="407">
          <cell r="A407" t="str">
            <v>025601</v>
          </cell>
          <cell r="B407">
            <v>1441</v>
          </cell>
          <cell r="C407">
            <v>13.075873</v>
          </cell>
          <cell r="D407">
            <v>0.12215320910973</v>
          </cell>
          <cell r="E407">
            <v>12.173283</v>
          </cell>
          <cell r="F407">
            <v>0.10351966873706001</v>
          </cell>
          <cell r="G407">
            <v>72.330123999999998</v>
          </cell>
          <cell r="H407">
            <v>0.33448993754337197</v>
          </cell>
          <cell r="I407">
            <v>35.127800000000001</v>
          </cell>
          <cell r="J407">
            <v>0.16793893129770901</v>
          </cell>
          <cell r="K407">
            <v>33.110891000000002</v>
          </cell>
          <cell r="L407">
            <v>7.1230982019363703E-2</v>
          </cell>
          <cell r="M407">
            <v>14.851659</v>
          </cell>
          <cell r="N407">
            <v>6.0857538035961202E-2</v>
          </cell>
          <cell r="O407">
            <v>84.599857999999998</v>
          </cell>
          <cell r="P407">
            <v>0.41935483870967699</v>
          </cell>
          <cell r="Q407">
            <v>71.759770000000003</v>
          </cell>
          <cell r="R407">
            <v>0.41514726507713801</v>
          </cell>
          <cell r="S407">
            <v>380.42741799999999</v>
          </cell>
          <cell r="T407">
            <v>0.584892584892584</v>
          </cell>
          <cell r="U407">
            <v>220.32800800000001</v>
          </cell>
          <cell r="V407">
            <v>0.498267498267498</v>
          </cell>
        </row>
        <row r="408">
          <cell r="A408" t="str">
            <v>025603</v>
          </cell>
          <cell r="B408">
            <v>1464</v>
          </cell>
          <cell r="C408">
            <v>221.84473199999999</v>
          </cell>
          <cell r="D408">
            <v>0.96092114445219801</v>
          </cell>
          <cell r="E408">
            <v>188.40901299999999</v>
          </cell>
          <cell r="F408">
            <v>0.85903698534542905</v>
          </cell>
          <cell r="G408">
            <v>114.711173</v>
          </cell>
          <cell r="H408">
            <v>0.65202702702702697</v>
          </cell>
          <cell r="I408">
            <v>97.458016999999998</v>
          </cell>
          <cell r="J408">
            <v>0.57770270270270196</v>
          </cell>
          <cell r="K408">
            <v>129.394283</v>
          </cell>
          <cell r="L408">
            <v>0.33827493261455499</v>
          </cell>
          <cell r="M408">
            <v>59.780895999999998</v>
          </cell>
          <cell r="N408">
            <v>0.214959568733153</v>
          </cell>
          <cell r="O408">
            <v>199.81868</v>
          </cell>
          <cell r="P408">
            <v>0.77117486338797803</v>
          </cell>
          <cell r="Q408">
            <v>136.66018800000001</v>
          </cell>
          <cell r="R408">
            <v>0.71584699453551903</v>
          </cell>
          <cell r="S408">
            <v>615.38817600000004</v>
          </cell>
          <cell r="T408">
            <v>2.0843043180260401</v>
          </cell>
          <cell r="U408">
            <v>174.37113299999999</v>
          </cell>
          <cell r="V408">
            <v>0.63262508567511899</v>
          </cell>
        </row>
        <row r="409">
          <cell r="A409" t="str">
            <v>025701</v>
          </cell>
          <cell r="B409">
            <v>998</v>
          </cell>
          <cell r="C409">
            <v>3873.664996</v>
          </cell>
          <cell r="D409">
            <v>1.8392685274302201</v>
          </cell>
          <cell r="E409">
            <v>398.23914100000002</v>
          </cell>
          <cell r="F409">
            <v>0.72088546679499499</v>
          </cell>
          <cell r="G409">
            <v>493.31448799999998</v>
          </cell>
          <cell r="H409">
            <v>2.2497570456754099</v>
          </cell>
          <cell r="I409">
            <v>341.538521</v>
          </cell>
          <cell r="J409">
            <v>1.93488824101068</v>
          </cell>
          <cell r="K409">
            <v>871.54941199999996</v>
          </cell>
          <cell r="L409">
            <v>3.55633802816901</v>
          </cell>
          <cell r="M409">
            <v>441.36733700000002</v>
          </cell>
          <cell r="N409">
            <v>3.0110663983903398</v>
          </cell>
          <cell r="O409">
            <v>352.83950199999998</v>
          </cell>
          <cell r="P409">
            <v>1.8975659229208901</v>
          </cell>
          <cell r="Q409">
            <v>330.910192</v>
          </cell>
          <cell r="R409">
            <v>1.75760649087221</v>
          </cell>
          <cell r="S409">
            <v>720.23949000000005</v>
          </cell>
          <cell r="T409">
            <v>2.0180467091295098</v>
          </cell>
          <cell r="U409">
            <v>569.83846400000004</v>
          </cell>
          <cell r="V409">
            <v>1.9140127388535</v>
          </cell>
        </row>
        <row r="410">
          <cell r="A410" t="str">
            <v>025702</v>
          </cell>
          <cell r="B410">
            <v>539</v>
          </cell>
          <cell r="C410">
            <v>4265.8132139999998</v>
          </cell>
          <cell r="D410">
            <v>2.10928961748633</v>
          </cell>
          <cell r="E410">
            <v>66.871629999999996</v>
          </cell>
          <cell r="F410">
            <v>0.46448087431693902</v>
          </cell>
          <cell r="G410">
            <v>736.74613799999997</v>
          </cell>
          <cell r="H410">
            <v>2.9452554744525501</v>
          </cell>
          <cell r="I410">
            <v>247.11696699999999</v>
          </cell>
          <cell r="J410">
            <v>0.91605839416058299</v>
          </cell>
          <cell r="K410">
            <v>891.00396599999999</v>
          </cell>
          <cell r="L410">
            <v>2.1070110701106999</v>
          </cell>
          <cell r="M410">
            <v>227.25953200000001</v>
          </cell>
          <cell r="N410">
            <v>1.63468634686346</v>
          </cell>
          <cell r="O410">
            <v>176.386053</v>
          </cell>
          <cell r="P410">
            <v>0.60853432282003705</v>
          </cell>
          <cell r="Q410">
            <v>173.19264000000001</v>
          </cell>
          <cell r="R410">
            <v>0.35807050092764298</v>
          </cell>
          <cell r="S410">
            <v>935.73423500000001</v>
          </cell>
          <cell r="T410">
            <v>2.5435203094777501</v>
          </cell>
          <cell r="U410">
            <v>785.37372600000003</v>
          </cell>
          <cell r="V410">
            <v>2.2166344294003801</v>
          </cell>
        </row>
        <row r="411">
          <cell r="A411" t="str">
            <v>025801</v>
          </cell>
          <cell r="B411">
            <v>1220.4000000000001</v>
          </cell>
          <cell r="C411">
            <v>782.72585200000003</v>
          </cell>
          <cell r="D411">
            <v>0.69419460343417805</v>
          </cell>
          <cell r="E411">
            <v>40.625093999999997</v>
          </cell>
          <cell r="F411">
            <v>0.49386753883891998</v>
          </cell>
          <cell r="G411">
            <v>70.592348999999999</v>
          </cell>
          <cell r="H411">
            <v>0.17373572593800901</v>
          </cell>
          <cell r="I411">
            <v>52.265636999999998</v>
          </cell>
          <cell r="J411">
            <v>0.125611745513866</v>
          </cell>
          <cell r="K411">
            <v>136.55787000000001</v>
          </cell>
          <cell r="L411">
            <v>0.78267973856209105</v>
          </cell>
          <cell r="M411">
            <v>136.46756500000001</v>
          </cell>
          <cell r="N411">
            <v>0.78186274509803899</v>
          </cell>
          <cell r="O411">
            <v>178.951686</v>
          </cell>
          <cell r="P411">
            <v>0.48312757201646001</v>
          </cell>
          <cell r="Q411">
            <v>67.166336999999999</v>
          </cell>
          <cell r="R411">
            <v>0.40823045267489699</v>
          </cell>
          <cell r="S411">
            <v>37.021346999999999</v>
          </cell>
          <cell r="T411">
            <v>0.271004942339373</v>
          </cell>
          <cell r="U411">
            <v>8.2045849999999998</v>
          </cell>
          <cell r="V411">
            <v>9.2257001647446393E-2</v>
          </cell>
        </row>
        <row r="412">
          <cell r="A412" t="str">
            <v>025802</v>
          </cell>
          <cell r="B412">
            <v>1670.888888</v>
          </cell>
          <cell r="C412">
            <v>229.17038099999999</v>
          </cell>
          <cell r="D412">
            <v>1.2578579743888201</v>
          </cell>
          <cell r="E412">
            <v>79.248039000000006</v>
          </cell>
          <cell r="F412">
            <v>1.1973224679860299</v>
          </cell>
          <cell r="G412">
            <v>593.34486100000004</v>
          </cell>
          <cell r="H412">
            <v>1.5863689776733201</v>
          </cell>
          <cell r="I412">
            <v>536.210598</v>
          </cell>
          <cell r="J412">
            <v>1.51116333725029</v>
          </cell>
          <cell r="K412">
            <v>14.049174000000001</v>
          </cell>
          <cell r="L412">
            <v>9.3619558735837799E-2</v>
          </cell>
          <cell r="M412">
            <v>3.3893749999999998</v>
          </cell>
          <cell r="N412">
            <v>5.6052474657125803E-2</v>
          </cell>
          <cell r="O412">
            <v>10.129772000000001</v>
          </cell>
          <cell r="P412">
            <v>7.5702075702075697E-2</v>
          </cell>
          <cell r="Q412">
            <v>10.129772000000001</v>
          </cell>
          <cell r="R412">
            <v>7.5702075702075697E-2</v>
          </cell>
          <cell r="S412">
            <v>39.647846999999999</v>
          </cell>
          <cell r="T412">
            <v>0.18777292576419199</v>
          </cell>
          <cell r="U412">
            <v>29.724869999999999</v>
          </cell>
          <cell r="V412">
            <v>0.14597629444790999</v>
          </cell>
        </row>
        <row r="413">
          <cell r="A413" t="str">
            <v>025803</v>
          </cell>
          <cell r="B413">
            <v>2414.4</v>
          </cell>
          <cell r="C413">
            <v>77.309045999999995</v>
          </cell>
          <cell r="D413">
            <v>7.3287945534641505E-2</v>
          </cell>
          <cell r="E413">
            <v>12.025722</v>
          </cell>
          <cell r="F413">
            <v>6.0873047657188602E-2</v>
          </cell>
          <cell r="G413">
            <v>196.32927000000001</v>
          </cell>
          <cell r="H413">
            <v>0.81920903954802204</v>
          </cell>
          <cell r="I413">
            <v>188.125834</v>
          </cell>
          <cell r="J413">
            <v>0.81436642453591601</v>
          </cell>
          <cell r="K413">
            <v>581.04580999999996</v>
          </cell>
          <cell r="L413">
            <v>1.7002893757751101</v>
          </cell>
          <cell r="M413">
            <v>205.77999800000001</v>
          </cell>
          <cell r="N413">
            <v>0.97436957420421599</v>
          </cell>
          <cell r="O413">
            <v>154.722982</v>
          </cell>
          <cell r="P413">
            <v>0.75792141951837699</v>
          </cell>
          <cell r="Q413">
            <v>154.00435100000001</v>
          </cell>
          <cell r="R413">
            <v>0.75623151668778998</v>
          </cell>
          <cell r="S413">
            <v>22.582293</v>
          </cell>
          <cell r="T413">
            <v>7.6590220683686705E-2</v>
          </cell>
          <cell r="U413">
            <v>6.706461</v>
          </cell>
          <cell r="V413">
            <v>5.8416270012981303E-2</v>
          </cell>
        </row>
        <row r="414">
          <cell r="A414" t="str">
            <v>025804</v>
          </cell>
          <cell r="B414">
            <v>1260</v>
          </cell>
          <cell r="C414">
            <v>316.89968299999998</v>
          </cell>
          <cell r="D414">
            <v>1.7621283255086</v>
          </cell>
          <cell r="E414">
            <v>199.08646999999999</v>
          </cell>
          <cell r="F414">
            <v>1.6658841940532001</v>
          </cell>
          <cell r="G414">
            <v>161.89908600000001</v>
          </cell>
          <cell r="H414">
            <v>1.38401253918495</v>
          </cell>
          <cell r="I414">
            <v>77.026573999999997</v>
          </cell>
          <cell r="J414">
            <v>1.19043887147335</v>
          </cell>
          <cell r="K414">
            <v>479.28040499999997</v>
          </cell>
          <cell r="L414">
            <v>1.75553797468354</v>
          </cell>
          <cell r="M414">
            <v>248.31153699999999</v>
          </cell>
          <cell r="N414">
            <v>1.62737341772151</v>
          </cell>
          <cell r="O414">
            <v>19.747138</v>
          </cell>
          <cell r="P414">
            <v>8.4202085004009594E-2</v>
          </cell>
          <cell r="Q414">
            <v>5.4030329999999998</v>
          </cell>
          <cell r="R414">
            <v>2.8869286287088999E-2</v>
          </cell>
          <cell r="S414">
            <v>163.93317099999999</v>
          </cell>
          <cell r="T414">
            <v>1.04291497975708</v>
          </cell>
          <cell r="U414">
            <v>80.444062000000002</v>
          </cell>
          <cell r="V414">
            <v>0.83157894736842097</v>
          </cell>
        </row>
        <row r="415">
          <cell r="A415" t="str">
            <v>025901</v>
          </cell>
          <cell r="B415">
            <v>357.4</v>
          </cell>
          <cell r="C415">
            <v>10909.173923</v>
          </cell>
          <cell r="D415">
            <v>2.8619718309859099</v>
          </cell>
          <cell r="E415">
            <v>191.30400399999999</v>
          </cell>
          <cell r="F415">
            <v>0.467605633802816</v>
          </cell>
          <cell r="G415">
            <v>732.92600600000003</v>
          </cell>
          <cell r="H415">
            <v>2.0623229461756298</v>
          </cell>
          <cell r="I415">
            <v>454.00693999999999</v>
          </cell>
          <cell r="J415">
            <v>1.96317280453257</v>
          </cell>
          <cell r="K415">
            <v>4233.9169460000003</v>
          </cell>
          <cell r="L415">
            <v>4.5266106442577003</v>
          </cell>
          <cell r="M415">
            <v>1233.481792</v>
          </cell>
          <cell r="N415">
            <v>3.4845938375350101</v>
          </cell>
          <cell r="O415">
            <v>827.639409</v>
          </cell>
          <cell r="P415">
            <v>1.3967828418230499</v>
          </cell>
          <cell r="Q415">
            <v>693.96608500000002</v>
          </cell>
          <cell r="R415">
            <v>1.1313672922252</v>
          </cell>
          <cell r="S415">
            <v>867.09178499999996</v>
          </cell>
          <cell r="T415">
            <v>3.7965616045845199</v>
          </cell>
          <cell r="U415">
            <v>526.23414500000001</v>
          </cell>
          <cell r="V415">
            <v>3.5759312320916901</v>
          </cell>
        </row>
        <row r="416">
          <cell r="A416" t="str">
            <v>025902</v>
          </cell>
          <cell r="B416">
            <v>662</v>
          </cell>
          <cell r="C416">
            <v>8955.9878950000002</v>
          </cell>
          <cell r="D416">
            <v>4.1150306748466203</v>
          </cell>
          <cell r="E416">
            <v>329.16591699999998</v>
          </cell>
          <cell r="F416">
            <v>1.1641104294478499</v>
          </cell>
          <cell r="G416">
            <v>2104.0349460000002</v>
          </cell>
          <cell r="H416">
            <v>3.1569506726457299</v>
          </cell>
          <cell r="I416">
            <v>309.29774099999997</v>
          </cell>
          <cell r="J416">
            <v>2.19730941704035</v>
          </cell>
          <cell r="K416">
            <v>1524.9733120000001</v>
          </cell>
          <cell r="L416">
            <v>2.0944527736131899</v>
          </cell>
          <cell r="M416">
            <v>446.00634600000001</v>
          </cell>
          <cell r="N416">
            <v>1.39130434782608</v>
          </cell>
          <cell r="O416">
            <v>82.269175000000004</v>
          </cell>
          <cell r="P416">
            <v>0.33734939759036098</v>
          </cell>
          <cell r="Q416">
            <v>61.454692999999999</v>
          </cell>
          <cell r="R416">
            <v>0.296686746987951</v>
          </cell>
          <cell r="S416">
            <v>325.66375299999999</v>
          </cell>
          <cell r="T416">
            <v>1.9179331306990799</v>
          </cell>
          <cell r="U416">
            <v>200.920288</v>
          </cell>
          <cell r="V416">
            <v>1.36170212765957</v>
          </cell>
        </row>
        <row r="417">
          <cell r="A417" t="str">
            <v>025903</v>
          </cell>
          <cell r="B417">
            <v>933.8</v>
          </cell>
          <cell r="C417">
            <v>2260.4963899999998</v>
          </cell>
          <cell r="D417">
            <v>1.38600212089077</v>
          </cell>
          <cell r="E417">
            <v>115.472809</v>
          </cell>
          <cell r="F417">
            <v>0.63520678685047705</v>
          </cell>
          <cell r="G417">
            <v>310.29618499999998</v>
          </cell>
          <cell r="H417">
            <v>2.0117395944503702</v>
          </cell>
          <cell r="I417">
            <v>300.30372</v>
          </cell>
          <cell r="J417">
            <v>2.00747065101387</v>
          </cell>
          <cell r="K417">
            <v>4803.57827</v>
          </cell>
          <cell r="L417">
            <v>2.1005347593582799</v>
          </cell>
          <cell r="M417">
            <v>302.70057000000003</v>
          </cell>
          <cell r="N417">
            <v>0.63208556149732598</v>
          </cell>
          <cell r="O417">
            <v>1488.8764860000001</v>
          </cell>
          <cell r="P417">
            <v>2.00322580645161</v>
          </cell>
          <cell r="Q417">
            <v>672.63600299999996</v>
          </cell>
          <cell r="R417">
            <v>1.78064516129032</v>
          </cell>
          <cell r="S417">
            <v>582.512698</v>
          </cell>
          <cell r="T417">
            <v>2.5854978354978302</v>
          </cell>
          <cell r="U417">
            <v>402.23416300000002</v>
          </cell>
          <cell r="V417">
            <v>2.0216450216450199</v>
          </cell>
        </row>
        <row r="418">
          <cell r="A418" t="str">
            <v>026001</v>
          </cell>
          <cell r="B418">
            <v>615</v>
          </cell>
          <cell r="C418">
            <v>4691.2557020000004</v>
          </cell>
          <cell r="D418">
            <v>3.38969404186795</v>
          </cell>
          <cell r="E418">
            <v>395.95191399999999</v>
          </cell>
          <cell r="F418">
            <v>2.3236714975845398</v>
          </cell>
          <cell r="G418">
            <v>1406.020039</v>
          </cell>
          <cell r="H418">
            <v>2.40194489465153</v>
          </cell>
          <cell r="I418">
            <v>201.456964</v>
          </cell>
          <cell r="J418">
            <v>0.92544570502431101</v>
          </cell>
          <cell r="K418">
            <v>2054.5839000000001</v>
          </cell>
          <cell r="L418">
            <v>6.1474878444084204</v>
          </cell>
          <cell r="M418">
            <v>309.57487800000001</v>
          </cell>
          <cell r="N418">
            <v>3.40842787682333</v>
          </cell>
          <cell r="O418">
            <v>498.86748299999999</v>
          </cell>
          <cell r="P418">
            <v>0.85294117647058798</v>
          </cell>
          <cell r="Q418">
            <v>40.309150000000002</v>
          </cell>
          <cell r="R418">
            <v>0.34640522875816898</v>
          </cell>
          <cell r="S418">
            <v>6669.0696529999996</v>
          </cell>
          <cell r="T418">
            <v>4.9753289473684204</v>
          </cell>
          <cell r="U418">
            <v>369.08448399999997</v>
          </cell>
          <cell r="V418">
            <v>2.0509868421052602</v>
          </cell>
        </row>
        <row r="419">
          <cell r="A419" t="str">
            <v>026002</v>
          </cell>
          <cell r="B419">
            <v>491.6</v>
          </cell>
          <cell r="C419">
            <v>5981.7388069999997</v>
          </cell>
          <cell r="D419">
            <v>5.562874251497</v>
          </cell>
          <cell r="E419">
            <v>1666.8411980000001</v>
          </cell>
          <cell r="F419">
            <v>4.2794411177644696</v>
          </cell>
          <cell r="G419">
            <v>389.52365700000001</v>
          </cell>
          <cell r="H419">
            <v>2.1442885771542999</v>
          </cell>
          <cell r="I419">
            <v>316.06470400000001</v>
          </cell>
          <cell r="J419">
            <v>1.7975951903807601</v>
          </cell>
          <cell r="K419">
            <v>3613.7298169999999</v>
          </cell>
          <cell r="L419">
            <v>4.8498985801216996</v>
          </cell>
          <cell r="M419">
            <v>322.98302899999999</v>
          </cell>
          <cell r="N419">
            <v>1.4726166328600401</v>
          </cell>
          <cell r="O419">
            <v>500.08098999999999</v>
          </cell>
          <cell r="P419">
            <v>1.9008264462809901</v>
          </cell>
          <cell r="Q419">
            <v>220.49927600000001</v>
          </cell>
          <cell r="R419">
            <v>1.3347107438016499</v>
          </cell>
          <cell r="S419">
            <v>9481.1727289999999</v>
          </cell>
          <cell r="T419">
            <v>6.9209979209979204</v>
          </cell>
          <cell r="U419">
            <v>1207.3277539999999</v>
          </cell>
          <cell r="V419">
            <v>3.9916839916839901</v>
          </cell>
        </row>
        <row r="420">
          <cell r="A420" t="str">
            <v>026003</v>
          </cell>
          <cell r="B420">
            <v>600.79999999999995</v>
          </cell>
          <cell r="C420">
            <v>9730.5188369999996</v>
          </cell>
          <cell r="D420">
            <v>9.5204678362572999</v>
          </cell>
          <cell r="E420">
            <v>1347.483751</v>
          </cell>
          <cell r="F420">
            <v>7.0964912280701702</v>
          </cell>
          <cell r="G420">
            <v>429.30672700000002</v>
          </cell>
          <cell r="H420">
            <v>0.67503692762186096</v>
          </cell>
          <cell r="I420">
            <v>188.69135</v>
          </cell>
          <cell r="J420">
            <v>0.46971935007385501</v>
          </cell>
          <cell r="K420">
            <v>830.76644299999998</v>
          </cell>
          <cell r="L420">
            <v>0.54086181277860301</v>
          </cell>
          <cell r="M420">
            <v>45.234200000000001</v>
          </cell>
          <cell r="N420">
            <v>0.32540861812778599</v>
          </cell>
          <cell r="O420">
            <v>167.25581099999999</v>
          </cell>
          <cell r="P420">
            <v>0.65275707898658697</v>
          </cell>
          <cell r="Q420">
            <v>51.962493000000002</v>
          </cell>
          <cell r="R420">
            <v>0.57824143070044698</v>
          </cell>
          <cell r="S420">
            <v>1812.3787299999999</v>
          </cell>
          <cell r="T420">
            <v>3.5897035881435202</v>
          </cell>
          <cell r="U420">
            <v>389.46466400000003</v>
          </cell>
          <cell r="V420">
            <v>1.9765990639625499</v>
          </cell>
        </row>
        <row r="421">
          <cell r="A421" t="str">
            <v>026004</v>
          </cell>
          <cell r="B421">
            <v>787.8</v>
          </cell>
          <cell r="C421">
            <v>3436.3903439999999</v>
          </cell>
          <cell r="D421">
            <v>2.7277289836888299</v>
          </cell>
          <cell r="E421">
            <v>568.25118499999996</v>
          </cell>
          <cell r="F421">
            <v>1.70890840652446</v>
          </cell>
          <cell r="G421">
            <v>402.603162</v>
          </cell>
          <cell r="H421">
            <v>1.02392947103274</v>
          </cell>
          <cell r="I421">
            <v>56.447204999999997</v>
          </cell>
          <cell r="J421">
            <v>0.47229219143576801</v>
          </cell>
          <cell r="K421">
            <v>1349.679255</v>
          </cell>
          <cell r="L421">
            <v>1.22320302648171</v>
          </cell>
          <cell r="M421">
            <v>141.28991099999999</v>
          </cell>
          <cell r="N421">
            <v>0.44136191677175202</v>
          </cell>
          <cell r="O421">
            <v>491.29030799999998</v>
          </cell>
          <cell r="P421">
            <v>0.85114503816793796</v>
          </cell>
          <cell r="Q421">
            <v>244.129749</v>
          </cell>
          <cell r="R421">
            <v>0.692111959287531</v>
          </cell>
          <cell r="S421">
            <v>2962.9317500000002</v>
          </cell>
          <cell r="T421">
            <v>4.4954486345903701</v>
          </cell>
          <cell r="U421">
            <v>434.00435599999997</v>
          </cell>
          <cell r="V421">
            <v>3.0390117035110502</v>
          </cell>
        </row>
        <row r="422">
          <cell r="A422" t="str">
            <v>026401</v>
          </cell>
          <cell r="B422">
            <v>2070.8000000000002</v>
          </cell>
          <cell r="C422">
            <v>634.71954600000004</v>
          </cell>
          <cell r="D422">
            <v>0.48731203007518697</v>
          </cell>
          <cell r="E422">
            <v>75.205567000000002</v>
          </cell>
          <cell r="F422">
            <v>0.261278195488721</v>
          </cell>
          <cell r="G422">
            <v>48.072592</v>
          </cell>
          <cell r="H422">
            <v>0.18705715635333001</v>
          </cell>
          <cell r="I422">
            <v>44.849949000000002</v>
          </cell>
          <cell r="J422">
            <v>0.184222957014643</v>
          </cell>
          <cell r="K422">
            <v>46.206384999999997</v>
          </cell>
          <cell r="L422">
            <v>0.37348227294803299</v>
          </cell>
          <cell r="M422">
            <v>21.420259999999999</v>
          </cell>
          <cell r="N422">
            <v>0.20835356969402599</v>
          </cell>
          <cell r="O422">
            <v>339.329768</v>
          </cell>
          <cell r="P422">
            <v>1.1616559881715101</v>
          </cell>
          <cell r="Q422">
            <v>284.47631000000001</v>
          </cell>
          <cell r="R422">
            <v>1.14046328240512</v>
          </cell>
          <cell r="S422">
            <v>142.90444400000001</v>
          </cell>
          <cell r="T422">
            <v>1.1063829787234001</v>
          </cell>
          <cell r="U422">
            <v>86.707668999999996</v>
          </cell>
          <cell r="V422">
            <v>1.03216229589312</v>
          </cell>
        </row>
        <row r="423">
          <cell r="A423" t="str">
            <v>026402</v>
          </cell>
          <cell r="B423">
            <v>651.77777700000001</v>
          </cell>
          <cell r="C423">
            <v>587.05927799999995</v>
          </cell>
          <cell r="D423">
            <v>0.95915032679738499</v>
          </cell>
          <cell r="E423">
            <v>91.579446000000004</v>
          </cell>
          <cell r="F423">
            <v>0.83169934640522802</v>
          </cell>
          <cell r="G423">
            <v>157.737053</v>
          </cell>
          <cell r="H423">
            <v>0.63736263736263699</v>
          </cell>
          <cell r="I423">
            <v>13.929470999999999</v>
          </cell>
          <cell r="J423">
            <v>0.219780219780219</v>
          </cell>
          <cell r="K423">
            <v>47.477794000000003</v>
          </cell>
          <cell r="L423">
            <v>0.28201219512195103</v>
          </cell>
          <cell r="M423">
            <v>42.121848999999997</v>
          </cell>
          <cell r="N423">
            <v>0.269817073170731</v>
          </cell>
          <cell r="O423">
            <v>183.580669</v>
          </cell>
          <cell r="P423">
            <v>1.37096774193548</v>
          </cell>
          <cell r="Q423">
            <v>173.10207700000001</v>
          </cell>
          <cell r="R423">
            <v>1.3357771260997</v>
          </cell>
          <cell r="S423">
            <v>20.476589000000001</v>
          </cell>
          <cell r="T423">
            <v>5.7803468208092401E-2</v>
          </cell>
          <cell r="U423">
            <v>20.476589000000001</v>
          </cell>
          <cell r="V423">
            <v>5.7803468208092401E-2</v>
          </cell>
        </row>
        <row r="424">
          <cell r="A424" t="str">
            <v>026501</v>
          </cell>
          <cell r="B424">
            <v>1810.2</v>
          </cell>
          <cell r="C424">
            <v>240.75240199999999</v>
          </cell>
          <cell r="D424">
            <v>1.7079303675048301</v>
          </cell>
          <cell r="E424">
            <v>232.013508</v>
          </cell>
          <cell r="F424">
            <v>1.55512572533849</v>
          </cell>
          <cell r="G424">
            <v>52.691749000000002</v>
          </cell>
          <cell r="H424">
            <v>0.210837438423645</v>
          </cell>
          <cell r="I424">
            <v>44.959153000000001</v>
          </cell>
          <cell r="J424">
            <v>0.19408866995073801</v>
          </cell>
          <cell r="K424">
            <v>978.79666699999996</v>
          </cell>
          <cell r="L424">
            <v>2.1806515301085798</v>
          </cell>
          <cell r="M424">
            <v>208.108127</v>
          </cell>
          <cell r="N424">
            <v>1.43435340572556</v>
          </cell>
          <cell r="O424">
            <v>162.23102299999999</v>
          </cell>
          <cell r="P424">
            <v>1.1559999999999999</v>
          </cell>
          <cell r="Q424">
            <v>95.044724000000002</v>
          </cell>
          <cell r="R424">
            <v>0.61150000000000004</v>
          </cell>
          <cell r="S424">
            <v>87.192537000000002</v>
          </cell>
          <cell r="T424">
            <v>0.36715961244263101</v>
          </cell>
          <cell r="U424">
            <v>54.822760000000002</v>
          </cell>
          <cell r="V424">
            <v>0.32789393166751601</v>
          </cell>
        </row>
        <row r="425">
          <cell r="A425" t="str">
            <v>026502</v>
          </cell>
          <cell r="B425">
            <v>1100.5999999999999</v>
          </cell>
          <cell r="C425">
            <v>426.409784</v>
          </cell>
          <cell r="D425">
            <v>3.0878524945770001</v>
          </cell>
          <cell r="E425">
            <v>368.96133400000002</v>
          </cell>
          <cell r="F425">
            <v>3.0618221258134399</v>
          </cell>
          <cell r="G425">
            <v>1420.1277170000001</v>
          </cell>
          <cell r="H425">
            <v>2.9495213228894599</v>
          </cell>
          <cell r="I425">
            <v>446.53582299999999</v>
          </cell>
          <cell r="J425">
            <v>2.2184508268059102</v>
          </cell>
          <cell r="K425">
            <v>1348.7454339999999</v>
          </cell>
          <cell r="L425">
            <v>3.37391304347826</v>
          </cell>
          <cell r="M425">
            <v>249.13389799999999</v>
          </cell>
          <cell r="N425">
            <v>2.2391304347826</v>
          </cell>
          <cell r="O425">
            <v>494.93870299999998</v>
          </cell>
          <cell r="P425">
            <v>1.7074235807860201</v>
          </cell>
          <cell r="Q425">
            <v>194.70394400000001</v>
          </cell>
          <cell r="R425">
            <v>0.82270742358078597</v>
          </cell>
          <cell r="S425">
            <v>771.46690100000001</v>
          </cell>
          <cell r="T425">
            <v>3.39489885664028</v>
          </cell>
          <cell r="U425">
            <v>394.39935500000001</v>
          </cell>
          <cell r="V425">
            <v>2.6323658751099299</v>
          </cell>
        </row>
        <row r="426">
          <cell r="A426" t="str">
            <v>026801</v>
          </cell>
          <cell r="B426">
            <v>470.4</v>
          </cell>
          <cell r="C426">
            <v>2618.7745890000001</v>
          </cell>
          <cell r="D426">
            <v>2.0934182590233501</v>
          </cell>
          <cell r="E426">
            <v>193.833753</v>
          </cell>
          <cell r="F426">
            <v>0.53715498938428796</v>
          </cell>
          <cell r="G426">
            <v>1211.37256</v>
          </cell>
          <cell r="H426">
            <v>0.72399150743099705</v>
          </cell>
          <cell r="I426">
            <v>120.368048</v>
          </cell>
          <cell r="J426">
            <v>0.47346072186836502</v>
          </cell>
          <cell r="K426">
            <v>684.650353</v>
          </cell>
          <cell r="L426">
            <v>2.0191082802547702</v>
          </cell>
          <cell r="M426">
            <v>299.76401199999998</v>
          </cell>
          <cell r="N426">
            <v>1.13588110403397</v>
          </cell>
          <cell r="O426">
            <v>859.55796099999998</v>
          </cell>
          <cell r="P426">
            <v>2.0254777070063601</v>
          </cell>
          <cell r="Q426">
            <v>287.62717600000002</v>
          </cell>
          <cell r="R426">
            <v>1.78131634819532</v>
          </cell>
          <cell r="S426">
            <v>2224.2387100000001</v>
          </cell>
          <cell r="T426">
            <v>1.8440170940170899</v>
          </cell>
          <cell r="U426">
            <v>232.458012</v>
          </cell>
          <cell r="V426">
            <v>1.16880341880341</v>
          </cell>
        </row>
        <row r="427">
          <cell r="A427" t="str">
            <v>026802</v>
          </cell>
          <cell r="B427">
            <v>674</v>
          </cell>
          <cell r="C427">
            <v>3085.3447940000001</v>
          </cell>
          <cell r="D427">
            <v>1.6435185185185099</v>
          </cell>
          <cell r="E427">
            <v>156.70278400000001</v>
          </cell>
          <cell r="F427">
            <v>0.58333333333333304</v>
          </cell>
          <cell r="G427">
            <v>195.07019500000001</v>
          </cell>
          <cell r="H427">
            <v>1.0102040816326501</v>
          </cell>
          <cell r="I427">
            <v>122.441112</v>
          </cell>
          <cell r="J427">
            <v>0.950437317784256</v>
          </cell>
          <cell r="K427">
            <v>190.48267200000001</v>
          </cell>
          <cell r="L427">
            <v>0.59970674486803499</v>
          </cell>
          <cell r="M427">
            <v>84.951098999999999</v>
          </cell>
          <cell r="N427">
            <v>0.48093841642228702</v>
          </cell>
          <cell r="O427">
            <v>479.40729900000002</v>
          </cell>
          <cell r="P427">
            <v>0.81710914454277195</v>
          </cell>
          <cell r="Q427">
            <v>146.400589</v>
          </cell>
          <cell r="R427">
            <v>0.57079646017699104</v>
          </cell>
          <cell r="S427">
            <v>377.64139499999999</v>
          </cell>
          <cell r="T427">
            <v>0.67011834319526598</v>
          </cell>
          <cell r="U427">
            <v>143.16047800000001</v>
          </cell>
          <cell r="V427">
            <v>0.47928994082840198</v>
          </cell>
        </row>
        <row r="428">
          <cell r="A428" t="str">
            <v>026901</v>
          </cell>
          <cell r="B428">
            <v>849</v>
          </cell>
          <cell r="C428">
            <v>266.26473600000003</v>
          </cell>
          <cell r="D428">
            <v>2.1648998822143599</v>
          </cell>
          <cell r="E428">
            <v>266.26473600000003</v>
          </cell>
          <cell r="F428">
            <v>2.1648998822143599</v>
          </cell>
          <cell r="G428">
            <v>854.57514900000001</v>
          </cell>
          <cell r="H428">
            <v>2.0341578327444001</v>
          </cell>
          <cell r="I428">
            <v>21.104668</v>
          </cell>
          <cell r="J428">
            <v>0.102473498233215</v>
          </cell>
          <cell r="K428">
            <v>147.89612199999999</v>
          </cell>
          <cell r="L428">
            <v>2.7003525264394801</v>
          </cell>
          <cell r="M428">
            <v>147.89612199999999</v>
          </cell>
          <cell r="N428">
            <v>2.7003525264394801</v>
          </cell>
          <cell r="O428">
            <v>51.811096999999997</v>
          </cell>
          <cell r="P428">
            <v>0.248235294117647</v>
          </cell>
          <cell r="Q428">
            <v>24.975626999999999</v>
          </cell>
          <cell r="R428">
            <v>0.13529411764705801</v>
          </cell>
          <cell r="S428">
            <v>54.500155999999997</v>
          </cell>
          <cell r="T428">
            <v>0.21723730814639899</v>
          </cell>
          <cell r="U428">
            <v>40.523021999999997</v>
          </cell>
          <cell r="V428">
            <v>0.208972845336481</v>
          </cell>
        </row>
        <row r="429">
          <cell r="A429" t="str">
            <v>026902</v>
          </cell>
          <cell r="B429">
            <v>785.6</v>
          </cell>
          <cell r="C429">
            <v>169.447485</v>
          </cell>
          <cell r="D429">
            <v>0.71839799749687105</v>
          </cell>
          <cell r="E429">
            <v>163.963864</v>
          </cell>
          <cell r="F429">
            <v>0.71464330413016197</v>
          </cell>
          <cell r="G429">
            <v>2164.5278330000001</v>
          </cell>
          <cell r="H429">
            <v>4.5037974683544304</v>
          </cell>
          <cell r="I429">
            <v>193.24138600000001</v>
          </cell>
          <cell r="J429">
            <v>1.4860759493670801</v>
          </cell>
          <cell r="K429">
            <v>1303.9284190000001</v>
          </cell>
          <cell r="L429">
            <v>4.25285895806861</v>
          </cell>
          <cell r="M429">
            <v>1143.1612660000001</v>
          </cell>
          <cell r="N429">
            <v>4.0368487928843697</v>
          </cell>
          <cell r="O429">
            <v>260.41549700000002</v>
          </cell>
          <cell r="P429">
            <v>1.12755102040816</v>
          </cell>
          <cell r="Q429">
            <v>98.402338</v>
          </cell>
          <cell r="R429">
            <v>0.91836734693877498</v>
          </cell>
          <cell r="S429">
            <v>2263.3076160000001</v>
          </cell>
          <cell r="T429">
            <v>2.8359374999999898</v>
          </cell>
          <cell r="U429">
            <v>1112.660286</v>
          </cell>
          <cell r="V429">
            <v>2.1497395833333299</v>
          </cell>
        </row>
        <row r="430">
          <cell r="A430" t="str">
            <v>027401</v>
          </cell>
          <cell r="B430">
            <v>643.79999999999995</v>
          </cell>
          <cell r="C430">
            <v>4497.8672889999998</v>
          </cell>
          <cell r="D430">
            <v>5.6824324324324298</v>
          </cell>
          <cell r="E430">
            <v>1733.1675700000001</v>
          </cell>
          <cell r="F430">
            <v>4.5185810810810798</v>
          </cell>
          <cell r="G430">
            <v>644.01493300000004</v>
          </cell>
          <cell r="H430">
            <v>2.6891679748822601</v>
          </cell>
          <cell r="I430">
            <v>488.84857599999998</v>
          </cell>
          <cell r="J430">
            <v>2.5164835164835102</v>
          </cell>
          <cell r="K430">
            <v>1572.6186479999999</v>
          </cell>
          <cell r="L430">
            <v>2.1471048513301998</v>
          </cell>
          <cell r="M430">
            <v>194.113562</v>
          </cell>
          <cell r="N430">
            <v>1.6791862284820001</v>
          </cell>
          <cell r="O430">
            <v>354.30606599999999</v>
          </cell>
          <cell r="P430">
            <v>0.87573099415204603</v>
          </cell>
          <cell r="Q430">
            <v>351.489644</v>
          </cell>
          <cell r="R430">
            <v>0.86842105263157798</v>
          </cell>
          <cell r="S430">
            <v>1558.382707</v>
          </cell>
          <cell r="T430">
            <v>3.7586206896551699</v>
          </cell>
          <cell r="U430">
            <v>703.95037400000001</v>
          </cell>
          <cell r="V430">
            <v>3.3043478260869499</v>
          </cell>
        </row>
        <row r="431">
          <cell r="A431" t="str">
            <v>027402</v>
          </cell>
          <cell r="B431">
            <v>997.6</v>
          </cell>
          <cell r="C431">
            <v>2925.3297320000001</v>
          </cell>
          <cell r="D431">
            <v>4.0861568247821802</v>
          </cell>
          <cell r="E431">
            <v>587.40302799999995</v>
          </cell>
          <cell r="F431">
            <v>2.6534365924491699</v>
          </cell>
          <cell r="G431">
            <v>731.14737300000002</v>
          </cell>
          <cell r="H431">
            <v>3.47821878025169</v>
          </cell>
          <cell r="I431">
            <v>465.90982400000001</v>
          </cell>
          <cell r="J431">
            <v>3.31655372700871</v>
          </cell>
          <cell r="K431">
            <v>1024.5619790000001</v>
          </cell>
          <cell r="L431">
            <v>1.6470009832841599</v>
          </cell>
          <cell r="M431">
            <v>276.29983600000003</v>
          </cell>
          <cell r="N431">
            <v>0.70599803343166101</v>
          </cell>
          <cell r="O431">
            <v>722.46925499999998</v>
          </cell>
          <cell r="P431">
            <v>1.88633993743482</v>
          </cell>
          <cell r="Q431">
            <v>664.18901600000004</v>
          </cell>
          <cell r="R431">
            <v>1.7799791449426401</v>
          </cell>
          <cell r="S431">
            <v>1637.130496</v>
          </cell>
          <cell r="T431">
            <v>3.53488372093023</v>
          </cell>
          <cell r="U431">
            <v>211.99963</v>
          </cell>
          <cell r="V431">
            <v>1.7114164904862501</v>
          </cell>
        </row>
        <row r="432">
          <cell r="A432" t="str">
            <v>027501</v>
          </cell>
          <cell r="B432">
            <v>1746.6</v>
          </cell>
          <cell r="C432">
            <v>158.59602599999999</v>
          </cell>
          <cell r="D432">
            <v>0.32214001138303899</v>
          </cell>
          <cell r="E432">
            <v>6.2167120000000002</v>
          </cell>
          <cell r="F432">
            <v>3.9271485486624902E-2</v>
          </cell>
          <cell r="G432">
            <v>849.38777100000004</v>
          </cell>
          <cell r="H432">
            <v>1.0525414049114701</v>
          </cell>
          <cell r="I432">
            <v>6.9298060000000001</v>
          </cell>
          <cell r="J432">
            <v>4.68303826384922E-2</v>
          </cell>
          <cell r="K432">
            <v>79.171792999999994</v>
          </cell>
          <cell r="L432">
            <v>1.12521440823327</v>
          </cell>
          <cell r="M432">
            <v>77.201752999999997</v>
          </cell>
          <cell r="N432">
            <v>1.1206403659233799</v>
          </cell>
          <cell r="O432">
            <v>1009.9501330000001</v>
          </cell>
          <cell r="P432">
            <v>2.9734870317002802</v>
          </cell>
          <cell r="Q432">
            <v>230.90634900000001</v>
          </cell>
          <cell r="R432">
            <v>1.3348703170028799</v>
          </cell>
          <cell r="S432">
            <v>6.6665700000000001</v>
          </cell>
          <cell r="T432">
            <v>5.1694428489373903E-2</v>
          </cell>
          <cell r="U432">
            <v>5.8778670000000002</v>
          </cell>
          <cell r="V432">
            <v>5.0545663411832198E-2</v>
          </cell>
        </row>
        <row r="433">
          <cell r="A433" t="str">
            <v>027502</v>
          </cell>
          <cell r="B433">
            <v>876.8</v>
          </cell>
          <cell r="C433">
            <v>1350.974539</v>
          </cell>
          <cell r="D433">
            <v>5.2969283276450501</v>
          </cell>
          <cell r="E433">
            <v>609.359782</v>
          </cell>
          <cell r="F433">
            <v>4.5790671217292296</v>
          </cell>
          <cell r="G433">
            <v>293.99665700000003</v>
          </cell>
          <cell r="H433">
            <v>0.629124004550625</v>
          </cell>
          <cell r="I433">
            <v>31.904019000000002</v>
          </cell>
          <cell r="J433">
            <v>0.40159271899886201</v>
          </cell>
          <cell r="K433">
            <v>166.08885599999999</v>
          </cell>
          <cell r="L433">
            <v>1.9043280182232301</v>
          </cell>
          <cell r="M433">
            <v>149.615926</v>
          </cell>
          <cell r="N433">
            <v>1.8120728929384899</v>
          </cell>
          <cell r="O433">
            <v>769.29165599999999</v>
          </cell>
          <cell r="P433">
            <v>1.87628865979381</v>
          </cell>
          <cell r="Q433">
            <v>210.37646000000001</v>
          </cell>
          <cell r="R433">
            <v>0.71363115693012602</v>
          </cell>
          <cell r="S433">
            <v>666.98984599999994</v>
          </cell>
          <cell r="T433">
            <v>1.6868571428571399</v>
          </cell>
          <cell r="U433">
            <v>589.80626600000005</v>
          </cell>
          <cell r="V433">
            <v>1.28457142857142</v>
          </cell>
        </row>
        <row r="434">
          <cell r="A434" t="str">
            <v>027503</v>
          </cell>
          <cell r="B434">
            <v>1060.2</v>
          </cell>
          <cell r="C434">
            <v>1817.7668410000001</v>
          </cell>
          <cell r="D434">
            <v>0.73065902578796504</v>
          </cell>
          <cell r="E434">
            <v>8.5811630000000001</v>
          </cell>
          <cell r="F434">
            <v>6.7812798471824198E-2</v>
          </cell>
          <cell r="G434">
            <v>346.95640900000001</v>
          </cell>
          <cell r="H434">
            <v>0.47809523809523802</v>
          </cell>
          <cell r="I434">
            <v>11.471195</v>
          </cell>
          <cell r="J434">
            <v>0.12380952380952299</v>
          </cell>
          <cell r="K434">
            <v>1177.0279519999999</v>
          </cell>
          <cell r="L434">
            <v>1.96285714285714</v>
          </cell>
          <cell r="M434">
            <v>198.333619</v>
          </cell>
          <cell r="N434">
            <v>1.2552380952380899</v>
          </cell>
          <cell r="O434">
            <v>832.532601</v>
          </cell>
          <cell r="P434">
            <v>3.35687022900763</v>
          </cell>
          <cell r="Q434">
            <v>366.88183800000002</v>
          </cell>
          <cell r="R434">
            <v>2.35114503816793</v>
          </cell>
          <cell r="S434">
            <v>37.166092999999996</v>
          </cell>
          <cell r="T434">
            <v>0.125678119349005</v>
          </cell>
          <cell r="U434">
            <v>18.475390999999998</v>
          </cell>
          <cell r="V434">
            <v>0.113924050632911</v>
          </cell>
        </row>
        <row r="435">
          <cell r="A435" t="str">
            <v>027801</v>
          </cell>
          <cell r="B435">
            <v>1292.4000000000001</v>
          </cell>
          <cell r="C435">
            <v>59.929944999999996</v>
          </cell>
          <cell r="D435">
            <v>0.50628930817609996</v>
          </cell>
          <cell r="E435">
            <v>55.746946000000001</v>
          </cell>
          <cell r="F435">
            <v>0.50235849056603699</v>
          </cell>
          <cell r="G435">
            <v>297.880042</v>
          </cell>
          <cell r="H435">
            <v>0.67563412759415797</v>
          </cell>
          <cell r="I435">
            <v>257.667237</v>
          </cell>
          <cell r="J435">
            <v>0.64950038431975399</v>
          </cell>
          <cell r="K435">
            <v>593.21731999999997</v>
          </cell>
          <cell r="L435">
            <v>1.47923076923076</v>
          </cell>
          <cell r="M435">
            <v>501.96876900000001</v>
          </cell>
          <cell r="N435">
            <v>1.4515384615384599</v>
          </cell>
          <cell r="O435">
            <v>299.84407099999999</v>
          </cell>
          <cell r="P435">
            <v>0.292511700468018</v>
          </cell>
          <cell r="Q435">
            <v>222.20522600000001</v>
          </cell>
          <cell r="R435">
            <v>0.269890795631825</v>
          </cell>
          <cell r="S435">
            <v>39.395052</v>
          </cell>
          <cell r="T435">
            <v>0.249426166794185</v>
          </cell>
          <cell r="U435">
            <v>27.774253999999999</v>
          </cell>
          <cell r="V435">
            <v>0.240244835501147</v>
          </cell>
        </row>
        <row r="436">
          <cell r="A436" t="str">
            <v>027803</v>
          </cell>
          <cell r="B436">
            <v>660.11111100000005</v>
          </cell>
          <cell r="C436">
            <v>48.600951000000002</v>
          </cell>
          <cell r="D436">
            <v>0.12824427480916001</v>
          </cell>
          <cell r="E436">
            <v>48.600951000000002</v>
          </cell>
          <cell r="F436">
            <v>0.12824427480916001</v>
          </cell>
          <cell r="G436">
            <v>52.284230999999998</v>
          </cell>
          <cell r="H436">
            <v>9.8335854765506797E-2</v>
          </cell>
          <cell r="I436">
            <v>19.703264999999998</v>
          </cell>
          <cell r="J436">
            <v>7.5642965204235996E-2</v>
          </cell>
          <cell r="K436">
            <v>176.35012499999999</v>
          </cell>
          <cell r="L436">
            <v>1.32126696832579</v>
          </cell>
          <cell r="M436">
            <v>145.12096500000001</v>
          </cell>
          <cell r="N436">
            <v>1.25942684766214</v>
          </cell>
          <cell r="O436">
            <v>233.60452799999999</v>
          </cell>
          <cell r="P436">
            <v>0.81526717557251904</v>
          </cell>
          <cell r="Q436">
            <v>159.02096599999999</v>
          </cell>
          <cell r="R436">
            <v>0.772519083969465</v>
          </cell>
          <cell r="S436">
            <v>2126.7120719999998</v>
          </cell>
          <cell r="T436">
            <v>2.24548192771084</v>
          </cell>
          <cell r="U436">
            <v>556.87816199999997</v>
          </cell>
          <cell r="V436">
            <v>1.0798192771084301</v>
          </cell>
        </row>
        <row r="437">
          <cell r="A437" t="str">
            <v>027804</v>
          </cell>
          <cell r="B437">
            <v>1228.5999999999999</v>
          </cell>
          <cell r="C437">
            <v>83.552958000000004</v>
          </cell>
          <cell r="D437">
            <v>0.10983606557377</v>
          </cell>
          <cell r="E437">
            <v>22.117455</v>
          </cell>
          <cell r="F437">
            <v>8.1967213114753995E-2</v>
          </cell>
          <cell r="G437">
            <v>214.921536</v>
          </cell>
          <cell r="H437">
            <v>0.307067424857839</v>
          </cell>
          <cell r="I437">
            <v>57.096846999999997</v>
          </cell>
          <cell r="J437">
            <v>0.17952883834281</v>
          </cell>
          <cell r="K437">
            <v>194.21477200000001</v>
          </cell>
          <cell r="L437">
            <v>1.1956168831168801</v>
          </cell>
          <cell r="M437">
            <v>122.34765899999999</v>
          </cell>
          <cell r="N437">
            <v>1.1720779220779201</v>
          </cell>
          <cell r="O437">
            <v>276.96718399999997</v>
          </cell>
          <cell r="P437">
            <v>0.36304170073589498</v>
          </cell>
          <cell r="Q437">
            <v>273.210466</v>
          </cell>
          <cell r="R437">
            <v>0.33115290269828201</v>
          </cell>
          <cell r="S437">
            <v>120.820519</v>
          </cell>
          <cell r="T437">
            <v>0.29102667744543198</v>
          </cell>
          <cell r="U437">
            <v>47.361223000000003</v>
          </cell>
          <cell r="V437">
            <v>0.19320937752627301</v>
          </cell>
        </row>
        <row r="438">
          <cell r="A438" t="str">
            <v>027901</v>
          </cell>
          <cell r="B438">
            <v>830.66666599999996</v>
          </cell>
          <cell r="C438">
            <v>40.912309</v>
          </cell>
          <cell r="D438">
            <v>0.13564668769716001</v>
          </cell>
          <cell r="E438">
            <v>40.912309</v>
          </cell>
          <cell r="F438">
            <v>0.13564668769716001</v>
          </cell>
          <cell r="G438">
            <v>320.10227900000001</v>
          </cell>
          <cell r="H438">
            <v>1.7967032967032901</v>
          </cell>
          <cell r="I438">
            <v>271.80577</v>
          </cell>
          <cell r="J438">
            <v>1.4901098901098899</v>
          </cell>
          <cell r="K438">
            <v>139.141638</v>
          </cell>
          <cell r="L438">
            <v>0.42337375964718799</v>
          </cell>
          <cell r="M438">
            <v>48.507863999999998</v>
          </cell>
          <cell r="N438">
            <v>0.28555678059536899</v>
          </cell>
          <cell r="O438">
            <v>1780.0706909999999</v>
          </cell>
          <cell r="P438">
            <v>2.0543478260869499</v>
          </cell>
          <cell r="Q438">
            <v>103.510426</v>
          </cell>
          <cell r="R438">
            <v>0.79951690821256005</v>
          </cell>
          <cell r="S438">
            <v>715.64871000000005</v>
          </cell>
          <cell r="T438">
            <v>1.9574742268041201</v>
          </cell>
          <cell r="U438">
            <v>501.66550599999999</v>
          </cell>
          <cell r="V438">
            <v>1.22938144329896</v>
          </cell>
        </row>
        <row r="439">
          <cell r="A439" t="str">
            <v>027902</v>
          </cell>
          <cell r="B439">
            <v>3590.6666660000001</v>
          </cell>
          <cell r="C439">
            <v>582.12071400000002</v>
          </cell>
          <cell r="D439">
            <v>1.8910857908847101</v>
          </cell>
          <cell r="E439">
            <v>582.12071400000002</v>
          </cell>
          <cell r="F439">
            <v>1.8910857908847101</v>
          </cell>
          <cell r="G439">
            <v>491.430589</v>
          </cell>
          <cell r="H439">
            <v>2.95494071146245</v>
          </cell>
          <cell r="I439">
            <v>465.744325</v>
          </cell>
          <cell r="J439">
            <v>2.7328063241106699</v>
          </cell>
          <cell r="K439">
            <v>57.404482000000002</v>
          </cell>
          <cell r="L439">
            <v>0.33144092998107499</v>
          </cell>
          <cell r="M439">
            <v>24.748756</v>
          </cell>
          <cell r="N439">
            <v>0.23330629899972899</v>
          </cell>
          <cell r="O439">
            <v>494.13274100000001</v>
          </cell>
          <cell r="P439">
            <v>1.3334249587685501</v>
          </cell>
          <cell r="Q439">
            <v>192.78663599999999</v>
          </cell>
          <cell r="R439">
            <v>0.99780098955469998</v>
          </cell>
          <cell r="S439">
            <v>483.03654899999998</v>
          </cell>
          <cell r="T439">
            <v>1.9493491794001101</v>
          </cell>
          <cell r="U439">
            <v>30.990714000000001</v>
          </cell>
          <cell r="V439">
            <v>0.140350877192982</v>
          </cell>
        </row>
        <row r="440">
          <cell r="A440" t="str">
            <v>028001</v>
          </cell>
          <cell r="B440">
            <v>1276.2</v>
          </cell>
          <cell r="C440">
            <v>679.49607300000002</v>
          </cell>
          <cell r="D440">
            <v>1.6549844236760101</v>
          </cell>
          <cell r="E440">
            <v>427.774608</v>
          </cell>
          <cell r="F440">
            <v>1.4462616822429899</v>
          </cell>
          <cell r="G440">
            <v>119.33949200000001</v>
          </cell>
          <cell r="H440">
            <v>0.428015564202334</v>
          </cell>
          <cell r="I440">
            <v>118.41005199999999</v>
          </cell>
          <cell r="J440">
            <v>0.42645914396887102</v>
          </cell>
          <cell r="K440">
            <v>945.96941900000002</v>
          </cell>
          <cell r="L440">
            <v>2.6969459671104099</v>
          </cell>
          <cell r="M440">
            <v>650.65378399999997</v>
          </cell>
          <cell r="N440">
            <v>2.5583398590446298</v>
          </cell>
          <cell r="O440">
            <v>194.859238</v>
          </cell>
          <cell r="P440">
            <v>0.44330708661417301</v>
          </cell>
          <cell r="Q440">
            <v>147.61545899999999</v>
          </cell>
          <cell r="R440">
            <v>0.36614173228346403</v>
          </cell>
          <cell r="S440">
            <v>953.05843100000004</v>
          </cell>
          <cell r="T440">
            <v>1.9059288537549399</v>
          </cell>
          <cell r="U440">
            <v>638.40903800000001</v>
          </cell>
          <cell r="V440">
            <v>1.79367588932806</v>
          </cell>
        </row>
        <row r="441">
          <cell r="A441" t="str">
            <v>028002</v>
          </cell>
          <cell r="B441">
            <v>1041.2</v>
          </cell>
          <cell r="C441">
            <v>165.07583700000001</v>
          </cell>
          <cell r="D441">
            <v>0.127984718242597</v>
          </cell>
          <cell r="E441">
            <v>20.282976000000001</v>
          </cell>
          <cell r="F441">
            <v>4.4890162368672298E-2</v>
          </cell>
          <cell r="G441">
            <v>130.79537999999999</v>
          </cell>
          <cell r="H441">
            <v>0.437320574162679</v>
          </cell>
          <cell r="I441">
            <v>91.465829999999997</v>
          </cell>
          <cell r="J441">
            <v>0.40287081339712899</v>
          </cell>
          <cell r="K441">
            <v>2001.893274</v>
          </cell>
          <cell r="L441">
            <v>2.9548511047070098</v>
          </cell>
          <cell r="M441">
            <v>504.97940999999997</v>
          </cell>
          <cell r="N441">
            <v>1.9375600384245899</v>
          </cell>
          <cell r="O441">
            <v>739.58509700000002</v>
          </cell>
          <cell r="P441">
            <v>1.57940327237728</v>
          </cell>
          <cell r="Q441">
            <v>244.27369200000001</v>
          </cell>
          <cell r="R441">
            <v>1.0587102983638099</v>
          </cell>
          <cell r="S441">
            <v>1518.1570429999999</v>
          </cell>
          <cell r="T441">
            <v>1.6982591876208799</v>
          </cell>
          <cell r="U441">
            <v>264.28077000000002</v>
          </cell>
          <cell r="V441">
            <v>0.65473887814313303</v>
          </cell>
        </row>
        <row r="442">
          <cell r="A442" t="str">
            <v>028003</v>
          </cell>
          <cell r="B442">
            <v>1008.222222</v>
          </cell>
          <cell r="C442">
            <v>58.289585000000002</v>
          </cell>
          <cell r="D442">
            <v>9.9415204678362498E-2</v>
          </cell>
          <cell r="E442">
            <v>58.289585000000002</v>
          </cell>
          <cell r="F442">
            <v>9.9415204678362498E-2</v>
          </cell>
          <cell r="G442">
            <v>857.56256499999995</v>
          </cell>
          <cell r="H442">
            <v>1.3454724409448799</v>
          </cell>
          <cell r="I442">
            <v>101.05486500000001</v>
          </cell>
          <cell r="J442">
            <v>0.410433070866141</v>
          </cell>
          <cell r="K442">
            <v>1373.6311700000001</v>
          </cell>
          <cell r="L442">
            <v>3.8297029702970198</v>
          </cell>
          <cell r="M442">
            <v>1021.587722</v>
          </cell>
          <cell r="N442">
            <v>2.9782178217821702</v>
          </cell>
          <cell r="O442">
            <v>171.00270499999999</v>
          </cell>
          <cell r="P442">
            <v>0.44721115537848599</v>
          </cell>
          <cell r="Q442">
            <v>86.676112000000003</v>
          </cell>
          <cell r="R442">
            <v>0.393426294820717</v>
          </cell>
          <cell r="S442">
            <v>1159.347802</v>
          </cell>
          <cell r="T442">
            <v>1.48993963782696</v>
          </cell>
          <cell r="U442">
            <v>632.90910399999996</v>
          </cell>
          <cell r="V442">
            <v>1.0382293762575401</v>
          </cell>
        </row>
        <row r="443">
          <cell r="A443" t="str">
            <v>028101</v>
          </cell>
          <cell r="B443">
            <v>1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180</v>
          </cell>
          <cell r="P443">
            <v>1</v>
          </cell>
          <cell r="Q443">
            <v>180</v>
          </cell>
          <cell r="R443">
            <v>1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</row>
        <row r="444">
          <cell r="A444" t="str">
            <v>028201</v>
          </cell>
          <cell r="B444">
            <v>755</v>
          </cell>
          <cell r="C444">
            <v>1802.277593</v>
          </cell>
          <cell r="D444">
            <v>3.9960106382978702</v>
          </cell>
          <cell r="E444">
            <v>293.74915900000002</v>
          </cell>
          <cell r="F444">
            <v>2.9960106382978702</v>
          </cell>
          <cell r="G444">
            <v>3222.7292189999998</v>
          </cell>
          <cell r="H444">
            <v>3.0527009222661299</v>
          </cell>
          <cell r="I444">
            <v>542.97369000000003</v>
          </cell>
          <cell r="J444">
            <v>2.0447957839262099</v>
          </cell>
          <cell r="K444">
            <v>9039.702131</v>
          </cell>
          <cell r="L444">
            <v>2.8997361477572499</v>
          </cell>
          <cell r="M444">
            <v>132.19663499999999</v>
          </cell>
          <cell r="N444">
            <v>0.79947229551451104</v>
          </cell>
          <cell r="O444">
            <v>1798.357636</v>
          </cell>
          <cell r="P444">
            <v>2.81324503311258</v>
          </cell>
          <cell r="Q444">
            <v>634.52763700000003</v>
          </cell>
          <cell r="R444">
            <v>2.2887417218542998</v>
          </cell>
          <cell r="S444">
            <v>172.72592</v>
          </cell>
          <cell r="T444">
            <v>0.74167776298268895</v>
          </cell>
          <cell r="U444">
            <v>66.692808999999997</v>
          </cell>
          <cell r="V444">
            <v>0.58189081225033201</v>
          </cell>
        </row>
        <row r="445">
          <cell r="A445" t="str">
            <v>028202</v>
          </cell>
          <cell r="B445">
            <v>991.4</v>
          </cell>
          <cell r="C445">
            <v>2510.465416</v>
          </cell>
          <cell r="D445">
            <v>4.80722891566265</v>
          </cell>
          <cell r="E445">
            <v>270.09803299999999</v>
          </cell>
          <cell r="F445">
            <v>2.1626506024096299</v>
          </cell>
          <cell r="G445">
            <v>3204.8366339999998</v>
          </cell>
          <cell r="H445">
            <v>3.46410515672396</v>
          </cell>
          <cell r="I445">
            <v>447.02643399999999</v>
          </cell>
          <cell r="J445">
            <v>2.2355915065722902</v>
          </cell>
          <cell r="K445">
            <v>6973.5737250000002</v>
          </cell>
          <cell r="L445">
            <v>2.14989939637826</v>
          </cell>
          <cell r="M445">
            <v>141.01229000000001</v>
          </cell>
          <cell r="N445">
            <v>0.34607645875251503</v>
          </cell>
          <cell r="O445">
            <v>1063.290103</v>
          </cell>
          <cell r="P445">
            <v>1.48588709677419</v>
          </cell>
          <cell r="Q445">
            <v>468.23864200000003</v>
          </cell>
          <cell r="R445">
            <v>1.28125</v>
          </cell>
          <cell r="S445">
            <v>122.686848</v>
          </cell>
          <cell r="T445">
            <v>0.60446247464503</v>
          </cell>
          <cell r="U445">
            <v>71.81626</v>
          </cell>
          <cell r="V445">
            <v>0.45638945233265699</v>
          </cell>
        </row>
        <row r="446">
          <cell r="A446" t="str">
            <v>028301</v>
          </cell>
          <cell r="B446">
            <v>2340.6</v>
          </cell>
          <cell r="C446">
            <v>398.83130999999997</v>
          </cell>
          <cell r="D446">
            <v>0.71719457013574595</v>
          </cell>
          <cell r="E446">
            <v>74.837107000000003</v>
          </cell>
          <cell r="F446">
            <v>0.45837104072398099</v>
          </cell>
          <cell r="G446">
            <v>234.94490400000001</v>
          </cell>
          <cell r="H446">
            <v>1.29235197368421</v>
          </cell>
          <cell r="I446">
            <v>178.99550199999999</v>
          </cell>
          <cell r="J446">
            <v>1.16241776315789</v>
          </cell>
          <cell r="K446">
            <v>1420.16263</v>
          </cell>
          <cell r="L446">
            <v>1.94224422442244</v>
          </cell>
          <cell r="M446">
            <v>69.902523000000002</v>
          </cell>
          <cell r="N446">
            <v>0.43564356435643498</v>
          </cell>
          <cell r="O446">
            <v>1563.9353120000001</v>
          </cell>
          <cell r="P446">
            <v>2.3005418924551799</v>
          </cell>
          <cell r="Q446">
            <v>134.869271</v>
          </cell>
          <cell r="R446">
            <v>0.94122551062942805</v>
          </cell>
          <cell r="S446">
            <v>5222.2464989999999</v>
          </cell>
          <cell r="T446">
            <v>4.1796246648793502</v>
          </cell>
          <cell r="U446">
            <v>406.37757599999998</v>
          </cell>
          <cell r="V446">
            <v>2.3243967828418199</v>
          </cell>
        </row>
        <row r="447">
          <cell r="A447" t="str">
            <v>028302</v>
          </cell>
          <cell r="B447">
            <v>1993.8</v>
          </cell>
          <cell r="C447">
            <v>691.11239899999998</v>
          </cell>
          <cell r="D447">
            <v>2.2222748815165798</v>
          </cell>
          <cell r="E447">
            <v>182.504032</v>
          </cell>
          <cell r="F447">
            <v>1.7687203791469099</v>
          </cell>
          <cell r="G447">
            <v>951.98455100000001</v>
          </cell>
          <cell r="H447">
            <v>2.4784712143202698</v>
          </cell>
          <cell r="I447">
            <v>224.96415300000001</v>
          </cell>
          <cell r="J447">
            <v>1.774068698597</v>
          </cell>
          <cell r="K447">
            <v>1432.409097</v>
          </cell>
          <cell r="L447">
            <v>3.0991124260355001</v>
          </cell>
          <cell r="M447">
            <v>133.04017899999999</v>
          </cell>
          <cell r="N447">
            <v>0.50246548323471396</v>
          </cell>
          <cell r="O447">
            <v>1987.1274940000001</v>
          </cell>
          <cell r="P447">
            <v>3.6725978647686799</v>
          </cell>
          <cell r="Q447">
            <v>520.99400900000001</v>
          </cell>
          <cell r="R447">
            <v>2.2724961870869298</v>
          </cell>
          <cell r="S447">
            <v>6090.02927</v>
          </cell>
          <cell r="T447">
            <v>3.4329437952142401</v>
          </cell>
          <cell r="U447">
            <v>145.43198799999999</v>
          </cell>
          <cell r="V447">
            <v>0.98107957707289895</v>
          </cell>
        </row>
        <row r="448">
          <cell r="A448" t="str">
            <v>028303</v>
          </cell>
          <cell r="B448">
            <v>1521.6</v>
          </cell>
          <cell r="C448">
            <v>1004.948863</v>
          </cell>
          <cell r="D448">
            <v>3.2019292604501599</v>
          </cell>
          <cell r="E448">
            <v>199.47485900000001</v>
          </cell>
          <cell r="F448">
            <v>1.78585209003215</v>
          </cell>
          <cell r="G448">
            <v>612.32443499999999</v>
          </cell>
          <cell r="H448">
            <v>3.9283870967741898</v>
          </cell>
          <cell r="I448">
            <v>597.64345100000003</v>
          </cell>
          <cell r="J448">
            <v>3.91096774193548</v>
          </cell>
          <cell r="K448">
            <v>798.31225199999994</v>
          </cell>
          <cell r="L448">
            <v>1.04489264801561</v>
          </cell>
          <cell r="M448">
            <v>184.92694599999999</v>
          </cell>
          <cell r="N448">
            <v>0.679245283018867</v>
          </cell>
          <cell r="O448">
            <v>3048.6131340000002</v>
          </cell>
          <cell r="P448">
            <v>2.4645669291338499</v>
          </cell>
          <cell r="Q448">
            <v>168.37413599999999</v>
          </cell>
          <cell r="R448">
            <v>0.95800524934383202</v>
          </cell>
          <cell r="S448">
            <v>4709.041123</v>
          </cell>
          <cell r="T448">
            <v>3.6040221914008299</v>
          </cell>
          <cell r="U448">
            <v>206.76400799999999</v>
          </cell>
          <cell r="V448">
            <v>0.79126213592232997</v>
          </cell>
        </row>
        <row r="449">
          <cell r="A449" t="str">
            <v>028801</v>
          </cell>
          <cell r="B449">
            <v>776.625</v>
          </cell>
          <cell r="C449">
            <v>1258.7654070000001</v>
          </cell>
          <cell r="D449">
            <v>1.50257731958762</v>
          </cell>
          <cell r="E449">
            <v>208.678302</v>
          </cell>
          <cell r="F449">
            <v>0.76932989690721598</v>
          </cell>
          <cell r="G449">
            <v>171.15778</v>
          </cell>
          <cell r="H449">
            <v>1.28169014084507</v>
          </cell>
          <cell r="I449">
            <v>171.15778</v>
          </cell>
          <cell r="J449">
            <v>1.28169014084507</v>
          </cell>
          <cell r="K449">
            <v>115.966645</v>
          </cell>
          <cell r="L449">
            <v>1.0423076923076899</v>
          </cell>
          <cell r="M449">
            <v>115.966645</v>
          </cell>
          <cell r="N449">
            <v>1.0423076923076899</v>
          </cell>
          <cell r="O449">
            <v>83.039815000000004</v>
          </cell>
          <cell r="P449">
            <v>0.98587933247753501</v>
          </cell>
          <cell r="Q449">
            <v>80.993601999999996</v>
          </cell>
          <cell r="R449">
            <v>0.97560975609755995</v>
          </cell>
          <cell r="S449">
            <v>33.086855999999997</v>
          </cell>
          <cell r="T449">
            <v>0.136186770428015</v>
          </cell>
          <cell r="U449">
            <v>4.7664929999999996</v>
          </cell>
          <cell r="V449">
            <v>7.9118028534370902E-2</v>
          </cell>
        </row>
        <row r="450">
          <cell r="A450" t="str">
            <v>028802</v>
          </cell>
          <cell r="B450">
            <v>1952.8</v>
          </cell>
          <cell r="C450">
            <v>2212.4340769999999</v>
          </cell>
          <cell r="D450">
            <v>3.37850229240957</v>
          </cell>
          <cell r="E450">
            <v>87.450215</v>
          </cell>
          <cell r="F450">
            <v>0.48191543555781902</v>
          </cell>
          <cell r="G450">
            <v>337.59246999999999</v>
          </cell>
          <cell r="H450">
            <v>1.1214285714285701</v>
          </cell>
          <cell r="I450">
            <v>185.53654399999999</v>
          </cell>
          <cell r="J450">
            <v>1.06836734693877</v>
          </cell>
          <cell r="K450">
            <v>148.609758</v>
          </cell>
          <cell r="L450">
            <v>0.70696721311475397</v>
          </cell>
          <cell r="M450">
            <v>70.694807999999995</v>
          </cell>
          <cell r="N450">
            <v>0.62961065573770403</v>
          </cell>
          <cell r="O450">
            <v>59.822848999999998</v>
          </cell>
          <cell r="P450">
            <v>0.25397639815289802</v>
          </cell>
          <cell r="Q450">
            <v>50.858953</v>
          </cell>
          <cell r="R450">
            <v>0.22113904566444301</v>
          </cell>
          <cell r="S450">
            <v>126.608341</v>
          </cell>
          <cell r="T450">
            <v>0.45412371134020602</v>
          </cell>
          <cell r="U450">
            <v>88.659036999999998</v>
          </cell>
          <cell r="V450">
            <v>0.40824742268041198</v>
          </cell>
        </row>
        <row r="451">
          <cell r="A451" t="str">
            <v>028901</v>
          </cell>
          <cell r="B451">
            <v>554.20000000000005</v>
          </cell>
          <cell r="C451">
            <v>16.134229999999999</v>
          </cell>
          <cell r="D451">
            <v>3.5514018691588697E-2</v>
          </cell>
          <cell r="E451">
            <v>10.659521</v>
          </cell>
          <cell r="F451">
            <v>3.3644859813084099E-2</v>
          </cell>
          <cell r="G451">
            <v>348.60878100000002</v>
          </cell>
          <cell r="H451">
            <v>1.3314606741573001</v>
          </cell>
          <cell r="I451">
            <v>166.76711</v>
          </cell>
          <cell r="J451">
            <v>1.2378277153557999</v>
          </cell>
          <cell r="K451">
            <v>54.497926999999997</v>
          </cell>
          <cell r="L451">
            <v>0.170172084130019</v>
          </cell>
          <cell r="M451">
            <v>47.01708</v>
          </cell>
          <cell r="N451">
            <v>0.164435946462715</v>
          </cell>
          <cell r="O451">
            <v>134.37495200000001</v>
          </cell>
          <cell r="P451">
            <v>0.15238095238095201</v>
          </cell>
          <cell r="Q451">
            <v>13.885586999999999</v>
          </cell>
          <cell r="R451">
            <v>0.12761904761904699</v>
          </cell>
          <cell r="S451">
            <v>65.790952000000004</v>
          </cell>
          <cell r="T451">
            <v>0.13302752293577899</v>
          </cell>
          <cell r="U451">
            <v>65.615009999999998</v>
          </cell>
          <cell r="V451">
            <v>0.13149847094801201</v>
          </cell>
        </row>
        <row r="452">
          <cell r="A452" t="str">
            <v>028902</v>
          </cell>
          <cell r="B452">
            <v>1080.5555549999999</v>
          </cell>
          <cell r="C452">
            <v>809.63928899999996</v>
          </cell>
          <cell r="D452">
            <v>1.1122641509433899</v>
          </cell>
          <cell r="E452">
            <v>767.66959699999995</v>
          </cell>
          <cell r="F452">
            <v>1.09245283018867</v>
          </cell>
          <cell r="G452">
            <v>73.691917000000004</v>
          </cell>
          <cell r="H452">
            <v>0.158135283363802</v>
          </cell>
          <cell r="I452">
            <v>42.336725999999999</v>
          </cell>
          <cell r="J452">
            <v>0.122486288848263</v>
          </cell>
          <cell r="K452">
            <v>71.744871000000003</v>
          </cell>
          <cell r="L452">
            <v>0.27014652014652002</v>
          </cell>
          <cell r="M452">
            <v>43.205204000000002</v>
          </cell>
          <cell r="N452">
            <v>0.19047619047618999</v>
          </cell>
          <cell r="O452">
            <v>83.923342000000005</v>
          </cell>
          <cell r="P452">
            <v>0.40810556079170501</v>
          </cell>
          <cell r="Q452">
            <v>83.923342000000005</v>
          </cell>
          <cell r="R452">
            <v>0.40810556079170501</v>
          </cell>
          <cell r="S452">
            <v>108.711893</v>
          </cell>
          <cell r="T452">
            <v>0.374769797421731</v>
          </cell>
          <cell r="U452">
            <v>107.61727999999999</v>
          </cell>
          <cell r="V452">
            <v>0.373848987108655</v>
          </cell>
        </row>
        <row r="453">
          <cell r="A453" t="str">
            <v>028903</v>
          </cell>
          <cell r="B453">
            <v>91.5</v>
          </cell>
          <cell r="C453">
            <v>775.83509300000003</v>
          </cell>
          <cell r="D453">
            <v>2.0425531914893602</v>
          </cell>
          <cell r="E453">
            <v>775.83509300000003</v>
          </cell>
          <cell r="F453">
            <v>2.0425531914893602</v>
          </cell>
          <cell r="G453">
            <v>266.935271</v>
          </cell>
          <cell r="H453">
            <v>0.159574468085106</v>
          </cell>
          <cell r="I453">
            <v>0</v>
          </cell>
          <cell r="J453">
            <v>0</v>
          </cell>
          <cell r="K453">
            <v>604.316104</v>
          </cell>
          <cell r="L453">
            <v>1.3258426966292101</v>
          </cell>
          <cell r="M453">
            <v>543.04381999999998</v>
          </cell>
          <cell r="N453">
            <v>1.1685393258426899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</row>
        <row r="454">
          <cell r="A454" t="str">
            <v>029001</v>
          </cell>
          <cell r="B454">
            <v>502.44444399999998</v>
          </cell>
          <cell r="C454">
            <v>720.76658499999996</v>
          </cell>
          <cell r="D454">
            <v>3.2095588235294099</v>
          </cell>
          <cell r="E454">
            <v>720.76658499999996</v>
          </cell>
          <cell r="F454">
            <v>3.2095588235294099</v>
          </cell>
          <cell r="G454">
            <v>75.717986999999994</v>
          </cell>
          <cell r="H454">
            <v>0.402985074626865</v>
          </cell>
          <cell r="I454">
            <v>66.102722</v>
          </cell>
          <cell r="J454">
            <v>0.35447761194029798</v>
          </cell>
          <cell r="K454">
            <v>1716.0365609999999</v>
          </cell>
          <cell r="L454">
            <v>2.8007448789571598</v>
          </cell>
          <cell r="M454">
            <v>161.26449400000001</v>
          </cell>
          <cell r="N454">
            <v>0.86778398510242005</v>
          </cell>
          <cell r="O454">
            <v>2044.8916340000001</v>
          </cell>
          <cell r="P454">
            <v>1.73003802281368</v>
          </cell>
          <cell r="Q454">
            <v>105.130386</v>
          </cell>
          <cell r="R454">
            <v>0.72433460076045597</v>
          </cell>
          <cell r="S454">
            <v>222.679846</v>
          </cell>
          <cell r="T454">
            <v>0.73764258555133</v>
          </cell>
          <cell r="U454">
            <v>32.482762000000001</v>
          </cell>
          <cell r="V454">
            <v>0.133079847908745</v>
          </cell>
        </row>
        <row r="455">
          <cell r="A455" t="str">
            <v>029002</v>
          </cell>
          <cell r="B455">
            <v>1123.444444</v>
          </cell>
          <cell r="C455">
            <v>331.46095200000002</v>
          </cell>
          <cell r="D455">
            <v>1.1394527802294701</v>
          </cell>
          <cell r="E455">
            <v>331.46095200000002</v>
          </cell>
          <cell r="F455">
            <v>1.1394527802294701</v>
          </cell>
          <cell r="G455">
            <v>85.545310999999998</v>
          </cell>
          <cell r="H455">
            <v>0.31382978723404198</v>
          </cell>
          <cell r="I455">
            <v>71.363876000000005</v>
          </cell>
          <cell r="J455">
            <v>0.21276595744680801</v>
          </cell>
          <cell r="K455">
            <v>530.53233299999999</v>
          </cell>
          <cell r="L455">
            <v>1.35273052820053</v>
          </cell>
          <cell r="M455">
            <v>26.408072000000001</v>
          </cell>
          <cell r="N455">
            <v>0.34377797672336602</v>
          </cell>
          <cell r="O455">
            <v>1672.236179</v>
          </cell>
          <cell r="P455">
            <v>1.3336314847942701</v>
          </cell>
          <cell r="Q455">
            <v>43.324209000000003</v>
          </cell>
          <cell r="R455">
            <v>0.32468694096600997</v>
          </cell>
          <cell r="S455">
            <v>17.910612</v>
          </cell>
          <cell r="T455">
            <v>0.15452930728241501</v>
          </cell>
          <cell r="U455">
            <v>12.923120000000001</v>
          </cell>
          <cell r="V455">
            <v>0.13854351687388899</v>
          </cell>
        </row>
        <row r="456">
          <cell r="A456" t="str">
            <v>029101</v>
          </cell>
          <cell r="B456">
            <v>1290.4000000000001</v>
          </cell>
          <cell r="C456">
            <v>2928.2328830000001</v>
          </cell>
          <cell r="D456">
            <v>2.36633663366336</v>
          </cell>
          <cell r="E456">
            <v>35.164154000000003</v>
          </cell>
          <cell r="F456">
            <v>0.22689768976897601</v>
          </cell>
          <cell r="G456">
            <v>427.69548099999997</v>
          </cell>
          <cell r="H456">
            <v>0.49024024024023999</v>
          </cell>
          <cell r="I456">
            <v>93.616808000000006</v>
          </cell>
          <cell r="J456">
            <v>0.24399399399399299</v>
          </cell>
          <cell r="K456">
            <v>1636.005492</v>
          </cell>
          <cell r="L456">
            <v>3.5871212121212102</v>
          </cell>
          <cell r="M456">
            <v>306.27677999999997</v>
          </cell>
          <cell r="N456">
            <v>2.3840909090908999</v>
          </cell>
          <cell r="O456">
            <v>389.80980199999999</v>
          </cell>
          <cell r="P456">
            <v>0.40414110429447803</v>
          </cell>
          <cell r="Q456">
            <v>30.237000999999999</v>
          </cell>
          <cell r="R456">
            <v>0.20782208588956999</v>
          </cell>
          <cell r="S456">
            <v>118.24497599999999</v>
          </cell>
          <cell r="T456">
            <v>0.258566978193146</v>
          </cell>
          <cell r="U456">
            <v>6.2055550000000004</v>
          </cell>
          <cell r="V456">
            <v>0.124610591900311</v>
          </cell>
        </row>
        <row r="457">
          <cell r="A457" t="str">
            <v>029102</v>
          </cell>
          <cell r="B457">
            <v>741.4</v>
          </cell>
          <cell r="C457">
            <v>876.12244999999996</v>
          </cell>
          <cell r="D457">
            <v>1.0710455764075</v>
          </cell>
          <cell r="E457">
            <v>120.986856</v>
          </cell>
          <cell r="F457">
            <v>0.43029490616621902</v>
          </cell>
          <cell r="G457">
            <v>279.306151</v>
          </cell>
          <cell r="H457">
            <v>0.479784366576819</v>
          </cell>
          <cell r="I457">
            <v>58.277161999999997</v>
          </cell>
          <cell r="J457">
            <v>0.20619946091644201</v>
          </cell>
          <cell r="K457">
            <v>471.78612199999998</v>
          </cell>
          <cell r="L457">
            <v>2.0526315789473601</v>
          </cell>
          <cell r="M457">
            <v>316.66659900000002</v>
          </cell>
          <cell r="N457">
            <v>1.9851551956815101</v>
          </cell>
          <cell r="O457">
            <v>349.26655199999999</v>
          </cell>
          <cell r="P457">
            <v>0.80868385345997196</v>
          </cell>
          <cell r="Q457">
            <v>47.064675999999999</v>
          </cell>
          <cell r="R457">
            <v>0.42062415196743502</v>
          </cell>
          <cell r="S457">
            <v>1329.8345240000001</v>
          </cell>
          <cell r="T457">
            <v>2.6153846153846101</v>
          </cell>
          <cell r="U457">
            <v>109.647323</v>
          </cell>
          <cell r="V457">
            <v>1.46423751686909</v>
          </cell>
        </row>
        <row r="458">
          <cell r="A458" t="str">
            <v>029103</v>
          </cell>
          <cell r="B458">
            <v>510.2</v>
          </cell>
          <cell r="C458">
            <v>188.94637</v>
          </cell>
          <cell r="D458">
            <v>0.212890625</v>
          </cell>
          <cell r="E458">
            <v>7.9017210000000002</v>
          </cell>
          <cell r="F458">
            <v>4.4921875E-2</v>
          </cell>
          <cell r="G458">
            <v>157.656049</v>
          </cell>
          <cell r="H458">
            <v>0.20669291338582599</v>
          </cell>
          <cell r="I458">
            <v>20.513286999999998</v>
          </cell>
          <cell r="J458">
            <v>0.133858267716535</v>
          </cell>
          <cell r="K458">
            <v>2514.086757</v>
          </cell>
          <cell r="L458">
            <v>3.11741682974559</v>
          </cell>
          <cell r="M458">
            <v>477.79008399999998</v>
          </cell>
          <cell r="N458">
            <v>2.1115459882583099</v>
          </cell>
          <cell r="O458">
            <v>537.97895200000005</v>
          </cell>
          <cell r="P458">
            <v>1.1916996047430799</v>
          </cell>
          <cell r="Q458">
            <v>142.204216</v>
          </cell>
          <cell r="R458">
            <v>0.56719367588932801</v>
          </cell>
          <cell r="S458">
            <v>313.60781300000002</v>
          </cell>
          <cell r="T458">
            <v>0.91828793774318995</v>
          </cell>
          <cell r="U458">
            <v>88.552723</v>
          </cell>
          <cell r="V458">
            <v>0.58560311284046596</v>
          </cell>
        </row>
        <row r="459">
          <cell r="A459" t="str">
            <v>029201</v>
          </cell>
          <cell r="B459">
            <v>417.4</v>
          </cell>
          <cell r="C459">
            <v>7030.2326119999998</v>
          </cell>
          <cell r="D459">
            <v>3.46226415094339</v>
          </cell>
          <cell r="E459">
            <v>216.81128200000001</v>
          </cell>
          <cell r="F459">
            <v>0.875</v>
          </cell>
          <cell r="G459">
            <v>166.41431600000001</v>
          </cell>
          <cell r="H459">
            <v>0.31205673758865199</v>
          </cell>
          <cell r="I459">
            <v>39.559829000000001</v>
          </cell>
          <cell r="J459">
            <v>0.26950354609929</v>
          </cell>
          <cell r="K459">
            <v>3029.2523799999999</v>
          </cell>
          <cell r="L459">
            <v>0.85952380952380902</v>
          </cell>
          <cell r="M459">
            <v>58.500317000000003</v>
          </cell>
          <cell r="N459">
            <v>0.161904761904761</v>
          </cell>
          <cell r="O459">
            <v>2234.952237</v>
          </cell>
          <cell r="P459">
            <v>1.7601918465227799</v>
          </cell>
          <cell r="Q459">
            <v>129.31678600000001</v>
          </cell>
          <cell r="R459">
            <v>0.50119904076738597</v>
          </cell>
          <cell r="S459">
            <v>67.150413</v>
          </cell>
          <cell r="T459">
            <v>0.131513647642679</v>
          </cell>
          <cell r="U459">
            <v>56.035525</v>
          </cell>
          <cell r="V459">
            <v>0.126550868486352</v>
          </cell>
        </row>
        <row r="460">
          <cell r="A460" t="str">
            <v>029202</v>
          </cell>
          <cell r="B460">
            <v>375.4</v>
          </cell>
          <cell r="C460">
            <v>5096.0917680000002</v>
          </cell>
          <cell r="D460">
            <v>2.6816976127320902</v>
          </cell>
          <cell r="E460">
            <v>545.06742999999994</v>
          </cell>
          <cell r="F460">
            <v>1.0450928381962801</v>
          </cell>
          <cell r="G460">
            <v>1194.844319</v>
          </cell>
          <cell r="H460">
            <v>0.52785145888594098</v>
          </cell>
          <cell r="I460">
            <v>79.124836000000002</v>
          </cell>
          <cell r="J460">
            <v>0.108753315649867</v>
          </cell>
          <cell r="K460">
            <v>1014.896119</v>
          </cell>
          <cell r="L460">
            <v>0.52910052910052896</v>
          </cell>
          <cell r="M460">
            <v>94.490167</v>
          </cell>
          <cell r="N460">
            <v>0.26719576719576699</v>
          </cell>
          <cell r="O460">
            <v>1082.4624429999999</v>
          </cell>
          <cell r="P460">
            <v>0.95199999999999896</v>
          </cell>
          <cell r="Q460">
            <v>28.661777000000001</v>
          </cell>
          <cell r="R460">
            <v>5.3333333333333302E-2</v>
          </cell>
          <cell r="S460">
            <v>100.005089</v>
          </cell>
          <cell r="T460">
            <v>0.34594594594594502</v>
          </cell>
          <cell r="U460">
            <v>56.554144000000001</v>
          </cell>
          <cell r="V460">
            <v>0.251351351351351</v>
          </cell>
        </row>
        <row r="461">
          <cell r="A461" t="str">
            <v>029203</v>
          </cell>
          <cell r="B461">
            <v>1128</v>
          </cell>
          <cell r="C461">
            <v>3184.634935</v>
          </cell>
          <cell r="D461">
            <v>2.4656690140844999</v>
          </cell>
          <cell r="E461">
            <v>86.402980999999997</v>
          </cell>
          <cell r="F461">
            <v>0.25704225352112597</v>
          </cell>
          <cell r="G461">
            <v>203.63450599999999</v>
          </cell>
          <cell r="H461">
            <v>0.31448763250883299</v>
          </cell>
          <cell r="I461">
            <v>52.872199999999999</v>
          </cell>
          <cell r="J461">
            <v>0.248233215547703</v>
          </cell>
          <cell r="K461">
            <v>1335.307018</v>
          </cell>
          <cell r="L461">
            <v>1.7047872340425501</v>
          </cell>
          <cell r="M461">
            <v>96.312618000000001</v>
          </cell>
          <cell r="N461">
            <v>0.48138297872340402</v>
          </cell>
          <cell r="O461">
            <v>84.818088000000003</v>
          </cell>
          <cell r="P461">
            <v>0.11377777777777701</v>
          </cell>
          <cell r="Q461">
            <v>14.388266</v>
          </cell>
          <cell r="R461">
            <v>7.1111111111111097E-2</v>
          </cell>
          <cell r="S461">
            <v>32.078907999999998</v>
          </cell>
          <cell r="T461">
            <v>0.144772117962466</v>
          </cell>
          <cell r="U461">
            <v>15.525930000000001</v>
          </cell>
          <cell r="V461">
            <v>0.124218051831992</v>
          </cell>
        </row>
        <row r="462">
          <cell r="A462" t="str">
            <v>029301</v>
          </cell>
          <cell r="B462">
            <v>2379.6</v>
          </cell>
          <cell r="C462">
            <v>148.35694000000001</v>
          </cell>
          <cell r="D462">
            <v>0.77194456110877696</v>
          </cell>
          <cell r="E462">
            <v>148.20548299999999</v>
          </cell>
          <cell r="F462">
            <v>0.77026459470810504</v>
          </cell>
          <cell r="G462">
            <v>449.39640400000002</v>
          </cell>
          <cell r="H462">
            <v>1.99040066777963</v>
          </cell>
          <cell r="I462">
            <v>275.73840100000001</v>
          </cell>
          <cell r="J462">
            <v>0.99457429048414003</v>
          </cell>
          <cell r="K462">
            <v>1087.022307</v>
          </cell>
          <cell r="L462">
            <v>2.33095637583892</v>
          </cell>
          <cell r="M462">
            <v>129.17972499999999</v>
          </cell>
          <cell r="N462">
            <v>1.86367449664429</v>
          </cell>
          <cell r="O462">
            <v>486.03981900000002</v>
          </cell>
          <cell r="P462">
            <v>1.0682392586352101</v>
          </cell>
          <cell r="Q462">
            <v>485.91661699999997</v>
          </cell>
          <cell r="R462">
            <v>1.0678180286436301</v>
          </cell>
          <cell r="S462">
            <v>101.328571</v>
          </cell>
          <cell r="T462">
            <v>0.40837917900973297</v>
          </cell>
          <cell r="U462">
            <v>62.280222000000002</v>
          </cell>
          <cell r="V462">
            <v>0.36394413880660098</v>
          </cell>
        </row>
        <row r="463">
          <cell r="A463" t="str">
            <v>029302</v>
          </cell>
          <cell r="B463">
            <v>1375.777777</v>
          </cell>
          <cell r="C463">
            <v>239.608148</v>
          </cell>
          <cell r="D463">
            <v>0.89784172661870498</v>
          </cell>
          <cell r="E463">
            <v>239.608148</v>
          </cell>
          <cell r="F463">
            <v>0.89784172661870498</v>
          </cell>
          <cell r="G463">
            <v>613.53157599999997</v>
          </cell>
          <cell r="H463">
            <v>3.6673881673881601</v>
          </cell>
          <cell r="I463">
            <v>570.40426200000002</v>
          </cell>
          <cell r="J463">
            <v>3.4357864357864298</v>
          </cell>
          <cell r="K463">
            <v>971.11341700000003</v>
          </cell>
          <cell r="L463">
            <v>3.1065217391304301</v>
          </cell>
          <cell r="M463">
            <v>822.89166599999999</v>
          </cell>
          <cell r="N463">
            <v>3</v>
          </cell>
          <cell r="O463">
            <v>19.656874999999999</v>
          </cell>
          <cell r="P463">
            <v>4.7549378200438898E-2</v>
          </cell>
          <cell r="Q463">
            <v>18.526615</v>
          </cell>
          <cell r="R463">
            <v>4.1697147037307897E-2</v>
          </cell>
          <cell r="S463">
            <v>150.27138500000001</v>
          </cell>
          <cell r="T463">
            <v>0.818782098312545</v>
          </cell>
          <cell r="U463">
            <v>149.00347199999999</v>
          </cell>
          <cell r="V463">
            <v>0.81511371973587599</v>
          </cell>
        </row>
        <row r="464">
          <cell r="A464" t="str">
            <v>029303</v>
          </cell>
          <cell r="B464">
            <v>780.875</v>
          </cell>
          <cell r="C464">
            <v>37.473765999999998</v>
          </cell>
          <cell r="D464">
            <v>0.26369426751592301</v>
          </cell>
          <cell r="E464">
            <v>37.473765999999998</v>
          </cell>
          <cell r="F464">
            <v>0.26369426751592301</v>
          </cell>
          <cell r="G464">
            <v>1290.3126420000001</v>
          </cell>
          <cell r="H464">
            <v>2.54859335038363</v>
          </cell>
          <cell r="I464">
            <v>760.86841000000004</v>
          </cell>
          <cell r="J464">
            <v>1.93350383631713</v>
          </cell>
          <cell r="K464">
            <v>471.68533300000001</v>
          </cell>
          <cell r="L464">
            <v>3.19667943805874</v>
          </cell>
          <cell r="M464">
            <v>397.28299199999998</v>
          </cell>
          <cell r="N464">
            <v>2.6130268199233702</v>
          </cell>
          <cell r="O464">
            <v>272.865318</v>
          </cell>
          <cell r="P464">
            <v>1.0641848523748301</v>
          </cell>
          <cell r="Q464">
            <v>55.686242999999997</v>
          </cell>
          <cell r="R464">
            <v>0.33632862644415901</v>
          </cell>
          <cell r="S464">
            <v>132.641537</v>
          </cell>
          <cell r="T464">
            <v>0.23643410852713101</v>
          </cell>
          <cell r="U464">
            <v>132.641537</v>
          </cell>
          <cell r="V464">
            <v>0.23643410852713101</v>
          </cell>
        </row>
        <row r="465">
          <cell r="A465" t="str">
            <v>029401</v>
          </cell>
          <cell r="B465">
            <v>1252.25</v>
          </cell>
          <cell r="C465">
            <v>19.652791000000001</v>
          </cell>
          <cell r="D465">
            <v>0.106858054226475</v>
          </cell>
          <cell r="E465">
            <v>19.652791000000001</v>
          </cell>
          <cell r="F465">
            <v>0.106858054226475</v>
          </cell>
          <cell r="G465">
            <v>254.09536</v>
          </cell>
          <cell r="H465">
            <v>1.3601593625498001</v>
          </cell>
          <cell r="I465">
            <v>87.160176000000007</v>
          </cell>
          <cell r="J465">
            <v>1.0597609561752901</v>
          </cell>
          <cell r="K465">
            <v>251.95090300000001</v>
          </cell>
          <cell r="L465">
            <v>0.73583399840383001</v>
          </cell>
          <cell r="M465">
            <v>214.71552199999999</v>
          </cell>
          <cell r="N465">
            <v>0.67198723064644805</v>
          </cell>
          <cell r="O465">
            <v>8.459975</v>
          </cell>
          <cell r="P465">
            <v>9.2948717948717896E-2</v>
          </cell>
          <cell r="Q465">
            <v>8.459975</v>
          </cell>
          <cell r="R465">
            <v>9.2948717948717896E-2</v>
          </cell>
          <cell r="S465">
            <v>332.32882599999999</v>
          </cell>
          <cell r="T465">
            <v>0.79120000000000001</v>
          </cell>
          <cell r="U465">
            <v>311.43062600000002</v>
          </cell>
          <cell r="V465">
            <v>0.77759999999999996</v>
          </cell>
        </row>
        <row r="466">
          <cell r="A466" t="str">
            <v>029402</v>
          </cell>
          <cell r="B466">
            <v>460.57142800000003</v>
          </cell>
          <cell r="C466">
            <v>18.595179000000002</v>
          </cell>
          <cell r="D466">
            <v>0.116740088105726</v>
          </cell>
          <cell r="E466">
            <v>18.595179000000002</v>
          </cell>
          <cell r="F466">
            <v>0.116740088105726</v>
          </cell>
          <cell r="G466">
            <v>380.12254100000001</v>
          </cell>
          <cell r="H466">
            <v>0.53406593406593394</v>
          </cell>
          <cell r="I466">
            <v>106.71402500000001</v>
          </cell>
          <cell r="J466">
            <v>0.235164835164835</v>
          </cell>
          <cell r="K466">
            <v>57.648750999999997</v>
          </cell>
          <cell r="L466">
            <v>0.51762114537444903</v>
          </cell>
          <cell r="M466">
            <v>57.648750999999997</v>
          </cell>
          <cell r="N466">
            <v>0.51762114537444903</v>
          </cell>
          <cell r="O466">
            <v>145.974378</v>
          </cell>
          <cell r="P466">
            <v>0.52850877192982404</v>
          </cell>
          <cell r="Q466">
            <v>145.974378</v>
          </cell>
          <cell r="R466">
            <v>0.52850877192982404</v>
          </cell>
          <cell r="S466">
            <v>35.997368000000002</v>
          </cell>
          <cell r="T466">
            <v>0.14315789473684201</v>
          </cell>
          <cell r="U466">
            <v>27.326806999999999</v>
          </cell>
          <cell r="V466">
            <v>0.117894736842105</v>
          </cell>
        </row>
        <row r="467">
          <cell r="A467" t="str">
            <v>029404</v>
          </cell>
          <cell r="B467">
            <v>1705.888888</v>
          </cell>
          <cell r="C467">
            <v>278.36262799999997</v>
          </cell>
          <cell r="D467">
            <v>1.0754827384435299</v>
          </cell>
          <cell r="E467">
            <v>266.76939700000003</v>
          </cell>
          <cell r="F467">
            <v>1.0163838502047899</v>
          </cell>
          <cell r="G467">
            <v>275.68755499999997</v>
          </cell>
          <cell r="H467">
            <v>0.94207138677589197</v>
          </cell>
          <cell r="I467">
            <v>103.719122</v>
          </cell>
          <cell r="J467">
            <v>0.36805149210064297</v>
          </cell>
          <cell r="K467">
            <v>1020.810517</v>
          </cell>
          <cell r="L467">
            <v>2.3900293255131899</v>
          </cell>
          <cell r="M467">
            <v>433.10855299999997</v>
          </cell>
          <cell r="N467">
            <v>2.1994134897360702</v>
          </cell>
          <cell r="O467">
            <v>78.704761000000005</v>
          </cell>
          <cell r="P467">
            <v>0.68900646678424404</v>
          </cell>
          <cell r="Q467">
            <v>70.179394000000002</v>
          </cell>
          <cell r="R467">
            <v>0.41916519694297399</v>
          </cell>
          <cell r="S467">
            <v>21.291191999999999</v>
          </cell>
          <cell r="T467">
            <v>0.19296187683284399</v>
          </cell>
          <cell r="U467">
            <v>21.291191999999999</v>
          </cell>
          <cell r="V467">
            <v>0.19296187683284399</v>
          </cell>
        </row>
        <row r="468">
          <cell r="A468" t="str">
            <v>029405</v>
          </cell>
          <cell r="B468">
            <v>771.11111100000005</v>
          </cell>
          <cell r="C468">
            <v>1.2778970000000001</v>
          </cell>
          <cell r="D468">
            <v>1.2465373961218801E-2</v>
          </cell>
          <cell r="E468">
            <v>1.2778970000000001</v>
          </cell>
          <cell r="F468">
            <v>1.2465373961218801E-2</v>
          </cell>
          <cell r="G468">
            <v>41.622487</v>
          </cell>
          <cell r="H468">
            <v>0.14643304130162699</v>
          </cell>
          <cell r="I468">
            <v>32.131681</v>
          </cell>
          <cell r="J468">
            <v>0.13892365456820999</v>
          </cell>
          <cell r="K468">
            <v>58.647131000000002</v>
          </cell>
          <cell r="L468">
            <v>0.32673267326732602</v>
          </cell>
          <cell r="M468">
            <v>53.286509000000002</v>
          </cell>
          <cell r="N468">
            <v>0.32549504950495001</v>
          </cell>
          <cell r="O468">
            <v>146.55271099999999</v>
          </cell>
          <cell r="P468">
            <v>0.37664041994750602</v>
          </cell>
          <cell r="Q468">
            <v>115.773162</v>
          </cell>
          <cell r="R468">
            <v>0.349081364829396</v>
          </cell>
          <cell r="S468">
            <v>98.837048999999993</v>
          </cell>
          <cell r="T468">
            <v>0.24594594594594499</v>
          </cell>
          <cell r="U468">
            <v>43.753760999999997</v>
          </cell>
          <cell r="V468">
            <v>0.231081081081081</v>
          </cell>
        </row>
        <row r="469">
          <cell r="A469" t="str">
            <v>029406</v>
          </cell>
          <cell r="B469">
            <v>1037.6666660000001</v>
          </cell>
          <cell r="C469">
            <v>1816.8665739999999</v>
          </cell>
          <cell r="D469">
            <v>9.42777777777777</v>
          </cell>
          <cell r="E469">
            <v>1645.202812</v>
          </cell>
          <cell r="F469">
            <v>9.3231481481481406</v>
          </cell>
          <cell r="G469">
            <v>95.356551999999994</v>
          </cell>
          <cell r="H469">
            <v>0.229826353421859</v>
          </cell>
          <cell r="I469">
            <v>95.356551999999994</v>
          </cell>
          <cell r="J469">
            <v>0.229826353421859</v>
          </cell>
          <cell r="K469">
            <v>167.63619499999999</v>
          </cell>
          <cell r="L469">
            <v>0.46319018404907902</v>
          </cell>
          <cell r="M469">
            <v>148.36046300000001</v>
          </cell>
          <cell r="N469">
            <v>0.43353783231083798</v>
          </cell>
          <cell r="O469">
            <v>302.24838</v>
          </cell>
          <cell r="P469">
            <v>1.61238095238095</v>
          </cell>
          <cell r="Q469">
            <v>298.83580899999998</v>
          </cell>
          <cell r="R469">
            <v>1.5933333333333299</v>
          </cell>
          <cell r="S469">
            <v>177.521345</v>
          </cell>
          <cell r="T469">
            <v>0.66697761194029803</v>
          </cell>
          <cell r="U469">
            <v>75.785696000000002</v>
          </cell>
          <cell r="V469">
            <v>0.42910447761193998</v>
          </cell>
        </row>
        <row r="470">
          <cell r="A470" t="str">
            <v>029501</v>
          </cell>
          <cell r="B470">
            <v>988.8</v>
          </cell>
          <cell r="C470">
            <v>2780.3221560000002</v>
          </cell>
          <cell r="D470">
            <v>3.58234126984126</v>
          </cell>
          <cell r="E470">
            <v>429.43300399999998</v>
          </cell>
          <cell r="F470">
            <v>2.13095238095238</v>
          </cell>
          <cell r="G470">
            <v>1246.8081999999999</v>
          </cell>
          <cell r="H470">
            <v>1.43482587064676</v>
          </cell>
          <cell r="I470">
            <v>321.14322700000002</v>
          </cell>
          <cell r="J470">
            <v>1.03084577114427</v>
          </cell>
          <cell r="K470">
            <v>2323.5863159999999</v>
          </cell>
          <cell r="L470">
            <v>0.84740590030518803</v>
          </cell>
          <cell r="M470">
            <v>40.417428999999998</v>
          </cell>
          <cell r="N470">
            <v>0.33163784333672403</v>
          </cell>
          <cell r="O470">
            <v>816.82816800000001</v>
          </cell>
          <cell r="P470">
            <v>2.1656441717791401</v>
          </cell>
          <cell r="Q470">
            <v>757.98476400000004</v>
          </cell>
          <cell r="R470">
            <v>2.0889570552147201</v>
          </cell>
          <cell r="S470">
            <v>439.63706100000002</v>
          </cell>
          <cell r="T470">
            <v>1.33711340206185</v>
          </cell>
          <cell r="U470">
            <v>335.950309</v>
          </cell>
          <cell r="V470">
            <v>1.21237113402061</v>
          </cell>
        </row>
        <row r="471">
          <cell r="A471" t="str">
            <v>029502</v>
          </cell>
          <cell r="B471">
            <v>588.20000000000005</v>
          </cell>
          <cell r="C471">
            <v>697.17112999999995</v>
          </cell>
          <cell r="D471">
            <v>0.52542372881355903</v>
          </cell>
          <cell r="E471">
            <v>40.064287999999998</v>
          </cell>
          <cell r="F471">
            <v>0.189830508474576</v>
          </cell>
          <cell r="G471">
            <v>133.20942600000001</v>
          </cell>
          <cell r="H471">
            <v>0.14576271186440601</v>
          </cell>
          <cell r="I471">
            <v>68.922268000000003</v>
          </cell>
          <cell r="J471">
            <v>0.111864406779661</v>
          </cell>
          <cell r="K471">
            <v>5.8785869999999996</v>
          </cell>
          <cell r="L471">
            <v>2.20338983050847E-2</v>
          </cell>
          <cell r="M471">
            <v>5.6407340000000001</v>
          </cell>
          <cell r="N471">
            <v>2.0338983050847401E-2</v>
          </cell>
          <cell r="O471">
            <v>55.466751000000002</v>
          </cell>
          <cell r="P471">
            <v>0.55536626916524701</v>
          </cell>
          <cell r="Q471">
            <v>48.891112999999997</v>
          </cell>
          <cell r="R471">
            <v>0.54003407155025496</v>
          </cell>
          <cell r="S471">
            <v>552.93156299999998</v>
          </cell>
          <cell r="T471">
            <v>2.4263698630136901</v>
          </cell>
          <cell r="U471">
            <v>516.786158</v>
          </cell>
          <cell r="V471">
            <v>2.38356164383561</v>
          </cell>
        </row>
        <row r="472">
          <cell r="A472" t="str">
            <v>029601</v>
          </cell>
          <cell r="B472">
            <v>788.4</v>
          </cell>
          <cell r="C472">
            <v>8527.7342040000003</v>
          </cell>
          <cell r="D472">
            <v>2.4217171717171699</v>
          </cell>
          <cell r="E472">
            <v>96.326088999999996</v>
          </cell>
          <cell r="F472">
            <v>0.50757575757575701</v>
          </cell>
          <cell r="G472">
            <v>452.26967999999999</v>
          </cell>
          <cell r="H472">
            <v>0.49557522123893799</v>
          </cell>
          <cell r="I472">
            <v>52.462369000000002</v>
          </cell>
          <cell r="J472">
            <v>0.28950695322376702</v>
          </cell>
          <cell r="K472">
            <v>1788.3191340000001</v>
          </cell>
          <cell r="L472">
            <v>0.79240506329113902</v>
          </cell>
          <cell r="M472">
            <v>304.85303699999997</v>
          </cell>
          <cell r="N472">
            <v>0.59367088607594898</v>
          </cell>
          <cell r="O472">
            <v>1816.764527</v>
          </cell>
          <cell r="P472">
            <v>3.9161372299872901</v>
          </cell>
          <cell r="Q472">
            <v>726.91457000000003</v>
          </cell>
          <cell r="R472">
            <v>2.9072426937738198</v>
          </cell>
          <cell r="S472">
            <v>115.15656300000001</v>
          </cell>
          <cell r="T472">
            <v>1.2787723785166201</v>
          </cell>
          <cell r="U472">
            <v>103.949381</v>
          </cell>
          <cell r="V472">
            <v>1.2071611253196901</v>
          </cell>
        </row>
        <row r="473">
          <cell r="A473" t="str">
            <v>029602</v>
          </cell>
          <cell r="B473">
            <v>1705.2</v>
          </cell>
          <cell r="C473">
            <v>3644.6459460000001</v>
          </cell>
          <cell r="D473">
            <v>2.2846244131455302</v>
          </cell>
          <cell r="E473">
            <v>202.89639700000001</v>
          </cell>
          <cell r="F473">
            <v>1.2001173708920101</v>
          </cell>
          <cell r="G473">
            <v>1280.0205739999999</v>
          </cell>
          <cell r="H473">
            <v>0.80841121495327095</v>
          </cell>
          <cell r="I473">
            <v>23.396118000000001</v>
          </cell>
          <cell r="J473">
            <v>0.22196261682242899</v>
          </cell>
          <cell r="K473">
            <v>512.45627000000002</v>
          </cell>
          <cell r="L473">
            <v>1.11819777647747</v>
          </cell>
          <cell r="M473">
            <v>116.849853</v>
          </cell>
          <cell r="N473">
            <v>0.87946167349326998</v>
          </cell>
          <cell r="O473">
            <v>342.84680700000001</v>
          </cell>
          <cell r="P473">
            <v>2.2961222091656799</v>
          </cell>
          <cell r="Q473">
            <v>277.17627299999998</v>
          </cell>
          <cell r="R473">
            <v>2.1880141010575702</v>
          </cell>
          <cell r="S473">
            <v>345.190023</v>
          </cell>
          <cell r="T473">
            <v>3.27427898763978</v>
          </cell>
          <cell r="U473">
            <v>213.89597800000001</v>
          </cell>
          <cell r="V473">
            <v>2.4755738669805698</v>
          </cell>
        </row>
        <row r="474">
          <cell r="A474" t="str">
            <v>029603</v>
          </cell>
          <cell r="B474">
            <v>1105.5999999999999</v>
          </cell>
          <cell r="C474">
            <v>3834.8066640000002</v>
          </cell>
          <cell r="D474">
            <v>1.3550135501355001</v>
          </cell>
          <cell r="E474">
            <v>54.965904000000002</v>
          </cell>
          <cell r="F474">
            <v>0.25835591689250198</v>
          </cell>
          <cell r="G474">
            <v>403.499527</v>
          </cell>
          <cell r="H474">
            <v>0.51714801444043301</v>
          </cell>
          <cell r="I474">
            <v>92.206778999999997</v>
          </cell>
          <cell r="J474">
            <v>0.340252707581227</v>
          </cell>
          <cell r="K474">
            <v>679.54894300000001</v>
          </cell>
          <cell r="L474">
            <v>0.81900452488687703</v>
          </cell>
          <cell r="M474">
            <v>109.244615</v>
          </cell>
          <cell r="N474">
            <v>0.55384615384615299</v>
          </cell>
          <cell r="O474">
            <v>412.49900200000002</v>
          </cell>
          <cell r="P474">
            <v>1.8088768115942</v>
          </cell>
          <cell r="Q474">
            <v>265.73499299999997</v>
          </cell>
          <cell r="R474">
            <v>1.7192028985507199</v>
          </cell>
          <cell r="S474">
            <v>290.10422599999998</v>
          </cell>
          <cell r="T474">
            <v>2.2146739130434701</v>
          </cell>
          <cell r="U474">
            <v>155.970652</v>
          </cell>
          <cell r="V474">
            <v>2.0625</v>
          </cell>
        </row>
        <row r="475">
          <cell r="A475" t="str">
            <v>029701</v>
          </cell>
          <cell r="B475">
            <v>711.44444399999998</v>
          </cell>
          <cell r="C475">
            <v>442.383287</v>
          </cell>
          <cell r="D475">
            <v>0.71568627450980304</v>
          </cell>
          <cell r="E475">
            <v>9.3507379999999998</v>
          </cell>
          <cell r="F475">
            <v>7.8431372549019607E-2</v>
          </cell>
          <cell r="G475">
            <v>47.580517</v>
          </cell>
          <cell r="H475">
            <v>0.42874845105328302</v>
          </cell>
          <cell r="I475">
            <v>47.580517</v>
          </cell>
          <cell r="J475">
            <v>0.42874845105328302</v>
          </cell>
          <cell r="K475">
            <v>452.77228300000002</v>
          </cell>
          <cell r="L475">
            <v>0.74004975124378103</v>
          </cell>
          <cell r="M475">
            <v>443.65186499999999</v>
          </cell>
          <cell r="N475">
            <v>0.731343283582089</v>
          </cell>
          <cell r="O475">
            <v>41.195417999999997</v>
          </cell>
          <cell r="P475">
            <v>0.42622950819672101</v>
          </cell>
          <cell r="Q475">
            <v>31.090520999999999</v>
          </cell>
          <cell r="R475">
            <v>0.35435056746532101</v>
          </cell>
          <cell r="S475">
            <v>740.84512299999994</v>
          </cell>
          <cell r="T475">
            <v>3.0012610340479098</v>
          </cell>
          <cell r="U475">
            <v>42.274464000000002</v>
          </cell>
          <cell r="V475">
            <v>0.30138713745271101</v>
          </cell>
        </row>
        <row r="476">
          <cell r="A476" t="str">
            <v>029702</v>
          </cell>
          <cell r="B476">
            <v>1910.8</v>
          </cell>
          <cell r="C476">
            <v>247.54529099999999</v>
          </cell>
          <cell r="D476">
            <v>1.1257861635220101</v>
          </cell>
          <cell r="E476">
            <v>187.18990199999999</v>
          </cell>
          <cell r="F476">
            <v>1.03039832285115</v>
          </cell>
          <cell r="G476">
            <v>1011.081872</v>
          </cell>
          <cell r="H476">
            <v>1.9254201680672201</v>
          </cell>
          <cell r="I476">
            <v>955.98005899999998</v>
          </cell>
          <cell r="J476">
            <v>1.82720588235294</v>
          </cell>
          <cell r="K476">
            <v>278.20276200000001</v>
          </cell>
          <cell r="L476">
            <v>0.384210526315789</v>
          </cell>
          <cell r="M476">
            <v>41.569999000000003</v>
          </cell>
          <cell r="N476">
            <v>0.246842105263157</v>
          </cell>
          <cell r="O476">
            <v>21.510822000000001</v>
          </cell>
          <cell r="P476">
            <v>0.250647332988089</v>
          </cell>
          <cell r="Q476">
            <v>19.969255</v>
          </cell>
          <cell r="R476">
            <v>0.24236147074054801</v>
          </cell>
          <cell r="S476">
            <v>118.014816</v>
          </cell>
          <cell r="T476">
            <v>1.37100994243851</v>
          </cell>
          <cell r="U476">
            <v>36.263368999999997</v>
          </cell>
          <cell r="V476">
            <v>0.34222919937205598</v>
          </cell>
        </row>
        <row r="477">
          <cell r="A477" t="str">
            <v>029801</v>
          </cell>
          <cell r="B477">
            <v>420.77777700000001</v>
          </cell>
          <cell r="C477">
            <v>2378.3868440000001</v>
          </cell>
          <cell r="D477">
            <v>1.8341625207296799</v>
          </cell>
          <cell r="E477">
            <v>44.381070000000001</v>
          </cell>
          <cell r="F477">
            <v>0.30348258706467601</v>
          </cell>
          <cell r="G477">
            <v>178.17407399999999</v>
          </cell>
          <cell r="H477">
            <v>0.20867208672086701</v>
          </cell>
          <cell r="I477">
            <v>20.235652999999999</v>
          </cell>
          <cell r="J477">
            <v>0.154471544715447</v>
          </cell>
          <cell r="K477">
            <v>199.37870100000001</v>
          </cell>
          <cell r="L477">
            <v>1.45231607629427</v>
          </cell>
          <cell r="M477">
            <v>59.456493999999999</v>
          </cell>
          <cell r="N477">
            <v>0.44141689373296999</v>
          </cell>
          <cell r="O477">
            <v>182.247063</v>
          </cell>
          <cell r="P477">
            <v>1.17615176151761</v>
          </cell>
          <cell r="Q477">
            <v>181.11639500000001</v>
          </cell>
          <cell r="R477">
            <v>1.17344173441734</v>
          </cell>
          <cell r="S477">
            <v>192.491015</v>
          </cell>
          <cell r="T477">
            <v>0.79514824797843597</v>
          </cell>
          <cell r="U477">
            <v>192.491015</v>
          </cell>
          <cell r="V477">
            <v>0.79514824797843597</v>
          </cell>
        </row>
        <row r="478">
          <cell r="A478" t="str">
            <v>029802</v>
          </cell>
          <cell r="B478">
            <v>678.2</v>
          </cell>
          <cell r="C478">
            <v>7010.0687989999997</v>
          </cell>
          <cell r="D478">
            <v>3.1582150101419799</v>
          </cell>
          <cell r="E478">
            <v>105.462729</v>
          </cell>
          <cell r="F478">
            <v>0.29411764705882298</v>
          </cell>
          <cell r="G478">
            <v>141.06766400000001</v>
          </cell>
          <cell r="H478">
            <v>0.72305593451568795</v>
          </cell>
          <cell r="I478">
            <v>137.64335299999999</v>
          </cell>
          <cell r="J478">
            <v>0.72032742155525198</v>
          </cell>
          <cell r="K478">
            <v>625.67640400000005</v>
          </cell>
          <cell r="L478">
            <v>1.5138121546961301</v>
          </cell>
          <cell r="M478">
            <v>177.86035899999999</v>
          </cell>
          <cell r="N478">
            <v>0.33287292817679498</v>
          </cell>
          <cell r="O478">
            <v>348.29777999999999</v>
          </cell>
          <cell r="P478">
            <v>1.09431345353675</v>
          </cell>
          <cell r="Q478">
            <v>185.129426</v>
          </cell>
          <cell r="R478">
            <v>0.94174757281553301</v>
          </cell>
          <cell r="S478">
            <v>370.51043900000002</v>
          </cell>
          <cell r="T478">
            <v>1.7916666666666601</v>
          </cell>
          <cell r="U478">
            <v>369.62069400000001</v>
          </cell>
          <cell r="V478">
            <v>1.7861111111111101</v>
          </cell>
        </row>
        <row r="479">
          <cell r="A479" t="str">
            <v>029901</v>
          </cell>
          <cell r="B479">
            <v>1091.5999999999999</v>
          </cell>
          <cell r="C479">
            <v>178.01383100000001</v>
          </cell>
          <cell r="D479">
            <v>0.56549520766773098</v>
          </cell>
          <cell r="E479">
            <v>66.712047999999996</v>
          </cell>
          <cell r="F479">
            <v>0.503194888178913</v>
          </cell>
          <cell r="G479">
            <v>37.876739999999998</v>
          </cell>
          <cell r="H479">
            <v>0.249174917491749</v>
          </cell>
          <cell r="I479">
            <v>37.092134999999999</v>
          </cell>
          <cell r="J479">
            <v>0.247524752475247</v>
          </cell>
          <cell r="K479">
            <v>760.42191500000001</v>
          </cell>
          <cell r="L479">
            <v>1.2044517724649599</v>
          </cell>
          <cell r="M479">
            <v>38.850783</v>
          </cell>
          <cell r="N479">
            <v>0.13355317394888699</v>
          </cell>
          <cell r="O479">
            <v>72.935438000000005</v>
          </cell>
          <cell r="P479">
            <v>0.34434351775392202</v>
          </cell>
          <cell r="Q479">
            <v>64.944439000000003</v>
          </cell>
          <cell r="R479">
            <v>0.30883567299752201</v>
          </cell>
          <cell r="S479">
            <v>258.05657600000001</v>
          </cell>
          <cell r="T479">
            <v>0.743311036789297</v>
          </cell>
          <cell r="U479">
            <v>139.15026399999999</v>
          </cell>
          <cell r="V479">
            <v>0.60785953177257501</v>
          </cell>
        </row>
        <row r="480">
          <cell r="A480" t="str">
            <v>029902</v>
          </cell>
          <cell r="B480">
            <v>2136.8000000000002</v>
          </cell>
          <cell r="C480">
            <v>70.108029000000002</v>
          </cell>
          <cell r="D480">
            <v>0.29051844932274601</v>
          </cell>
          <cell r="E480">
            <v>12.622752</v>
          </cell>
          <cell r="F480">
            <v>0.15693601120971501</v>
          </cell>
          <cell r="G480">
            <v>101.72648100000001</v>
          </cell>
          <cell r="H480">
            <v>0.68084112149532705</v>
          </cell>
          <cell r="I480">
            <v>91.395139</v>
          </cell>
          <cell r="J480">
            <v>0.67476635514018601</v>
          </cell>
          <cell r="K480">
            <v>110.820359</v>
          </cell>
          <cell r="L480">
            <v>0.30528284244974202</v>
          </cell>
          <cell r="M480">
            <v>39.503841000000001</v>
          </cell>
          <cell r="N480">
            <v>0.266479663394109</v>
          </cell>
          <cell r="O480">
            <v>65.287316000000004</v>
          </cell>
          <cell r="P480">
            <v>0.21508903467666299</v>
          </cell>
          <cell r="Q480">
            <v>13.734208000000001</v>
          </cell>
          <cell r="R480">
            <v>0.18088097469540701</v>
          </cell>
          <cell r="S480">
            <v>254.702574</v>
          </cell>
          <cell r="T480">
            <v>0.863849765258215</v>
          </cell>
          <cell r="U480">
            <v>137.93954600000001</v>
          </cell>
          <cell r="V480">
            <v>0.72394366197183002</v>
          </cell>
        </row>
        <row r="481">
          <cell r="A481" t="str">
            <v>030001</v>
          </cell>
          <cell r="B481">
            <v>394</v>
          </cell>
          <cell r="C481">
            <v>64.429265999999998</v>
          </cell>
          <cell r="D481">
            <v>0.17165668662674599</v>
          </cell>
          <cell r="E481">
            <v>15.070846</v>
          </cell>
          <cell r="F481">
            <v>0.105788423153692</v>
          </cell>
          <cell r="G481">
            <v>51.799973999999999</v>
          </cell>
          <cell r="H481">
            <v>1.1459999999999999</v>
          </cell>
          <cell r="I481">
            <v>48.652644000000002</v>
          </cell>
          <cell r="J481">
            <v>0.77200000000000002</v>
          </cell>
          <cell r="K481">
            <v>269.93563699999999</v>
          </cell>
          <cell r="L481">
            <v>0.94789579158316595</v>
          </cell>
          <cell r="M481">
            <v>50.333266000000002</v>
          </cell>
          <cell r="N481">
            <v>0.28256513026052099</v>
          </cell>
          <cell r="O481">
            <v>2444.6989610000001</v>
          </cell>
          <cell r="P481">
            <v>1.6666666666666601</v>
          </cell>
          <cell r="Q481">
            <v>267.45726400000001</v>
          </cell>
          <cell r="R481">
            <v>0.94139194139194105</v>
          </cell>
          <cell r="S481">
            <v>644.82740999999999</v>
          </cell>
          <cell r="T481">
            <v>1.63959390862944</v>
          </cell>
          <cell r="U481">
            <v>320.692724</v>
          </cell>
          <cell r="V481">
            <v>1.23350253807106</v>
          </cell>
        </row>
        <row r="482">
          <cell r="A482" t="str">
            <v>030002</v>
          </cell>
          <cell r="B482">
            <v>409.4</v>
          </cell>
          <cell r="C482">
            <v>136.395059</v>
          </cell>
          <cell r="D482">
            <v>0.40453074433656899</v>
          </cell>
          <cell r="E482">
            <v>35.857590000000002</v>
          </cell>
          <cell r="F482">
            <v>0.27508090614886699</v>
          </cell>
          <cell r="G482">
            <v>68.711859000000004</v>
          </cell>
          <cell r="H482">
            <v>0.12012987012987</v>
          </cell>
          <cell r="I482">
            <v>0.94155800000000001</v>
          </cell>
          <cell r="J482">
            <v>2.5974025974025899E-2</v>
          </cell>
          <cell r="K482">
            <v>21.649234</v>
          </cell>
          <cell r="L482">
            <v>0.13442622950819599</v>
          </cell>
          <cell r="M482">
            <v>15.820928</v>
          </cell>
          <cell r="N482">
            <v>0.13114754098360601</v>
          </cell>
          <cell r="O482">
            <v>3599.9405889999998</v>
          </cell>
          <cell r="P482">
            <v>1.5703422053231899</v>
          </cell>
          <cell r="Q482">
            <v>49.668916000000003</v>
          </cell>
          <cell r="R482">
            <v>0.32129277566539899</v>
          </cell>
          <cell r="S482">
            <v>865.85306000000003</v>
          </cell>
          <cell r="T482">
            <v>3.7128547579298798</v>
          </cell>
          <cell r="U482">
            <v>441.871285</v>
          </cell>
          <cell r="V482">
            <v>2.2136894824707798</v>
          </cell>
        </row>
        <row r="483">
          <cell r="A483" t="str">
            <v>030101</v>
          </cell>
          <cell r="B483">
            <v>732.6</v>
          </cell>
          <cell r="C483">
            <v>825.93610200000001</v>
          </cell>
          <cell r="D483">
            <v>0.90120160213618095</v>
          </cell>
          <cell r="E483">
            <v>36.059536999999999</v>
          </cell>
          <cell r="F483">
            <v>0.21495327102803699</v>
          </cell>
          <cell r="G483">
            <v>540.66527299999996</v>
          </cell>
          <cell r="H483">
            <v>3.1937669376693698</v>
          </cell>
          <cell r="I483">
            <v>334.68883199999999</v>
          </cell>
          <cell r="J483">
            <v>2.7303523035230302</v>
          </cell>
          <cell r="K483">
            <v>265.046762</v>
          </cell>
          <cell r="L483">
            <v>1.6621067031463701</v>
          </cell>
          <cell r="M483">
            <v>178.99133599999999</v>
          </cell>
          <cell r="N483">
            <v>1.5239398084815301</v>
          </cell>
          <cell r="O483">
            <v>149.55354</v>
          </cell>
          <cell r="P483">
            <v>0.81379310344827505</v>
          </cell>
          <cell r="Q483">
            <v>142.82186200000001</v>
          </cell>
          <cell r="R483">
            <v>0.80827586206896496</v>
          </cell>
          <cell r="S483">
            <v>238.26247599999999</v>
          </cell>
          <cell r="T483">
            <v>1.2152777777777699</v>
          </cell>
          <cell r="U483">
            <v>172.983148</v>
          </cell>
          <cell r="V483">
            <v>0.90972222222222199</v>
          </cell>
        </row>
        <row r="484">
          <cell r="A484" t="str">
            <v>030102</v>
          </cell>
          <cell r="B484">
            <v>539.20000000000005</v>
          </cell>
          <cell r="C484">
            <v>439.75167399999998</v>
          </cell>
          <cell r="D484">
            <v>1.00181488203266</v>
          </cell>
          <cell r="E484">
            <v>29.025317999999999</v>
          </cell>
          <cell r="F484">
            <v>0.20508166969146999</v>
          </cell>
          <cell r="G484">
            <v>812.37906999999996</v>
          </cell>
          <cell r="H484">
            <v>3.78324225865209</v>
          </cell>
          <cell r="I484">
            <v>529.58547899999996</v>
          </cell>
          <cell r="J484">
            <v>3.52823315118397</v>
          </cell>
          <cell r="K484">
            <v>235.66963899999999</v>
          </cell>
          <cell r="L484">
            <v>0.62639405204460896</v>
          </cell>
          <cell r="M484">
            <v>233.71623199999999</v>
          </cell>
          <cell r="N484">
            <v>0.62453531598513001</v>
          </cell>
          <cell r="O484">
            <v>353.09369400000003</v>
          </cell>
          <cell r="P484">
            <v>2.8820224719101102</v>
          </cell>
          <cell r="Q484">
            <v>331.49447500000002</v>
          </cell>
          <cell r="R484">
            <v>2.7584269662921299</v>
          </cell>
          <cell r="S484">
            <v>729.78167800000006</v>
          </cell>
          <cell r="T484">
            <v>1.46946564885496</v>
          </cell>
          <cell r="U484">
            <v>67.183109999999999</v>
          </cell>
          <cell r="V484">
            <v>0.41412213740457998</v>
          </cell>
        </row>
        <row r="485">
          <cell r="A485" t="str">
            <v>030201</v>
          </cell>
          <cell r="B485">
            <v>1821.2</v>
          </cell>
          <cell r="C485">
            <v>1563.1038570000001</v>
          </cell>
          <cell r="D485">
            <v>2.3068552774755098</v>
          </cell>
          <cell r="E485">
            <v>254.51180400000001</v>
          </cell>
          <cell r="F485">
            <v>1.2932535364526601</v>
          </cell>
          <cell r="G485">
            <v>689.15326600000003</v>
          </cell>
          <cell r="H485">
            <v>3.3078602620087301</v>
          </cell>
          <cell r="I485">
            <v>334.05681299999998</v>
          </cell>
          <cell r="J485">
            <v>2.875</v>
          </cell>
          <cell r="K485">
            <v>1915.4415200000001</v>
          </cell>
          <cell r="L485">
            <v>2.5186199342825799</v>
          </cell>
          <cell r="M485">
            <v>123.239147</v>
          </cell>
          <cell r="N485">
            <v>0.84501642935377796</v>
          </cell>
          <cell r="O485">
            <v>593.17528900000002</v>
          </cell>
          <cell r="P485">
            <v>3.90336830480397</v>
          </cell>
          <cell r="Q485">
            <v>580.23900200000003</v>
          </cell>
          <cell r="R485">
            <v>3.86913307564881</v>
          </cell>
          <cell r="S485">
            <v>2951.62039</v>
          </cell>
          <cell r="T485">
            <v>5.2912729294052196</v>
          </cell>
          <cell r="U485">
            <v>730.14145799999994</v>
          </cell>
          <cell r="V485">
            <v>3.1100611450805999</v>
          </cell>
        </row>
        <row r="486">
          <cell r="A486" t="str">
            <v>030202</v>
          </cell>
          <cell r="B486">
            <v>1595</v>
          </cell>
          <cell r="C486">
            <v>867.79834400000004</v>
          </cell>
          <cell r="D486">
            <v>4.2676211453744397</v>
          </cell>
          <cell r="E486">
            <v>375.94293699999997</v>
          </cell>
          <cell r="F486">
            <v>3.5958149779735602</v>
          </cell>
          <cell r="G486">
            <v>585.40826900000002</v>
          </cell>
          <cell r="H486">
            <v>3.04330708661417</v>
          </cell>
          <cell r="I486">
            <v>545.66812500000003</v>
          </cell>
          <cell r="J486">
            <v>2.8397075365579298</v>
          </cell>
          <cell r="K486">
            <v>1489.849097</v>
          </cell>
          <cell r="L486">
            <v>2.1453521126760502</v>
          </cell>
          <cell r="M486">
            <v>293.31127600000002</v>
          </cell>
          <cell r="N486">
            <v>1.2518309859154899</v>
          </cell>
          <cell r="O486">
            <v>628.645804</v>
          </cell>
          <cell r="P486">
            <v>2.5107954545454501</v>
          </cell>
          <cell r="Q486">
            <v>543.31145800000002</v>
          </cell>
          <cell r="R486">
            <v>2.2517045454545399</v>
          </cell>
          <cell r="S486">
            <v>978.73717199999999</v>
          </cell>
          <cell r="T486">
            <v>1.7651083238312399</v>
          </cell>
          <cell r="U486">
            <v>107.525209</v>
          </cell>
          <cell r="V486">
            <v>0.68129988597491398</v>
          </cell>
        </row>
        <row r="487">
          <cell r="A487" t="str">
            <v>030301</v>
          </cell>
          <cell r="B487">
            <v>615.6</v>
          </cell>
          <cell r="C487">
            <v>1491.9229640000001</v>
          </cell>
          <cell r="D487">
            <v>0.947967479674796</v>
          </cell>
          <cell r="E487">
            <v>42.316923000000003</v>
          </cell>
          <cell r="F487">
            <v>0.36910569105690999</v>
          </cell>
          <cell r="G487">
            <v>608.13190599999996</v>
          </cell>
          <cell r="H487">
            <v>2.8698412698412601</v>
          </cell>
          <cell r="I487">
            <v>398.67605099999997</v>
          </cell>
          <cell r="J487">
            <v>2.22698412698412</v>
          </cell>
          <cell r="K487">
            <v>1692.362887</v>
          </cell>
          <cell r="L487">
            <v>3.0530546623794201</v>
          </cell>
          <cell r="M487">
            <v>227.341532</v>
          </cell>
          <cell r="N487">
            <v>2.3617363344051401</v>
          </cell>
          <cell r="O487">
            <v>4954.6199269999997</v>
          </cell>
          <cell r="P487">
            <v>2.5986842105263102</v>
          </cell>
          <cell r="Q487">
            <v>933.18237299999998</v>
          </cell>
          <cell r="R487">
            <v>1.2713815789473599</v>
          </cell>
          <cell r="S487">
            <v>1165.4713369999999</v>
          </cell>
          <cell r="T487">
            <v>1.90215588723051</v>
          </cell>
          <cell r="U487">
            <v>723.99577099999999</v>
          </cell>
          <cell r="V487">
            <v>1.70646766169154</v>
          </cell>
        </row>
        <row r="488">
          <cell r="A488" t="str">
            <v>030302</v>
          </cell>
          <cell r="B488">
            <v>1343.4</v>
          </cell>
          <cell r="C488">
            <v>403.47927099999998</v>
          </cell>
          <cell r="D488">
            <v>2.6183035714285698</v>
          </cell>
          <cell r="E488">
            <v>165.56790699999999</v>
          </cell>
          <cell r="F488">
            <v>2.1949404761904701</v>
          </cell>
          <cell r="G488">
            <v>436.289175</v>
          </cell>
          <cell r="H488">
            <v>1.3644510828976799</v>
          </cell>
          <cell r="I488">
            <v>107.96148100000001</v>
          </cell>
          <cell r="J488">
            <v>0.69977595220313604</v>
          </cell>
          <cell r="K488">
            <v>48.663856000000003</v>
          </cell>
          <cell r="L488">
            <v>0.45598194130925501</v>
          </cell>
          <cell r="M488">
            <v>39.110683999999999</v>
          </cell>
          <cell r="N488">
            <v>0.40632054176072202</v>
          </cell>
          <cell r="O488">
            <v>4273.7566230000002</v>
          </cell>
          <cell r="P488">
            <v>2.29483282674772</v>
          </cell>
          <cell r="Q488">
            <v>170.848657</v>
          </cell>
          <cell r="R488">
            <v>0.56534954407294802</v>
          </cell>
          <cell r="S488">
            <v>346.02577300000002</v>
          </cell>
          <cell r="T488">
            <v>1.2210223182145401</v>
          </cell>
          <cell r="U488">
            <v>181.75541100000001</v>
          </cell>
          <cell r="V488">
            <v>0.907127429805615</v>
          </cell>
        </row>
        <row r="489">
          <cell r="A489" t="str">
            <v>030401</v>
          </cell>
          <cell r="B489">
            <v>824.6</v>
          </cell>
          <cell r="C489">
            <v>718.35022300000003</v>
          </cell>
          <cell r="D489">
            <v>3.7659063625450102</v>
          </cell>
          <cell r="E489">
            <v>581.25661600000001</v>
          </cell>
          <cell r="F489">
            <v>2.6026410564225602</v>
          </cell>
          <cell r="G489">
            <v>316.81629900000001</v>
          </cell>
          <cell r="H489">
            <v>0.51081730769230704</v>
          </cell>
          <cell r="I489">
            <v>63.078856000000002</v>
          </cell>
          <cell r="J489">
            <v>0.31490384615384598</v>
          </cell>
          <cell r="K489">
            <v>1053.7794280000001</v>
          </cell>
          <cell r="L489">
            <v>1.50362318840579</v>
          </cell>
          <cell r="M489">
            <v>147.099557</v>
          </cell>
          <cell r="N489">
            <v>0.77536231884057905</v>
          </cell>
          <cell r="O489">
            <v>101.511814</v>
          </cell>
          <cell r="P489">
            <v>1.03019323671497</v>
          </cell>
          <cell r="Q489">
            <v>84.480776000000006</v>
          </cell>
          <cell r="R489">
            <v>0.96739130434782605</v>
          </cell>
          <cell r="S489">
            <v>1504.5479210000001</v>
          </cell>
          <cell r="T489">
            <v>2.3216957605984998</v>
          </cell>
          <cell r="U489">
            <v>714.86999100000003</v>
          </cell>
          <cell r="V489">
            <v>1.50249376558603</v>
          </cell>
        </row>
        <row r="490">
          <cell r="A490" t="str">
            <v>030402</v>
          </cell>
          <cell r="B490">
            <v>752</v>
          </cell>
          <cell r="C490">
            <v>473.02298100000002</v>
          </cell>
          <cell r="D490">
            <v>2.2602377807133398</v>
          </cell>
          <cell r="E490">
            <v>468.054573</v>
          </cell>
          <cell r="F490">
            <v>2.2523117569352702</v>
          </cell>
          <cell r="G490">
            <v>387.589223</v>
          </cell>
          <cell r="H490">
            <v>1.2201591511936301</v>
          </cell>
          <cell r="I490">
            <v>344.61992900000001</v>
          </cell>
          <cell r="J490">
            <v>1.12864721485411</v>
          </cell>
          <cell r="K490">
            <v>1486.314212</v>
          </cell>
          <cell r="L490">
            <v>1.58222811671087</v>
          </cell>
          <cell r="M490">
            <v>90.641621999999998</v>
          </cell>
          <cell r="N490">
            <v>0.70822281167108703</v>
          </cell>
          <cell r="O490">
            <v>92.888306</v>
          </cell>
          <cell r="P490">
            <v>0.90981432360742698</v>
          </cell>
          <cell r="Q490">
            <v>92.090074999999999</v>
          </cell>
          <cell r="R490">
            <v>0.90716180371352695</v>
          </cell>
          <cell r="S490">
            <v>803.99388199999999</v>
          </cell>
          <cell r="T490">
            <v>1.7638326585694999</v>
          </cell>
          <cell r="U490">
            <v>656.49127299999998</v>
          </cell>
          <cell r="V490">
            <v>1.60863697705802</v>
          </cell>
        </row>
        <row r="491">
          <cell r="A491" t="str">
            <v>030501</v>
          </cell>
          <cell r="B491">
            <v>766.2</v>
          </cell>
          <cell r="C491">
            <v>4092.3054499999998</v>
          </cell>
          <cell r="D491">
            <v>4.9351620947630899</v>
          </cell>
          <cell r="E491">
            <v>251.80383599999999</v>
          </cell>
          <cell r="F491">
            <v>1.06857855361596</v>
          </cell>
          <cell r="G491">
            <v>367.72162600000001</v>
          </cell>
          <cell r="H491">
            <v>2.7616060225846901</v>
          </cell>
          <cell r="I491">
            <v>237.832572</v>
          </cell>
          <cell r="J491">
            <v>2.2559598494353801</v>
          </cell>
          <cell r="K491">
            <v>793.63793399999997</v>
          </cell>
          <cell r="L491">
            <v>1.6972010178117001</v>
          </cell>
          <cell r="M491">
            <v>197.25542799999999</v>
          </cell>
          <cell r="N491">
            <v>1.0139949109414701</v>
          </cell>
          <cell r="O491">
            <v>747.43084699999997</v>
          </cell>
          <cell r="P491">
            <v>1.9406392694063901</v>
          </cell>
          <cell r="Q491">
            <v>160.52394699999999</v>
          </cell>
          <cell r="R491">
            <v>1.05631659056316</v>
          </cell>
          <cell r="S491">
            <v>3011.794359</v>
          </cell>
          <cell r="T491">
            <v>2.8060836501901099</v>
          </cell>
          <cell r="U491">
            <v>294.64579600000002</v>
          </cell>
          <cell r="V491">
            <v>1.0836501901140601</v>
          </cell>
        </row>
        <row r="492">
          <cell r="A492" t="str">
            <v>030502</v>
          </cell>
          <cell r="B492">
            <v>839.6</v>
          </cell>
          <cell r="C492">
            <v>210.292337</v>
          </cell>
          <cell r="D492">
            <v>1.4199772985243999</v>
          </cell>
          <cell r="E492">
            <v>166.41442599999999</v>
          </cell>
          <cell r="F492">
            <v>1.20771850170261</v>
          </cell>
          <cell r="G492">
            <v>869.848073</v>
          </cell>
          <cell r="H492">
            <v>2.7856328392246201</v>
          </cell>
          <cell r="I492">
            <v>301.87565000000001</v>
          </cell>
          <cell r="J492">
            <v>2.1402508551881398</v>
          </cell>
          <cell r="K492">
            <v>1414.2946019999999</v>
          </cell>
          <cell r="L492">
            <v>2.2459954233409598</v>
          </cell>
          <cell r="M492">
            <v>315.781159</v>
          </cell>
          <cell r="N492">
            <v>1.77345537757437</v>
          </cell>
          <cell r="O492">
            <v>369.92180500000001</v>
          </cell>
          <cell r="P492">
            <v>2.4752475247524699</v>
          </cell>
          <cell r="Q492">
            <v>351.19511999999997</v>
          </cell>
          <cell r="R492">
            <v>2.3833097595473798</v>
          </cell>
          <cell r="S492">
            <v>4329.1543840000004</v>
          </cell>
          <cell r="T492">
            <v>3.3748544819557602</v>
          </cell>
          <cell r="U492">
            <v>643.59192800000005</v>
          </cell>
          <cell r="V492">
            <v>1.7776484284051199</v>
          </cell>
        </row>
        <row r="493">
          <cell r="A493" t="str">
            <v>030601</v>
          </cell>
          <cell r="B493">
            <v>993.55555500000003</v>
          </cell>
          <cell r="C493">
            <v>552.62524800000006</v>
          </cell>
          <cell r="D493">
            <v>2.48339483394833</v>
          </cell>
          <cell r="E493">
            <v>552.62524800000006</v>
          </cell>
          <cell r="F493">
            <v>2.48339483394833</v>
          </cell>
          <cell r="G493">
            <v>579.05161599999997</v>
          </cell>
          <cell r="H493">
            <v>1.8818525519848699</v>
          </cell>
          <cell r="I493">
            <v>509.94016399999998</v>
          </cell>
          <cell r="J493">
            <v>1.57750472589792</v>
          </cell>
          <cell r="K493">
            <v>1686.5338830000001</v>
          </cell>
          <cell r="L493">
            <v>1.4433962264150899</v>
          </cell>
          <cell r="M493">
            <v>86.715314000000006</v>
          </cell>
          <cell r="N493">
            <v>0.22169811320754701</v>
          </cell>
          <cell r="O493">
            <v>726.55134299999997</v>
          </cell>
          <cell r="P493">
            <v>2.5237191650853799</v>
          </cell>
          <cell r="Q493">
            <v>194.57961700000001</v>
          </cell>
          <cell r="R493">
            <v>1.52087286527514</v>
          </cell>
          <cell r="S493">
            <v>760.02113999999995</v>
          </cell>
          <cell r="T493">
            <v>1.2947470817120601</v>
          </cell>
          <cell r="U493">
            <v>54.833267999999997</v>
          </cell>
          <cell r="V493">
            <v>0.392023346303501</v>
          </cell>
        </row>
        <row r="494">
          <cell r="A494" t="str">
            <v>030602</v>
          </cell>
          <cell r="B494">
            <v>587</v>
          </cell>
          <cell r="C494">
            <v>353.51667099999997</v>
          </cell>
          <cell r="D494">
            <v>0.81038961038960999</v>
          </cell>
          <cell r="E494">
            <v>353.16861999999998</v>
          </cell>
          <cell r="F494">
            <v>0.80779220779220695</v>
          </cell>
          <cell r="G494">
            <v>742.47477300000003</v>
          </cell>
          <cell r="H494">
            <v>1.55555555555555</v>
          </cell>
          <cell r="I494">
            <v>641.78155300000003</v>
          </cell>
          <cell r="J494">
            <v>1.15962441314553</v>
          </cell>
          <cell r="K494">
            <v>9457.8899199999996</v>
          </cell>
          <cell r="L494">
            <v>8.2562499999999996</v>
          </cell>
          <cell r="M494">
            <v>2100.3717959999999</v>
          </cell>
          <cell r="N494">
            <v>1.9953125</v>
          </cell>
          <cell r="O494">
            <v>56.005772999999998</v>
          </cell>
          <cell r="P494">
            <v>0.26802507836990502</v>
          </cell>
          <cell r="Q494">
            <v>54.701698</v>
          </cell>
          <cell r="R494">
            <v>0.26645768025078298</v>
          </cell>
          <cell r="S494">
            <v>993.69707700000004</v>
          </cell>
          <cell r="T494">
            <v>1.24802527646129</v>
          </cell>
          <cell r="U494">
            <v>75.038915000000003</v>
          </cell>
          <cell r="V494">
            <v>0.44865718799367998</v>
          </cell>
        </row>
        <row r="495">
          <cell r="A495" t="str">
            <v>030603</v>
          </cell>
          <cell r="B495">
            <v>1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1281.3666659999999</v>
          </cell>
          <cell r="L495">
            <v>1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</row>
        <row r="496">
          <cell r="A496" t="str">
            <v>030701</v>
          </cell>
          <cell r="B496">
            <v>1103.8</v>
          </cell>
          <cell r="C496">
            <v>39.505313000000001</v>
          </cell>
          <cell r="D496">
            <v>0.12885662431941899</v>
          </cell>
          <cell r="E496">
            <v>22.139852999999999</v>
          </cell>
          <cell r="F496">
            <v>0.11978221415607899</v>
          </cell>
          <cell r="G496">
            <v>188.36705499999999</v>
          </cell>
          <cell r="H496">
            <v>1.1145454545454501</v>
          </cell>
          <cell r="I496">
            <v>131.28438399999999</v>
          </cell>
          <cell r="J496">
            <v>1.0354545454545401</v>
          </cell>
          <cell r="K496">
            <v>742.41922999999997</v>
          </cell>
          <cell r="L496">
            <v>2.5665158371040699</v>
          </cell>
          <cell r="M496">
            <v>209.641131</v>
          </cell>
          <cell r="N496">
            <v>1.91493212669683</v>
          </cell>
          <cell r="O496">
            <v>122.866108</v>
          </cell>
          <cell r="P496">
            <v>0.645569620253164</v>
          </cell>
          <cell r="Q496">
            <v>82.576823000000005</v>
          </cell>
          <cell r="R496">
            <v>0.50813743218806495</v>
          </cell>
          <cell r="S496">
            <v>427.421111</v>
          </cell>
          <cell r="T496">
            <v>1.92947558770343</v>
          </cell>
          <cell r="U496">
            <v>111.853722</v>
          </cell>
          <cell r="V496">
            <v>1.3119349005424901</v>
          </cell>
        </row>
        <row r="497">
          <cell r="A497" t="str">
            <v>030702</v>
          </cell>
          <cell r="B497">
            <v>882.11111100000005</v>
          </cell>
          <cell r="C497">
            <v>19.889233000000001</v>
          </cell>
          <cell r="D497">
            <v>0.14463276836158101</v>
          </cell>
          <cell r="E497">
            <v>18.815051</v>
          </cell>
          <cell r="F497">
            <v>0.13559322033898299</v>
          </cell>
          <cell r="G497">
            <v>453.82511499999998</v>
          </cell>
          <cell r="H497">
            <v>2.1415628539071299</v>
          </cell>
          <cell r="I497">
            <v>138.447397</v>
          </cell>
          <cell r="J497">
            <v>1.1392978482446201</v>
          </cell>
          <cell r="K497">
            <v>105.550055</v>
          </cell>
          <cell r="L497">
            <v>1.27941176470588</v>
          </cell>
          <cell r="M497">
            <v>47.917175</v>
          </cell>
          <cell r="N497">
            <v>1.23303167420814</v>
          </cell>
          <cell r="O497">
            <v>913.17348700000002</v>
          </cell>
          <cell r="P497">
            <v>1.37755102040816</v>
          </cell>
          <cell r="Q497">
            <v>138.21050600000001</v>
          </cell>
          <cell r="R497">
            <v>1.2222222222222201</v>
          </cell>
          <cell r="S497">
            <v>436.33970499999998</v>
          </cell>
          <cell r="T497">
            <v>0.43742824339839198</v>
          </cell>
          <cell r="U497">
            <v>436.33970499999998</v>
          </cell>
          <cell r="V497">
            <v>0.43742824339839198</v>
          </cell>
        </row>
        <row r="498">
          <cell r="A498" t="str">
            <v>030901</v>
          </cell>
          <cell r="B498">
            <v>480.8</v>
          </cell>
          <cell r="C498">
            <v>4505.2143040000001</v>
          </cell>
          <cell r="D498">
            <v>1.61122661122661</v>
          </cell>
          <cell r="E498">
            <v>192.78290699999999</v>
          </cell>
          <cell r="F498">
            <v>0.33679833679833598</v>
          </cell>
          <cell r="G498">
            <v>400.15004499999998</v>
          </cell>
          <cell r="H498">
            <v>0.93933054393305404</v>
          </cell>
          <cell r="I498">
            <v>161.16364100000001</v>
          </cell>
          <cell r="J498">
            <v>0.75732217573221705</v>
          </cell>
          <cell r="K498">
            <v>67.135006000000004</v>
          </cell>
          <cell r="L498">
            <v>0.30125523012552302</v>
          </cell>
          <cell r="M498">
            <v>41.064644000000001</v>
          </cell>
          <cell r="N498">
            <v>0.22803347280334699</v>
          </cell>
          <cell r="O498">
            <v>66.828941</v>
          </cell>
          <cell r="P498">
            <v>0.63900414937759298</v>
          </cell>
          <cell r="Q498">
            <v>22.797924999999999</v>
          </cell>
          <cell r="R498">
            <v>0.27385892116182498</v>
          </cell>
          <cell r="S498">
            <v>509.35687200000001</v>
          </cell>
          <cell r="T498">
            <v>2.64329896907216</v>
          </cell>
          <cell r="U498">
            <v>506.30841900000001</v>
          </cell>
          <cell r="V498">
            <v>2.6391752577319498</v>
          </cell>
        </row>
        <row r="499">
          <cell r="A499" t="str">
            <v>030902</v>
          </cell>
          <cell r="B499">
            <v>487.8</v>
          </cell>
          <cell r="C499">
            <v>3137.19695</v>
          </cell>
          <cell r="D499">
            <v>2.7349896480331202</v>
          </cell>
          <cell r="E499">
            <v>233.38634200000001</v>
          </cell>
          <cell r="F499">
            <v>1.3395445134575501</v>
          </cell>
          <cell r="G499">
            <v>427.69560000000001</v>
          </cell>
          <cell r="H499">
            <v>2.0266940451745299</v>
          </cell>
          <cell r="I499">
            <v>311.82961299999999</v>
          </cell>
          <cell r="J499">
            <v>1.90759753593429</v>
          </cell>
          <cell r="K499">
            <v>687.23643400000003</v>
          </cell>
          <cell r="L499">
            <v>0.351738241308793</v>
          </cell>
          <cell r="M499">
            <v>28.916665999999999</v>
          </cell>
          <cell r="N499">
            <v>0.23312883435582801</v>
          </cell>
          <cell r="O499">
            <v>27.013252000000001</v>
          </cell>
          <cell r="P499">
            <v>0.27586206896551702</v>
          </cell>
          <cell r="Q499">
            <v>23.494557</v>
          </cell>
          <cell r="R499">
            <v>0.27383367139959403</v>
          </cell>
          <cell r="S499">
            <v>531.43637799999999</v>
          </cell>
          <cell r="T499">
            <v>3.0739219712525601</v>
          </cell>
          <cell r="U499">
            <v>495.22200500000002</v>
          </cell>
          <cell r="V499">
            <v>2.9404517453798702</v>
          </cell>
        </row>
        <row r="500">
          <cell r="A500" t="str">
            <v>031001</v>
          </cell>
          <cell r="B500">
            <v>806.4</v>
          </cell>
          <cell r="C500">
            <v>1288.451172</v>
          </cell>
          <cell r="D500">
            <v>2.304114490161</v>
          </cell>
          <cell r="E500">
            <v>368.94600200000002</v>
          </cell>
          <cell r="F500">
            <v>1.13059033989266</v>
          </cell>
          <cell r="G500">
            <v>369.39041099999997</v>
          </cell>
          <cell r="H500">
            <v>1.87986270022883</v>
          </cell>
          <cell r="I500">
            <v>185.62310299999999</v>
          </cell>
          <cell r="J500">
            <v>1.8192219679633801</v>
          </cell>
          <cell r="K500">
            <v>270.63440200000002</v>
          </cell>
          <cell r="L500">
            <v>1.08830275229357</v>
          </cell>
          <cell r="M500">
            <v>145.61938000000001</v>
          </cell>
          <cell r="N500">
            <v>0.87155963302752204</v>
          </cell>
          <cell r="O500">
            <v>2540.341453</v>
          </cell>
          <cell r="P500">
            <v>2.28587962962962</v>
          </cell>
          <cell r="Q500">
            <v>456.70736799999997</v>
          </cell>
          <cell r="R500">
            <v>1.3564814814814801</v>
          </cell>
          <cell r="S500">
            <v>613.39582800000005</v>
          </cell>
          <cell r="T500">
            <v>0.98841251448435596</v>
          </cell>
          <cell r="U500">
            <v>282.77887199999998</v>
          </cell>
          <cell r="V500">
            <v>0.60950173812282704</v>
          </cell>
        </row>
        <row r="501">
          <cell r="A501" t="str">
            <v>031002</v>
          </cell>
          <cell r="B501">
            <v>658</v>
          </cell>
          <cell r="C501">
            <v>35.036954000000001</v>
          </cell>
          <cell r="D501">
            <v>0.213517665130568</v>
          </cell>
          <cell r="E501">
            <v>30.259516000000001</v>
          </cell>
          <cell r="F501">
            <v>0.210445468509984</v>
          </cell>
          <cell r="G501">
            <v>479.198554</v>
          </cell>
          <cell r="H501">
            <v>0.860150375939849</v>
          </cell>
          <cell r="I501">
            <v>184.771523</v>
          </cell>
          <cell r="J501">
            <v>0.67218045112781899</v>
          </cell>
          <cell r="K501">
            <v>265.837581</v>
          </cell>
          <cell r="L501">
            <v>0.55505279034690702</v>
          </cell>
          <cell r="M501">
            <v>67.109351000000004</v>
          </cell>
          <cell r="N501">
            <v>0.41327300150829499</v>
          </cell>
          <cell r="O501">
            <v>2939.045435</v>
          </cell>
          <cell r="P501">
            <v>3.0045385779122502</v>
          </cell>
          <cell r="Q501">
            <v>1072.6901150000001</v>
          </cell>
          <cell r="R501">
            <v>2.4583963691376698</v>
          </cell>
          <cell r="S501">
            <v>148.37392199999999</v>
          </cell>
          <cell r="T501">
            <v>0.75846153846153797</v>
          </cell>
          <cell r="U501">
            <v>110.91741</v>
          </cell>
          <cell r="V501">
            <v>0.45846153846153798</v>
          </cell>
        </row>
        <row r="502">
          <cell r="A502" t="str">
            <v>031101</v>
          </cell>
          <cell r="B502">
            <v>2376.4</v>
          </cell>
          <cell r="C502">
            <v>1812.677966</v>
          </cell>
          <cell r="D502">
            <v>2.35135135135135</v>
          </cell>
          <cell r="E502">
            <v>671.92279599999995</v>
          </cell>
          <cell r="F502">
            <v>1.32058212058212</v>
          </cell>
          <cell r="G502">
            <v>31.656438999999999</v>
          </cell>
          <cell r="H502">
            <v>5.92160133444537E-2</v>
          </cell>
          <cell r="I502">
            <v>2.3652790000000001</v>
          </cell>
          <cell r="J502">
            <v>2.91909924937447E-2</v>
          </cell>
          <cell r="K502">
            <v>31.704858999999999</v>
          </cell>
          <cell r="L502">
            <v>3.1932773109243598E-2</v>
          </cell>
          <cell r="M502">
            <v>13.637948</v>
          </cell>
          <cell r="N502">
            <v>2.3109243697478899E-2</v>
          </cell>
          <cell r="O502">
            <v>18.421735999999999</v>
          </cell>
          <cell r="P502">
            <v>0.181355932203389</v>
          </cell>
          <cell r="Q502">
            <v>18.353121000000002</v>
          </cell>
          <cell r="R502">
            <v>0.17838983050847401</v>
          </cell>
          <cell r="S502">
            <v>1228.3644710000001</v>
          </cell>
          <cell r="T502">
            <v>0.61179991449337301</v>
          </cell>
          <cell r="U502">
            <v>22.04618</v>
          </cell>
          <cell r="V502">
            <v>0.20222317229585199</v>
          </cell>
        </row>
        <row r="503">
          <cell r="A503" t="str">
            <v>031102</v>
          </cell>
          <cell r="B503">
            <v>741.44444399999998</v>
          </cell>
          <cell r="C503">
            <v>3349.1440750000002</v>
          </cell>
          <cell r="D503">
            <v>2.1455525606468999</v>
          </cell>
          <cell r="E503">
            <v>407.84940699999999</v>
          </cell>
          <cell r="F503">
            <v>1.40431266846361</v>
          </cell>
          <cell r="G503">
            <v>63.169502999999999</v>
          </cell>
          <cell r="H503">
            <v>0.20053835800807501</v>
          </cell>
          <cell r="I503">
            <v>63.169502999999999</v>
          </cell>
          <cell r="J503">
            <v>0.20053835800807501</v>
          </cell>
          <cell r="K503">
            <v>530.87419999999997</v>
          </cell>
          <cell r="L503">
            <v>0.59109311740890602</v>
          </cell>
          <cell r="M503">
            <v>16.695501</v>
          </cell>
          <cell r="N503">
            <v>0.30094466936572101</v>
          </cell>
          <cell r="O503">
            <v>117.92886900000001</v>
          </cell>
          <cell r="P503">
            <v>1.0767160161507401</v>
          </cell>
          <cell r="Q503">
            <v>112.612696</v>
          </cell>
          <cell r="R503">
            <v>1.0349932705248901</v>
          </cell>
          <cell r="S503">
            <v>940.57011599999998</v>
          </cell>
          <cell r="T503">
            <v>0.66847090663058095</v>
          </cell>
          <cell r="U503">
            <v>74.299481</v>
          </cell>
          <cell r="V503">
            <v>0.25981055480378801</v>
          </cell>
        </row>
        <row r="504">
          <cell r="A504" t="str">
            <v>031201</v>
          </cell>
          <cell r="B504">
            <v>1286.4000000000001</v>
          </cell>
          <cell r="C504">
            <v>333.83743700000002</v>
          </cell>
          <cell r="D504">
            <v>2.95225102319236</v>
          </cell>
          <cell r="E504">
            <v>319.58448099999998</v>
          </cell>
          <cell r="F504">
            <v>2.8935879945429699</v>
          </cell>
          <cell r="G504">
            <v>3357.0914189999999</v>
          </cell>
          <cell r="H504">
            <v>2.4479889042995802</v>
          </cell>
          <cell r="I504">
            <v>317.92515600000002</v>
          </cell>
          <cell r="J504">
            <v>1.44521497919556</v>
          </cell>
          <cell r="K504">
            <v>1716.6012720000001</v>
          </cell>
          <cell r="L504">
            <v>3.9055555555555501</v>
          </cell>
          <cell r="M504">
            <v>1125.922673</v>
          </cell>
          <cell r="N504">
            <v>3.7409722222222199</v>
          </cell>
          <cell r="O504">
            <v>525.47680800000001</v>
          </cell>
          <cell r="P504">
            <v>1.2829131652661001</v>
          </cell>
          <cell r="Q504">
            <v>108.828092</v>
          </cell>
          <cell r="R504">
            <v>0.661064425770308</v>
          </cell>
          <cell r="S504">
            <v>365.16646200000002</v>
          </cell>
          <cell r="T504">
            <v>2.3074154067674502</v>
          </cell>
          <cell r="U504">
            <v>257.395464</v>
          </cell>
          <cell r="V504">
            <v>1.89920806335493</v>
          </cell>
        </row>
        <row r="505">
          <cell r="A505" t="str">
            <v>031202</v>
          </cell>
          <cell r="B505">
            <v>919</v>
          </cell>
          <cell r="C505">
            <v>124.58691899999999</v>
          </cell>
          <cell r="D505">
            <v>0.54728877679697296</v>
          </cell>
          <cell r="E505">
            <v>123.542204</v>
          </cell>
          <cell r="F505">
            <v>0.54224464060529598</v>
          </cell>
          <cell r="G505">
            <v>2167.3102640000002</v>
          </cell>
          <cell r="H505">
            <v>3.5855670103092701</v>
          </cell>
          <cell r="I505">
            <v>1503.2436929999999</v>
          </cell>
          <cell r="J505">
            <v>3.3628865979381399</v>
          </cell>
          <cell r="K505">
            <v>2670.7019620000001</v>
          </cell>
          <cell r="L505">
            <v>3.60227272727272</v>
          </cell>
          <cell r="M505">
            <v>1347.864583</v>
          </cell>
          <cell r="N505">
            <v>2.9545454545454501</v>
          </cell>
          <cell r="O505">
            <v>563.96333600000003</v>
          </cell>
          <cell r="P505">
            <v>1.89695057833859</v>
          </cell>
          <cell r="Q505">
            <v>253.14801900000001</v>
          </cell>
          <cell r="R505">
            <v>1.6435331230283901</v>
          </cell>
          <cell r="S505">
            <v>316.00118600000002</v>
          </cell>
          <cell r="T505">
            <v>1.59912376779846</v>
          </cell>
          <cell r="U505">
            <v>253.20023699999999</v>
          </cell>
          <cell r="V505">
            <v>1.57393209200438</v>
          </cell>
        </row>
        <row r="506">
          <cell r="A506" t="str">
            <v>031301</v>
          </cell>
          <cell r="B506">
            <v>1780.1111109999999</v>
          </cell>
          <cell r="C506">
            <v>60.692602000000001</v>
          </cell>
          <cell r="D506">
            <v>0.41781146376125</v>
          </cell>
          <cell r="E506">
            <v>60.692602000000001</v>
          </cell>
          <cell r="F506">
            <v>0.41781146376125</v>
          </cell>
          <cell r="G506">
            <v>70.067711000000003</v>
          </cell>
          <cell r="H506">
            <v>0.25064333504889302</v>
          </cell>
          <cell r="I506">
            <v>62.964449000000002</v>
          </cell>
          <cell r="J506">
            <v>0.24498198661862999</v>
          </cell>
          <cell r="K506">
            <v>604.16818999999998</v>
          </cell>
          <cell r="L506">
            <v>1.36065573770491</v>
          </cell>
          <cell r="M506">
            <v>37.051577000000002</v>
          </cell>
          <cell r="N506">
            <v>0.29455314648334202</v>
          </cell>
          <cell r="O506">
            <v>63.085647000000002</v>
          </cell>
          <cell r="P506">
            <v>0.42375886524822598</v>
          </cell>
          <cell r="Q506">
            <v>50.509239000000001</v>
          </cell>
          <cell r="R506">
            <v>0.410756501182033</v>
          </cell>
          <cell r="S506">
            <v>188.12572800000001</v>
          </cell>
          <cell r="T506">
            <v>1.2211336599020199</v>
          </cell>
          <cell r="U506">
            <v>174.12273099999999</v>
          </cell>
          <cell r="V506">
            <v>1.1147655703288999</v>
          </cell>
        </row>
        <row r="507">
          <cell r="A507" t="str">
            <v>031302</v>
          </cell>
          <cell r="B507">
            <v>8</v>
          </cell>
          <cell r="C507">
            <v>22.033058</v>
          </cell>
          <cell r="D507">
            <v>0.125</v>
          </cell>
          <cell r="E507">
            <v>22.033058</v>
          </cell>
          <cell r="F507">
            <v>0.125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204.13124999999999</v>
          </cell>
          <cell r="L507">
            <v>1.125</v>
          </cell>
          <cell r="M507">
            <v>204.13124999999999</v>
          </cell>
          <cell r="N507">
            <v>1.125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</row>
        <row r="508">
          <cell r="A508" t="str">
            <v>031303</v>
          </cell>
          <cell r="B508">
            <v>1577.25</v>
          </cell>
          <cell r="C508">
            <v>4.2651380000000003</v>
          </cell>
          <cell r="D508">
            <v>3.6755386565272399E-2</v>
          </cell>
          <cell r="E508">
            <v>4.2651380000000003</v>
          </cell>
          <cell r="F508">
            <v>3.6755386565272399E-2</v>
          </cell>
          <cell r="G508">
            <v>24.615113000000001</v>
          </cell>
          <cell r="H508">
            <v>0.10759493670886</v>
          </cell>
          <cell r="I508">
            <v>24.615113000000001</v>
          </cell>
          <cell r="J508">
            <v>0.10759493670886</v>
          </cell>
          <cell r="K508">
            <v>160.41260700000001</v>
          </cell>
          <cell r="L508">
            <v>1.11604311984781</v>
          </cell>
          <cell r="M508">
            <v>160.15510399999999</v>
          </cell>
          <cell r="N508">
            <v>1.1128725428027899</v>
          </cell>
          <cell r="O508">
            <v>72.730067000000005</v>
          </cell>
          <cell r="P508">
            <v>0.27266962587190802</v>
          </cell>
          <cell r="Q508">
            <v>71.332053999999999</v>
          </cell>
          <cell r="R508">
            <v>0.27203551046290397</v>
          </cell>
          <cell r="S508">
            <v>484.45920999999998</v>
          </cell>
          <cell r="T508">
            <v>0.57614213197969499</v>
          </cell>
          <cell r="U508">
            <v>126.672208</v>
          </cell>
          <cell r="V508">
            <v>0.477791878172588</v>
          </cell>
        </row>
        <row r="509">
          <cell r="A509" t="str">
            <v>031304</v>
          </cell>
          <cell r="B509">
            <v>1483.6666660000001</v>
          </cell>
          <cell r="C509">
            <v>75.623149999999995</v>
          </cell>
          <cell r="D509">
            <v>0.365837256220578</v>
          </cell>
          <cell r="E509">
            <v>75.623149999999995</v>
          </cell>
          <cell r="F509">
            <v>0.365837256220578</v>
          </cell>
          <cell r="G509">
            <v>165.68784600000001</v>
          </cell>
          <cell r="H509">
            <v>0.38694481830417199</v>
          </cell>
          <cell r="I509">
            <v>100.136881</v>
          </cell>
          <cell r="J509">
            <v>0.32839838492597501</v>
          </cell>
          <cell r="K509">
            <v>127.01310599999999</v>
          </cell>
          <cell r="L509">
            <v>0.61590296495956798</v>
          </cell>
          <cell r="M509">
            <v>77.982737999999998</v>
          </cell>
          <cell r="N509">
            <v>0.53975741239892105</v>
          </cell>
          <cell r="O509">
            <v>18.207191999999999</v>
          </cell>
          <cell r="P509">
            <v>0.101146325016857</v>
          </cell>
          <cell r="Q509">
            <v>17.735918000000002</v>
          </cell>
          <cell r="R509">
            <v>9.9123398516520494E-2</v>
          </cell>
          <cell r="S509">
            <v>90.193263999999999</v>
          </cell>
          <cell r="T509">
            <v>0.33310810810810798</v>
          </cell>
          <cell r="U509">
            <v>90.141677000000001</v>
          </cell>
          <cell r="V509">
            <v>0.33243243243243198</v>
          </cell>
        </row>
        <row r="510">
          <cell r="A510" t="str">
            <v>031501</v>
          </cell>
          <cell r="B510">
            <v>1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351</v>
          </cell>
          <cell r="T510">
            <v>1</v>
          </cell>
          <cell r="U510">
            <v>351</v>
          </cell>
          <cell r="V510">
            <v>1</v>
          </cell>
        </row>
        <row r="511">
          <cell r="A511" t="str">
            <v>031701</v>
          </cell>
          <cell r="B511">
            <v>2483.6</v>
          </cell>
          <cell r="C511">
            <v>722.065742</v>
          </cell>
          <cell r="D511">
            <v>0.52229811169144202</v>
          </cell>
          <cell r="E511">
            <v>14.042253000000001</v>
          </cell>
          <cell r="F511">
            <v>8.6380072318199996E-2</v>
          </cell>
          <cell r="G511">
            <v>174.48559700000001</v>
          </cell>
          <cell r="H511">
            <v>1.1522435897435801</v>
          </cell>
          <cell r="I511">
            <v>123.859019</v>
          </cell>
          <cell r="J511">
            <v>1.0128205128205101</v>
          </cell>
          <cell r="K511">
            <v>1284.136111</v>
          </cell>
          <cell r="L511">
            <v>1.8545090180360699</v>
          </cell>
          <cell r="M511">
            <v>97.913854000000001</v>
          </cell>
          <cell r="N511">
            <v>1.3915831663326601</v>
          </cell>
          <cell r="O511">
            <v>921.02091600000006</v>
          </cell>
          <cell r="P511">
            <v>2.4839098954143202</v>
          </cell>
          <cell r="Q511">
            <v>207.02786900000001</v>
          </cell>
          <cell r="R511">
            <v>2.1496379726468202</v>
          </cell>
          <cell r="S511">
            <v>360.31432100000001</v>
          </cell>
          <cell r="T511">
            <v>0.48001631321370303</v>
          </cell>
          <cell r="U511">
            <v>68.089490999999995</v>
          </cell>
          <cell r="V511">
            <v>0.32830342577487698</v>
          </cell>
        </row>
        <row r="512">
          <cell r="A512" t="str">
            <v>031702</v>
          </cell>
          <cell r="B512">
            <v>2453.6</v>
          </cell>
          <cell r="C512">
            <v>1798.288264</v>
          </cell>
          <cell r="D512">
            <v>1.7548096602537799</v>
          </cell>
          <cell r="E512">
            <v>81.809511000000001</v>
          </cell>
          <cell r="F512">
            <v>0.64674580433892703</v>
          </cell>
          <cell r="G512">
            <v>162.231359</v>
          </cell>
          <cell r="H512">
            <v>0.68964110929853095</v>
          </cell>
          <cell r="I512">
            <v>159.758062</v>
          </cell>
          <cell r="J512">
            <v>0.68311582381729197</v>
          </cell>
          <cell r="K512">
            <v>255.87116499999999</v>
          </cell>
          <cell r="L512">
            <v>0.66721044045676903</v>
          </cell>
          <cell r="M512">
            <v>92.221281000000005</v>
          </cell>
          <cell r="N512">
            <v>0.52650897226753601</v>
          </cell>
          <cell r="O512">
            <v>70.583475000000007</v>
          </cell>
          <cell r="P512">
            <v>0.29019129019128997</v>
          </cell>
          <cell r="Q512">
            <v>20.730314</v>
          </cell>
          <cell r="R512">
            <v>0.264143264143264</v>
          </cell>
          <cell r="S512">
            <v>2920.166354</v>
          </cell>
          <cell r="T512">
            <v>2.9943181818181799</v>
          </cell>
          <cell r="U512">
            <v>450.215597</v>
          </cell>
          <cell r="V512">
            <v>1.79870129870129</v>
          </cell>
        </row>
        <row r="513">
          <cell r="A513" t="str">
            <v>031801</v>
          </cell>
          <cell r="B513">
            <v>906</v>
          </cell>
          <cell r="C513">
            <v>170.039704</v>
          </cell>
          <cell r="D513">
            <v>0.45494505494505399</v>
          </cell>
          <cell r="E513">
            <v>12.971629999999999</v>
          </cell>
          <cell r="F513">
            <v>0.13406593406593401</v>
          </cell>
          <cell r="G513">
            <v>70.104044999999999</v>
          </cell>
          <cell r="H513">
            <v>0.22967032967032899</v>
          </cell>
          <cell r="I513">
            <v>70.104044999999999</v>
          </cell>
          <cell r="J513">
            <v>0.22967032967032899</v>
          </cell>
          <cell r="K513">
            <v>128.59213299999999</v>
          </cell>
          <cell r="L513">
            <v>0.53025302530253005</v>
          </cell>
          <cell r="M513">
            <v>36.513053999999997</v>
          </cell>
          <cell r="N513">
            <v>0.49064906490649002</v>
          </cell>
          <cell r="O513">
            <v>127.042192</v>
          </cell>
          <cell r="P513">
            <v>0.47065337763012099</v>
          </cell>
          <cell r="Q513">
            <v>34.909874000000002</v>
          </cell>
          <cell r="R513">
            <v>0.20598006644518199</v>
          </cell>
          <cell r="S513">
            <v>1722.5288129999999</v>
          </cell>
          <cell r="T513">
            <v>5.3488888888888804</v>
          </cell>
          <cell r="U513">
            <v>1027.2019620000001</v>
          </cell>
          <cell r="V513">
            <v>5.0233333333333299</v>
          </cell>
        </row>
        <row r="514">
          <cell r="A514" t="str">
            <v>031802</v>
          </cell>
          <cell r="B514">
            <v>1394.2222220000001</v>
          </cell>
          <cell r="C514">
            <v>256.43892599999998</v>
          </cell>
          <cell r="D514">
            <v>0.37473385379701901</v>
          </cell>
          <cell r="E514">
            <v>19.263211999999999</v>
          </cell>
          <cell r="F514">
            <v>0.18949609652235599</v>
          </cell>
          <cell r="G514">
            <v>20.392348999999999</v>
          </cell>
          <cell r="H514">
            <v>0.23252496433666101</v>
          </cell>
          <cell r="I514">
            <v>20.392348999999999</v>
          </cell>
          <cell r="J514">
            <v>0.23252496433666101</v>
          </cell>
          <cell r="K514">
            <v>919.01312900000005</v>
          </cell>
          <cell r="L514">
            <v>1.47598566308243</v>
          </cell>
          <cell r="M514">
            <v>40.230691999999998</v>
          </cell>
          <cell r="N514">
            <v>0.53835125448028598</v>
          </cell>
          <cell r="O514">
            <v>37.284709999999997</v>
          </cell>
          <cell r="P514">
            <v>0.30122214234363698</v>
          </cell>
          <cell r="Q514">
            <v>37.127808999999999</v>
          </cell>
          <cell r="R514">
            <v>0.30050323508267401</v>
          </cell>
          <cell r="S514">
            <v>1204.445935</v>
          </cell>
          <cell r="T514">
            <v>2.4238026124818499</v>
          </cell>
          <cell r="U514">
            <v>803.25237000000004</v>
          </cell>
          <cell r="V514">
            <v>2.13570391872278</v>
          </cell>
        </row>
        <row r="515">
          <cell r="A515" t="str">
            <v>031803</v>
          </cell>
          <cell r="B515">
            <v>1118.4000000000001</v>
          </cell>
          <cell r="C515">
            <v>622.63824999999997</v>
          </cell>
          <cell r="D515">
            <v>0.82616487455197096</v>
          </cell>
          <cell r="E515">
            <v>114.190977</v>
          </cell>
          <cell r="F515">
            <v>0.55197132616487399</v>
          </cell>
          <cell r="G515">
            <v>73.512559999999993</v>
          </cell>
          <cell r="H515">
            <v>0.33691756272401402</v>
          </cell>
          <cell r="I515">
            <v>72.293120999999999</v>
          </cell>
          <cell r="J515">
            <v>0.33602150537634401</v>
          </cell>
          <cell r="K515">
            <v>795.92536399999995</v>
          </cell>
          <cell r="L515">
            <v>0.624664879356568</v>
          </cell>
          <cell r="M515">
            <v>27.734286000000001</v>
          </cell>
          <cell r="N515">
            <v>0.208221626452189</v>
          </cell>
          <cell r="O515">
            <v>316.41290800000002</v>
          </cell>
          <cell r="P515">
            <v>0.932263814616755</v>
          </cell>
          <cell r="Q515">
            <v>35.172311000000001</v>
          </cell>
          <cell r="R515">
            <v>0.37522281639928601</v>
          </cell>
          <cell r="S515">
            <v>927.15982899999995</v>
          </cell>
          <cell r="T515">
            <v>2.46559428060768</v>
          </cell>
          <cell r="U515">
            <v>503.80761000000001</v>
          </cell>
          <cell r="V515">
            <v>1.8865058087578099</v>
          </cell>
        </row>
        <row r="516">
          <cell r="A516" t="str">
            <v>031901</v>
          </cell>
          <cell r="B516">
            <v>561.66666599999996</v>
          </cell>
          <cell r="C516">
            <v>176.29485500000001</v>
          </cell>
          <cell r="D516">
            <v>8.1705150976909405E-2</v>
          </cell>
          <cell r="E516">
            <v>5.2737590000000001</v>
          </cell>
          <cell r="F516">
            <v>3.1971580817051502E-2</v>
          </cell>
          <cell r="G516">
            <v>348.22120799999999</v>
          </cell>
          <cell r="H516">
            <v>1.1666666666666601</v>
          </cell>
          <cell r="I516">
            <v>140.01186300000001</v>
          </cell>
          <cell r="J516">
            <v>1.0744680851063799</v>
          </cell>
          <cell r="K516">
            <v>27.688651</v>
          </cell>
          <cell r="L516">
            <v>0.26203208556149699</v>
          </cell>
          <cell r="M516">
            <v>27.688651</v>
          </cell>
          <cell r="N516">
            <v>0.26203208556149699</v>
          </cell>
          <cell r="O516">
            <v>667.62468699999999</v>
          </cell>
          <cell r="P516">
            <v>3.50802139037433</v>
          </cell>
          <cell r="Q516">
            <v>322.099108</v>
          </cell>
          <cell r="R516">
            <v>1.4670231729055201</v>
          </cell>
          <cell r="S516">
            <v>24.773910999999998</v>
          </cell>
          <cell r="T516">
            <v>0.413237924865831</v>
          </cell>
          <cell r="U516">
            <v>22.613178000000001</v>
          </cell>
          <cell r="V516">
            <v>0.41144901610017798</v>
          </cell>
        </row>
        <row r="517">
          <cell r="A517" t="str">
            <v>031902</v>
          </cell>
          <cell r="B517">
            <v>602.55555500000003</v>
          </cell>
          <cell r="C517">
            <v>2201.1256709999998</v>
          </cell>
          <cell r="D517">
            <v>2.0716666666666601</v>
          </cell>
          <cell r="E517">
            <v>17.510266000000001</v>
          </cell>
          <cell r="F517">
            <v>0.29666666666666602</v>
          </cell>
          <cell r="G517">
            <v>271.84444999999999</v>
          </cell>
          <cell r="H517">
            <v>0.12709030100334401</v>
          </cell>
          <cell r="I517">
            <v>14.733521</v>
          </cell>
          <cell r="J517">
            <v>5.0167224080267497E-2</v>
          </cell>
          <cell r="K517">
            <v>216.21785600000001</v>
          </cell>
          <cell r="L517">
            <v>1.13636363636363</v>
          </cell>
          <cell r="M517">
            <v>196.245454</v>
          </cell>
          <cell r="N517">
            <v>1.1071428571428501</v>
          </cell>
          <cell r="O517">
            <v>94.14864</v>
          </cell>
          <cell r="P517">
            <v>0.56769983686786196</v>
          </cell>
          <cell r="Q517">
            <v>93.175366999999994</v>
          </cell>
          <cell r="R517">
            <v>0.55301794453507302</v>
          </cell>
          <cell r="S517">
            <v>33.072085000000001</v>
          </cell>
          <cell r="T517">
            <v>0.25834797891036898</v>
          </cell>
          <cell r="U517">
            <v>33.072085000000001</v>
          </cell>
          <cell r="V517">
            <v>0.25834797891036898</v>
          </cell>
        </row>
        <row r="518">
          <cell r="A518" t="str">
            <v>032001</v>
          </cell>
          <cell r="B518">
            <v>877.44444399999998</v>
          </cell>
          <cell r="C518">
            <v>767.67200200000002</v>
          </cell>
          <cell r="D518">
            <v>0.29682365826944102</v>
          </cell>
          <cell r="E518">
            <v>22.260905999999999</v>
          </cell>
          <cell r="F518">
            <v>9.9671412924424899E-2</v>
          </cell>
          <cell r="G518">
            <v>3.1894269999999998</v>
          </cell>
          <cell r="H518">
            <v>7.3993471164309002E-2</v>
          </cell>
          <cell r="I518">
            <v>3.1894269999999998</v>
          </cell>
          <cell r="J518">
            <v>7.3993471164309002E-2</v>
          </cell>
          <cell r="K518">
            <v>12.514060000000001</v>
          </cell>
          <cell r="L518">
            <v>0.191256830601092</v>
          </cell>
          <cell r="M518">
            <v>11.188724000000001</v>
          </cell>
          <cell r="N518">
            <v>0.15956284153005401</v>
          </cell>
          <cell r="O518">
            <v>175.80488099999999</v>
          </cell>
          <cell r="P518">
            <v>1.50395778364116</v>
          </cell>
          <cell r="Q518">
            <v>165.46400600000001</v>
          </cell>
          <cell r="R518">
            <v>1.43403693931398</v>
          </cell>
          <cell r="S518">
            <v>29.632224999999998</v>
          </cell>
          <cell r="T518">
            <v>6.0908084163898098E-2</v>
          </cell>
          <cell r="U518">
            <v>8.395607</v>
          </cell>
          <cell r="V518">
            <v>3.5437430786267897E-2</v>
          </cell>
        </row>
        <row r="519">
          <cell r="A519" t="str">
            <v>032002</v>
          </cell>
          <cell r="B519">
            <v>860.6</v>
          </cell>
          <cell r="C519">
            <v>1872.6566029999999</v>
          </cell>
          <cell r="D519">
            <v>2.4106113033448602</v>
          </cell>
          <cell r="E519">
            <v>57.238050999999999</v>
          </cell>
          <cell r="F519">
            <v>0.63783160322952703</v>
          </cell>
          <cell r="G519">
            <v>81.385323999999997</v>
          </cell>
          <cell r="H519">
            <v>0.19373549883990701</v>
          </cell>
          <cell r="I519">
            <v>17.830089999999998</v>
          </cell>
          <cell r="J519">
            <v>0.15429234338747</v>
          </cell>
          <cell r="K519">
            <v>326.89160800000002</v>
          </cell>
          <cell r="L519">
            <v>3.4802784222737801</v>
          </cell>
          <cell r="M519">
            <v>187.24874299999999</v>
          </cell>
          <cell r="N519">
            <v>2.2679814385150801</v>
          </cell>
          <cell r="O519">
            <v>299.81494300000003</v>
          </cell>
          <cell r="P519">
            <v>2.3623693379790902</v>
          </cell>
          <cell r="Q519">
            <v>254.58373900000001</v>
          </cell>
          <cell r="R519">
            <v>2.0638792102206698</v>
          </cell>
          <cell r="S519">
            <v>89.434116000000003</v>
          </cell>
          <cell r="T519">
            <v>0.620446533490011</v>
          </cell>
          <cell r="U519">
            <v>60.806032000000002</v>
          </cell>
          <cell r="V519">
            <v>0.60869565217391297</v>
          </cell>
        </row>
        <row r="520">
          <cell r="A520" t="str">
            <v>032101</v>
          </cell>
          <cell r="B520">
            <v>1787.6</v>
          </cell>
          <cell r="C520">
            <v>24.290341000000002</v>
          </cell>
          <cell r="D520">
            <v>7.6365663322185001E-2</v>
          </cell>
          <cell r="E520">
            <v>17.015041</v>
          </cell>
          <cell r="F520">
            <v>7.0234113712374494E-2</v>
          </cell>
          <cell r="G520">
            <v>344.6979</v>
          </cell>
          <cell r="H520">
            <v>2.0983240223463602</v>
          </cell>
          <cell r="I520">
            <v>302.796154</v>
          </cell>
          <cell r="J520">
            <v>2.0301675977653599</v>
          </cell>
          <cell r="K520">
            <v>319.30759999999998</v>
          </cell>
          <cell r="L520">
            <v>0.57358701734750905</v>
          </cell>
          <cell r="M520">
            <v>68.949196999999998</v>
          </cell>
          <cell r="N520">
            <v>0.39563514269725703</v>
          </cell>
          <cell r="O520">
            <v>117.352823</v>
          </cell>
          <cell r="P520">
            <v>0.55912162162162105</v>
          </cell>
          <cell r="Q520">
            <v>105.53495599999999</v>
          </cell>
          <cell r="R520">
            <v>0.54898648648648596</v>
          </cell>
          <cell r="S520">
            <v>301.95808599999998</v>
          </cell>
          <cell r="T520">
            <v>1.94639865996649</v>
          </cell>
          <cell r="U520">
            <v>168.56389300000001</v>
          </cell>
          <cell r="V520">
            <v>1.7962032384142901</v>
          </cell>
        </row>
        <row r="521">
          <cell r="A521" t="str">
            <v>032102</v>
          </cell>
          <cell r="B521">
            <v>1167.8</v>
          </cell>
          <cell r="C521">
            <v>11.842065</v>
          </cell>
          <cell r="D521">
            <v>9.27038626609442E-2</v>
          </cell>
          <cell r="E521">
            <v>8.5761850000000006</v>
          </cell>
          <cell r="F521">
            <v>8.5836909871244593E-2</v>
          </cell>
          <cell r="G521">
            <v>223.739732</v>
          </cell>
          <cell r="H521">
            <v>1.2589743589743501</v>
          </cell>
          <cell r="I521">
            <v>152.00952100000001</v>
          </cell>
          <cell r="J521">
            <v>1.2025641025641001</v>
          </cell>
          <cell r="K521">
            <v>147.88535300000001</v>
          </cell>
          <cell r="L521">
            <v>0.23057216054654101</v>
          </cell>
          <cell r="M521">
            <v>8.1427119999999995</v>
          </cell>
          <cell r="N521">
            <v>6.1485909479077699E-2</v>
          </cell>
          <cell r="O521">
            <v>58.775388999999997</v>
          </cell>
          <cell r="P521">
            <v>0.243404255319148</v>
          </cell>
          <cell r="Q521">
            <v>32.938510000000001</v>
          </cell>
          <cell r="R521">
            <v>0.14127659574467999</v>
          </cell>
          <cell r="S521">
            <v>671.05174</v>
          </cell>
          <cell r="T521">
            <v>2.1666666666666599</v>
          </cell>
          <cell r="U521">
            <v>103.993494</v>
          </cell>
          <cell r="V521">
            <v>1.78238341968911</v>
          </cell>
        </row>
        <row r="522">
          <cell r="A522" t="str">
            <v>032103</v>
          </cell>
          <cell r="B522">
            <v>1186</v>
          </cell>
          <cell r="C522">
            <v>14.478498</v>
          </cell>
          <cell r="D522">
            <v>8.3333333333333301E-2</v>
          </cell>
          <cell r="E522">
            <v>14.478498</v>
          </cell>
          <cell r="F522">
            <v>8.3333333333333301E-2</v>
          </cell>
          <cell r="G522">
            <v>183.97645399999999</v>
          </cell>
          <cell r="H522">
            <v>1.2639123102866701</v>
          </cell>
          <cell r="I522">
            <v>170.651081</v>
          </cell>
          <cell r="J522">
            <v>1.08768971332209</v>
          </cell>
          <cell r="K522">
            <v>672.75954899999999</v>
          </cell>
          <cell r="L522">
            <v>1.2075949367088601</v>
          </cell>
          <cell r="M522">
            <v>62.042586999999997</v>
          </cell>
          <cell r="N522">
            <v>0.34852320675105403</v>
          </cell>
          <cell r="O522">
            <v>122.87217</v>
          </cell>
          <cell r="P522">
            <v>0.29476351351351299</v>
          </cell>
          <cell r="Q522">
            <v>102.21737</v>
          </cell>
          <cell r="R522">
            <v>0.27111486486486402</v>
          </cell>
          <cell r="S522">
            <v>231.321226</v>
          </cell>
          <cell r="T522">
            <v>1.5084175084175</v>
          </cell>
          <cell r="U522">
            <v>154.189955</v>
          </cell>
          <cell r="V522">
            <v>1.4486531986531901</v>
          </cell>
        </row>
        <row r="523">
          <cell r="A523" t="str">
            <v>032201</v>
          </cell>
          <cell r="B523">
            <v>659.4</v>
          </cell>
          <cell r="C523">
            <v>698.907467</v>
          </cell>
          <cell r="D523">
            <v>6.3176795580110401</v>
          </cell>
          <cell r="E523">
            <v>237.791178</v>
          </cell>
          <cell r="F523">
            <v>0.94198895027624296</v>
          </cell>
          <cell r="G523">
            <v>271.67902099999998</v>
          </cell>
          <cell r="H523">
            <v>1.8890392422192099</v>
          </cell>
          <cell r="I523">
            <v>242.565021</v>
          </cell>
          <cell r="J523">
            <v>1.6887686062246201</v>
          </cell>
          <cell r="K523">
            <v>1708.0146299999999</v>
          </cell>
          <cell r="L523">
            <v>1.30257801899592</v>
          </cell>
          <cell r="M523">
            <v>206.90137899999999</v>
          </cell>
          <cell r="N523">
            <v>0.743554952510176</v>
          </cell>
          <cell r="O523">
            <v>643.199523</v>
          </cell>
          <cell r="P523">
            <v>2.0585831062670201</v>
          </cell>
          <cell r="Q523">
            <v>502.250068</v>
          </cell>
          <cell r="R523">
            <v>1.9032697547683901</v>
          </cell>
          <cell r="S523">
            <v>6505.0408960000004</v>
          </cell>
          <cell r="T523">
            <v>8.2675862068965493</v>
          </cell>
          <cell r="U523">
            <v>908.38547100000005</v>
          </cell>
          <cell r="V523">
            <v>4.3986206896551696</v>
          </cell>
        </row>
        <row r="524">
          <cell r="A524" t="str">
            <v>032202</v>
          </cell>
          <cell r="B524">
            <v>878</v>
          </cell>
          <cell r="C524">
            <v>350.61691100000002</v>
          </cell>
          <cell r="D524">
            <v>1.24204545454545</v>
          </cell>
          <cell r="E524">
            <v>140.612897</v>
          </cell>
          <cell r="F524">
            <v>1.0284090909090899</v>
          </cell>
          <cell r="G524">
            <v>66.292179000000004</v>
          </cell>
          <cell r="H524">
            <v>0.23416289592760101</v>
          </cell>
          <cell r="I524">
            <v>56.895944</v>
          </cell>
          <cell r="J524">
            <v>0.22511312217194501</v>
          </cell>
          <cell r="K524">
            <v>140.89943</v>
          </cell>
          <cell r="L524">
            <v>0.53469852104664295</v>
          </cell>
          <cell r="M524">
            <v>46.829920000000001</v>
          </cell>
          <cell r="N524">
            <v>0.31285551763367397</v>
          </cell>
          <cell r="O524">
            <v>3058.3595340000002</v>
          </cell>
          <cell r="P524">
            <v>3.9553775743706998</v>
          </cell>
          <cell r="Q524">
            <v>330.163634</v>
          </cell>
          <cell r="R524">
            <v>1.0434782608695601</v>
          </cell>
          <cell r="S524">
            <v>1529.0029010000001</v>
          </cell>
          <cell r="T524">
            <v>0.69072164948453596</v>
          </cell>
          <cell r="U524">
            <v>42.440339000000002</v>
          </cell>
          <cell r="V524">
            <v>0.19587628865979301</v>
          </cell>
        </row>
        <row r="525">
          <cell r="A525" t="str">
            <v>032301</v>
          </cell>
          <cell r="B525">
            <v>860</v>
          </cell>
          <cell r="C525">
            <v>2162.9348559999999</v>
          </cell>
          <cell r="D525">
            <v>1.9273356401384001</v>
          </cell>
          <cell r="E525">
            <v>446.658523</v>
          </cell>
          <cell r="F525">
            <v>1.10265282583621</v>
          </cell>
          <cell r="G525">
            <v>221.13017500000001</v>
          </cell>
          <cell r="H525">
            <v>1.0448275862068901</v>
          </cell>
          <cell r="I525">
            <v>139.293691</v>
          </cell>
          <cell r="J525">
            <v>0.81609195402298795</v>
          </cell>
          <cell r="K525">
            <v>670.79435899999999</v>
          </cell>
          <cell r="L525">
            <v>2.6197674418604602</v>
          </cell>
          <cell r="M525">
            <v>135.47742199999999</v>
          </cell>
          <cell r="N525">
            <v>1.37209302325581</v>
          </cell>
          <cell r="O525">
            <v>205.556556</v>
          </cell>
          <cell r="P525">
            <v>0.67096018735362895</v>
          </cell>
          <cell r="Q525">
            <v>171.36771999999999</v>
          </cell>
          <cell r="R525">
            <v>0.63817330210772805</v>
          </cell>
          <cell r="S525">
            <v>323.41275899999999</v>
          </cell>
          <cell r="T525">
            <v>1.5064782096584199</v>
          </cell>
          <cell r="U525">
            <v>321.591499</v>
          </cell>
          <cell r="V525">
            <v>1.4970553592461699</v>
          </cell>
        </row>
        <row r="526">
          <cell r="A526" t="str">
            <v>032302</v>
          </cell>
          <cell r="B526">
            <v>987.8</v>
          </cell>
          <cell r="C526">
            <v>1362.304486</v>
          </cell>
          <cell r="D526">
            <v>3.2908163265306101</v>
          </cell>
          <cell r="E526">
            <v>138.52682300000001</v>
          </cell>
          <cell r="F526">
            <v>1.5969387755102</v>
          </cell>
          <cell r="G526">
            <v>631.54884300000003</v>
          </cell>
          <cell r="H526">
            <v>1.8534136546184701</v>
          </cell>
          <cell r="I526">
            <v>222.07804100000001</v>
          </cell>
          <cell r="J526">
            <v>1.1606425702811201</v>
          </cell>
          <cell r="K526">
            <v>172.30369300000001</v>
          </cell>
          <cell r="L526">
            <v>0.53761283851554598</v>
          </cell>
          <cell r="M526">
            <v>40.746723000000003</v>
          </cell>
          <cell r="N526">
            <v>0.28084252758274802</v>
          </cell>
          <cell r="O526">
            <v>143.350739</v>
          </cell>
          <cell r="P526">
            <v>0.94153225806451601</v>
          </cell>
          <cell r="Q526">
            <v>143.237987</v>
          </cell>
          <cell r="R526">
            <v>0.94052419354838701</v>
          </cell>
          <cell r="S526">
            <v>1235.6211490000001</v>
          </cell>
          <cell r="T526">
            <v>3.1232032854209399</v>
          </cell>
          <cell r="U526">
            <v>651.60542399999997</v>
          </cell>
          <cell r="V526">
            <v>2.9363449691991699</v>
          </cell>
        </row>
        <row r="527">
          <cell r="A527" t="str">
            <v>032402</v>
          </cell>
          <cell r="B527">
            <v>808</v>
          </cell>
          <cell r="C527">
            <v>5046.3242680000003</v>
          </cell>
          <cell r="D527">
            <v>4.9590288315629696</v>
          </cell>
          <cell r="E527">
            <v>880.48513300000002</v>
          </cell>
          <cell r="F527">
            <v>2.63125948406676</v>
          </cell>
          <cell r="G527">
            <v>824.10006199999998</v>
          </cell>
          <cell r="H527">
            <v>1.05269320843091</v>
          </cell>
          <cell r="I527">
            <v>97.770760999999993</v>
          </cell>
          <cell r="J527">
            <v>0.49765807962529202</v>
          </cell>
          <cell r="K527">
            <v>1719.047744</v>
          </cell>
          <cell r="L527">
            <v>2.9717647058823502</v>
          </cell>
          <cell r="M527">
            <v>331.043294</v>
          </cell>
          <cell r="N527">
            <v>1.6117647058823501</v>
          </cell>
          <cell r="O527">
            <v>1547.139013</v>
          </cell>
          <cell r="P527">
            <v>3.6033254156769501</v>
          </cell>
          <cell r="Q527">
            <v>1496.040577</v>
          </cell>
          <cell r="R527">
            <v>3.5106888361045101</v>
          </cell>
          <cell r="S527">
            <v>1740.060937</v>
          </cell>
          <cell r="T527">
            <v>3.52694610778443</v>
          </cell>
          <cell r="U527">
            <v>804.84552799999994</v>
          </cell>
          <cell r="V527">
            <v>2.9401197604790399</v>
          </cell>
        </row>
        <row r="528">
          <cell r="A528" t="str">
            <v>032404</v>
          </cell>
          <cell r="B528">
            <v>2030.6</v>
          </cell>
          <cell r="C528">
            <v>1030.594509</v>
          </cell>
          <cell r="D528">
            <v>1.51319648093841</v>
          </cell>
          <cell r="E528">
            <v>109.140563</v>
          </cell>
          <cell r="F528">
            <v>0.366080156402737</v>
          </cell>
          <cell r="G528">
            <v>36.817326000000001</v>
          </cell>
          <cell r="H528">
            <v>0.16445753559155599</v>
          </cell>
          <cell r="I528">
            <v>20.915780999999999</v>
          </cell>
          <cell r="J528">
            <v>0.13549337260677399</v>
          </cell>
          <cell r="K528">
            <v>1259.2625479999999</v>
          </cell>
          <cell r="L528">
            <v>1.8144685039370001</v>
          </cell>
          <cell r="M528">
            <v>142.122883</v>
          </cell>
          <cell r="N528">
            <v>0.89370078740157399</v>
          </cell>
          <cell r="O528">
            <v>198.10399899999999</v>
          </cell>
          <cell r="P528">
            <v>1.0582716049382701</v>
          </cell>
          <cell r="Q528">
            <v>162.98075700000001</v>
          </cell>
          <cell r="R528">
            <v>0.94469135802469095</v>
          </cell>
          <cell r="S528">
            <v>1366.4081289999999</v>
          </cell>
          <cell r="T528">
            <v>3.32290114257327</v>
          </cell>
          <cell r="U528">
            <v>703.16483600000004</v>
          </cell>
          <cell r="V528">
            <v>2.6423248882265198</v>
          </cell>
        </row>
        <row r="529">
          <cell r="A529" t="str">
            <v>032501</v>
          </cell>
          <cell r="B529">
            <v>1894.6</v>
          </cell>
          <cell r="C529">
            <v>312.85798</v>
          </cell>
          <cell r="D529">
            <v>1.4309878213802401</v>
          </cell>
          <cell r="E529">
            <v>258.42546399999998</v>
          </cell>
          <cell r="F529">
            <v>1.3829499323409999</v>
          </cell>
          <cell r="G529">
            <v>31.264613000000001</v>
          </cell>
          <cell r="H529">
            <v>0.1699604743083</v>
          </cell>
          <cell r="I529">
            <v>30.390872000000002</v>
          </cell>
          <cell r="J529">
            <v>0.169466403162055</v>
          </cell>
          <cell r="K529">
            <v>268.17847999999998</v>
          </cell>
          <cell r="L529">
            <v>0.60705414803775404</v>
          </cell>
          <cell r="M529">
            <v>85.773032999999998</v>
          </cell>
          <cell r="N529">
            <v>0.53303527074018797</v>
          </cell>
          <cell r="O529">
            <v>379.93738200000001</v>
          </cell>
          <cell r="P529">
            <v>2.43373493975903</v>
          </cell>
          <cell r="Q529">
            <v>379.85046</v>
          </cell>
          <cell r="R529">
            <v>2.4332329317268999</v>
          </cell>
          <cell r="S529">
            <v>479.01912399999998</v>
          </cell>
          <cell r="T529">
            <v>0.53001017293997899</v>
          </cell>
          <cell r="U529">
            <v>15.286376000000001</v>
          </cell>
          <cell r="V529">
            <v>0.15310274669379401</v>
          </cell>
        </row>
        <row r="530">
          <cell r="A530" t="str">
            <v>032502</v>
          </cell>
          <cell r="B530">
            <v>1544.5555549999999</v>
          </cell>
          <cell r="C530">
            <v>12.160321</v>
          </cell>
          <cell r="D530">
            <v>0.103938024531956</v>
          </cell>
          <cell r="E530">
            <v>11.836368999999999</v>
          </cell>
          <cell r="F530">
            <v>0.103292446739832</v>
          </cell>
          <cell r="G530">
            <v>583.13712399999997</v>
          </cell>
          <cell r="H530">
            <v>1.20245003223726</v>
          </cell>
          <cell r="I530">
            <v>575.11156400000004</v>
          </cell>
          <cell r="J530">
            <v>1.15538362346872</v>
          </cell>
          <cell r="K530">
            <v>606.35234700000001</v>
          </cell>
          <cell r="L530">
            <v>4.1008403361344499</v>
          </cell>
          <cell r="M530">
            <v>604.00853199999995</v>
          </cell>
          <cell r="N530">
            <v>4.0982546864899803</v>
          </cell>
          <cell r="O530">
            <v>75.03228</v>
          </cell>
          <cell r="P530">
            <v>0.56742671009771894</v>
          </cell>
          <cell r="Q530">
            <v>75.03228</v>
          </cell>
          <cell r="R530">
            <v>0.56742671009771894</v>
          </cell>
          <cell r="S530">
            <v>1754.2377489999999</v>
          </cell>
          <cell r="T530">
            <v>1.0026041666666601</v>
          </cell>
          <cell r="U530">
            <v>32.683832000000002</v>
          </cell>
          <cell r="V530">
            <v>0.31966145833333298</v>
          </cell>
        </row>
        <row r="531">
          <cell r="A531" t="str">
            <v>032503</v>
          </cell>
          <cell r="B531">
            <v>2047</v>
          </cell>
          <cell r="C531">
            <v>185.82223099999999</v>
          </cell>
          <cell r="D531">
            <v>0.72241294752329499</v>
          </cell>
          <cell r="E531">
            <v>185.00630000000001</v>
          </cell>
          <cell r="F531">
            <v>0.72143207454634595</v>
          </cell>
          <cell r="G531">
            <v>190.52236600000001</v>
          </cell>
          <cell r="H531">
            <v>1.2207602339181201</v>
          </cell>
          <cell r="I531">
            <v>31.917204000000002</v>
          </cell>
          <cell r="J531">
            <v>0.19980506822611999</v>
          </cell>
          <cell r="K531">
            <v>119.944985</v>
          </cell>
          <cell r="L531">
            <v>1.16869819600195</v>
          </cell>
          <cell r="M531">
            <v>78.624459000000002</v>
          </cell>
          <cell r="N531">
            <v>1.0848366650414401</v>
          </cell>
          <cell r="O531">
            <v>267.78653500000001</v>
          </cell>
          <cell r="P531">
            <v>1.17951219512195</v>
          </cell>
          <cell r="Q531">
            <v>86.893983000000006</v>
          </cell>
          <cell r="R531">
            <v>1.06243902439024</v>
          </cell>
          <cell r="S531">
            <v>90.735208</v>
          </cell>
          <cell r="T531">
            <v>0.20411160058737099</v>
          </cell>
          <cell r="U531">
            <v>45.126340999999996</v>
          </cell>
          <cell r="V531">
            <v>0.18159569260890801</v>
          </cell>
        </row>
        <row r="532">
          <cell r="A532" t="str">
            <v>032504</v>
          </cell>
          <cell r="B532">
            <v>988</v>
          </cell>
          <cell r="C532">
            <v>99.294144000000003</v>
          </cell>
          <cell r="D532">
            <v>1.0383064516128999</v>
          </cell>
          <cell r="E532">
            <v>99.050192999999993</v>
          </cell>
          <cell r="F532">
            <v>1.03729838709677</v>
          </cell>
          <cell r="G532">
            <v>253.13291899999999</v>
          </cell>
          <cell r="H532">
            <v>1.5474747474747399</v>
          </cell>
          <cell r="I532">
            <v>61.289341</v>
          </cell>
          <cell r="J532">
            <v>0.51616161616161604</v>
          </cell>
          <cell r="K532">
            <v>182.60731100000001</v>
          </cell>
          <cell r="L532">
            <v>0.58561296859169099</v>
          </cell>
          <cell r="M532">
            <v>45.464083000000002</v>
          </cell>
          <cell r="N532">
            <v>0.13981762917933099</v>
          </cell>
          <cell r="O532">
            <v>254.11151000000001</v>
          </cell>
          <cell r="P532">
            <v>3.3184584178498899</v>
          </cell>
          <cell r="Q532">
            <v>196.262068</v>
          </cell>
          <cell r="R532">
            <v>3.2474645030425902</v>
          </cell>
          <cell r="S532">
            <v>201.12774899999999</v>
          </cell>
          <cell r="T532">
            <v>0.56548223350253801</v>
          </cell>
          <cell r="U532">
            <v>33.342283999999999</v>
          </cell>
          <cell r="V532">
            <v>0.28324873096446701</v>
          </cell>
        </row>
        <row r="533">
          <cell r="A533" t="str">
            <v>032701</v>
          </cell>
          <cell r="B533">
            <v>1055.5555549999999</v>
          </cell>
          <cell r="C533">
            <v>5803.409901</v>
          </cell>
          <cell r="D533">
            <v>6.4076539101497501</v>
          </cell>
          <cell r="E533">
            <v>184.038906</v>
          </cell>
          <cell r="F533">
            <v>1.1331114808652201</v>
          </cell>
          <cell r="G533">
            <v>815.440292</v>
          </cell>
          <cell r="H533">
            <v>1.92580101180438</v>
          </cell>
          <cell r="I533">
            <v>189.99126000000001</v>
          </cell>
          <cell r="J533">
            <v>1.34654300168634</v>
          </cell>
          <cell r="K533">
            <v>1033.2769519999999</v>
          </cell>
          <cell r="L533">
            <v>2.3128161888701499</v>
          </cell>
          <cell r="M533">
            <v>360.47391699999997</v>
          </cell>
          <cell r="N533">
            <v>0.80607082630691296</v>
          </cell>
          <cell r="O533">
            <v>26.020699</v>
          </cell>
          <cell r="P533">
            <v>0.27993254637436699</v>
          </cell>
          <cell r="Q533">
            <v>24.672892000000001</v>
          </cell>
          <cell r="R533">
            <v>0.27150084317032003</v>
          </cell>
          <cell r="S533">
            <v>102.99359800000001</v>
          </cell>
          <cell r="T533">
            <v>1.0820642978003301</v>
          </cell>
          <cell r="U533">
            <v>102.99359800000001</v>
          </cell>
          <cell r="V533">
            <v>1.0820642978003301</v>
          </cell>
        </row>
        <row r="534">
          <cell r="A534" t="str">
            <v>032702</v>
          </cell>
          <cell r="B534">
            <v>1091.5999999999999</v>
          </cell>
          <cell r="C534">
            <v>1378.0400179999999</v>
          </cell>
          <cell r="D534">
            <v>1.8583180987202901</v>
          </cell>
          <cell r="E534">
            <v>99.112757999999999</v>
          </cell>
          <cell r="F534">
            <v>1.13254113345521</v>
          </cell>
          <cell r="G534">
            <v>414.001284</v>
          </cell>
          <cell r="H534">
            <v>1.50592525068368</v>
          </cell>
          <cell r="I534">
            <v>59.317360000000001</v>
          </cell>
          <cell r="J534">
            <v>0.92069279854147601</v>
          </cell>
          <cell r="K534">
            <v>462.18520100000001</v>
          </cell>
          <cell r="L534">
            <v>1.83318140382862</v>
          </cell>
          <cell r="M534">
            <v>79.960604000000004</v>
          </cell>
          <cell r="N534">
            <v>0.77666362807657197</v>
          </cell>
          <cell r="O534">
            <v>54.056004000000001</v>
          </cell>
          <cell r="P534">
            <v>0.21783088235294101</v>
          </cell>
          <cell r="Q534">
            <v>53.701317000000003</v>
          </cell>
          <cell r="R534">
            <v>0.20863970588235201</v>
          </cell>
          <cell r="S534">
            <v>73.445794000000006</v>
          </cell>
          <cell r="T534">
            <v>0.67837338262476798</v>
          </cell>
          <cell r="U534">
            <v>49.832486000000003</v>
          </cell>
          <cell r="V534">
            <v>0.65619223659889003</v>
          </cell>
        </row>
        <row r="535">
          <cell r="A535" t="str">
            <v>032801</v>
          </cell>
          <cell r="B535">
            <v>770.4</v>
          </cell>
          <cell r="C535">
            <v>646.42447300000003</v>
          </cell>
          <cell r="D535">
            <v>1.2879177377891999</v>
          </cell>
          <cell r="E535">
            <v>60.464433999999997</v>
          </cell>
          <cell r="F535">
            <v>0.392030848329048</v>
          </cell>
          <cell r="G535">
            <v>290.06718899999998</v>
          </cell>
          <cell r="H535">
            <v>1.5782664941785201</v>
          </cell>
          <cell r="I535">
            <v>189.54644999999999</v>
          </cell>
          <cell r="J535">
            <v>1.4437257438551001</v>
          </cell>
          <cell r="K535">
            <v>679.65331100000003</v>
          </cell>
          <cell r="L535">
            <v>0.66753246753246698</v>
          </cell>
          <cell r="M535">
            <v>55.565541000000003</v>
          </cell>
          <cell r="N535">
            <v>0.371428571428571</v>
          </cell>
          <cell r="O535">
            <v>367.71673099999998</v>
          </cell>
          <cell r="P535">
            <v>0.46033810143042903</v>
          </cell>
          <cell r="Q535">
            <v>89.616947999999994</v>
          </cell>
          <cell r="R535">
            <v>0.37971391417425199</v>
          </cell>
          <cell r="S535">
            <v>834.83565099999998</v>
          </cell>
          <cell r="T535">
            <v>1.4317585301837199</v>
          </cell>
          <cell r="U535">
            <v>337.44975899999997</v>
          </cell>
          <cell r="V535">
            <v>0.88057742782152204</v>
          </cell>
        </row>
        <row r="536">
          <cell r="A536" t="str">
            <v>032802</v>
          </cell>
          <cell r="B536">
            <v>795</v>
          </cell>
          <cell r="C536">
            <v>203.903964</v>
          </cell>
          <cell r="D536">
            <v>0.60398505603984998</v>
          </cell>
          <cell r="E536">
            <v>67.790914999999998</v>
          </cell>
          <cell r="F536">
            <v>0.30261519302615097</v>
          </cell>
          <cell r="G536">
            <v>405.29166500000002</v>
          </cell>
          <cell r="H536">
            <v>1.4630788485607</v>
          </cell>
          <cell r="I536">
            <v>191.121657</v>
          </cell>
          <cell r="J536">
            <v>1.2753441802252801</v>
          </cell>
          <cell r="K536">
            <v>2015.389551</v>
          </cell>
          <cell r="L536">
            <v>2.06658291457286</v>
          </cell>
          <cell r="M536">
            <v>364.127994</v>
          </cell>
          <cell r="N536">
            <v>1.6595477386934601</v>
          </cell>
          <cell r="O536">
            <v>3259.3726780000002</v>
          </cell>
          <cell r="P536">
            <v>1.5936708860759401</v>
          </cell>
          <cell r="Q536">
            <v>139.565653</v>
          </cell>
          <cell r="R536">
            <v>0.63164556962025298</v>
          </cell>
          <cell r="S536">
            <v>1435.659762</v>
          </cell>
          <cell r="T536">
            <v>1.6975857687420499</v>
          </cell>
          <cell r="U536">
            <v>188.87562399999999</v>
          </cell>
          <cell r="V536">
            <v>1.0838627700126999</v>
          </cell>
        </row>
        <row r="537">
          <cell r="A537" t="str">
            <v>033101</v>
          </cell>
          <cell r="B537">
            <v>1854.6</v>
          </cell>
          <cell r="C537">
            <v>116.01997299999999</v>
          </cell>
          <cell r="D537">
            <v>1.0857740585774001</v>
          </cell>
          <cell r="E537">
            <v>58.896307999999998</v>
          </cell>
          <cell r="F537">
            <v>0.38702928870292802</v>
          </cell>
          <cell r="G537">
            <v>264.64328799999998</v>
          </cell>
          <cell r="H537">
            <v>1.51037786056412</v>
          </cell>
          <cell r="I537">
            <v>33.555345000000003</v>
          </cell>
          <cell r="J537">
            <v>0.109632783395423</v>
          </cell>
          <cell r="K537">
            <v>172.88116199999999</v>
          </cell>
          <cell r="L537">
            <v>1.05974165769644</v>
          </cell>
          <cell r="M537">
            <v>116.471923</v>
          </cell>
          <cell r="N537">
            <v>0.74273412271259398</v>
          </cell>
          <cell r="O537">
            <v>48.567641999999999</v>
          </cell>
          <cell r="P537">
            <v>0.29901423877327399</v>
          </cell>
          <cell r="Q537">
            <v>21.256927000000001</v>
          </cell>
          <cell r="R537">
            <v>0.23001095290251899</v>
          </cell>
          <cell r="S537">
            <v>821.76974299999995</v>
          </cell>
          <cell r="T537">
            <v>1.9916573971078899</v>
          </cell>
          <cell r="U537">
            <v>107.825889</v>
          </cell>
          <cell r="V537">
            <v>0.64571746384871997</v>
          </cell>
        </row>
        <row r="538">
          <cell r="A538" t="str">
            <v>033102</v>
          </cell>
          <cell r="B538">
            <v>723.875</v>
          </cell>
          <cell r="C538">
            <v>38.509774999999998</v>
          </cell>
          <cell r="D538">
            <v>8.5561497326203204E-2</v>
          </cell>
          <cell r="E538">
            <v>38.509774999999998</v>
          </cell>
          <cell r="F538">
            <v>8.5561497326203204E-2</v>
          </cell>
          <cell r="G538">
            <v>617.32123300000001</v>
          </cell>
          <cell r="H538">
            <v>1.1599999999999899</v>
          </cell>
          <cell r="I538">
            <v>150.06024199999999</v>
          </cell>
          <cell r="J538">
            <v>0.50133333333333296</v>
          </cell>
          <cell r="K538">
            <v>19.309472</v>
          </cell>
          <cell r="L538">
            <v>0.20107238605898101</v>
          </cell>
          <cell r="M538">
            <v>19.309472</v>
          </cell>
          <cell r="N538">
            <v>0.20107238605898101</v>
          </cell>
          <cell r="O538">
            <v>1790.9333320000001</v>
          </cell>
          <cell r="P538">
            <v>1.19407008086253</v>
          </cell>
          <cell r="Q538">
            <v>111.225651</v>
          </cell>
          <cell r="R538">
            <v>0.65498652291105097</v>
          </cell>
          <cell r="S538">
            <v>572.20917699999995</v>
          </cell>
          <cell r="T538">
            <v>1.50394144144144</v>
          </cell>
          <cell r="U538">
            <v>113.34395600000001</v>
          </cell>
          <cell r="V538">
            <v>0.64132882882882802</v>
          </cell>
        </row>
        <row r="539">
          <cell r="A539" t="str">
            <v>033103</v>
          </cell>
          <cell r="B539">
            <v>1347.5555549999999</v>
          </cell>
          <cell r="C539">
            <v>42.611721000000003</v>
          </cell>
          <cell r="D539">
            <v>0.33623910336239099</v>
          </cell>
          <cell r="E539">
            <v>41.934829999999998</v>
          </cell>
          <cell r="F539">
            <v>0.335616438356164</v>
          </cell>
          <cell r="G539">
            <v>100.01538499999999</v>
          </cell>
          <cell r="H539">
            <v>0.50681375730045397</v>
          </cell>
          <cell r="I539">
            <v>81.907330999999999</v>
          </cell>
          <cell r="J539">
            <v>0.47177157689811799</v>
          </cell>
          <cell r="K539">
            <v>347.16962100000001</v>
          </cell>
          <cell r="L539">
            <v>0.66419420094403203</v>
          </cell>
          <cell r="M539">
            <v>50.095751</v>
          </cell>
          <cell r="N539">
            <v>0.44639244774106501</v>
          </cell>
          <cell r="O539">
            <v>152.57207099999999</v>
          </cell>
          <cell r="P539">
            <v>0.50139470013946996</v>
          </cell>
          <cell r="Q539">
            <v>64.452185</v>
          </cell>
          <cell r="R539">
            <v>0.42956764295676397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</row>
        <row r="540">
          <cell r="A540" t="str">
            <v>033301</v>
          </cell>
          <cell r="B540">
            <v>308.44444399999998</v>
          </cell>
          <cell r="C540">
            <v>410.55332700000002</v>
          </cell>
          <cell r="D540">
            <v>0.66451612903225799</v>
          </cell>
          <cell r="E540">
            <v>410.55332700000002</v>
          </cell>
          <cell r="F540">
            <v>0.66451612903225799</v>
          </cell>
          <cell r="G540">
            <v>876.46164599999997</v>
          </cell>
          <cell r="H540">
            <v>1.80448717948717</v>
          </cell>
          <cell r="I540">
            <v>375.51691399999999</v>
          </cell>
          <cell r="J540">
            <v>1.30128205128205</v>
          </cell>
          <cell r="K540">
            <v>767.17820500000005</v>
          </cell>
          <cell r="L540">
            <v>1.3525641025641</v>
          </cell>
          <cell r="M540">
            <v>98.247328999999993</v>
          </cell>
          <cell r="N540">
            <v>0.42948717948717902</v>
          </cell>
          <cell r="O540">
            <v>2530.4760339999998</v>
          </cell>
          <cell r="P540">
            <v>2.73529411764705</v>
          </cell>
          <cell r="Q540">
            <v>423.72668800000002</v>
          </cell>
          <cell r="R540">
            <v>1.8856209150326699</v>
          </cell>
          <cell r="S540">
            <v>768.34796400000005</v>
          </cell>
          <cell r="T540">
            <v>2.4851485148514798</v>
          </cell>
          <cell r="U540">
            <v>475.44328899999999</v>
          </cell>
          <cell r="V540">
            <v>1.7029702970297</v>
          </cell>
        </row>
        <row r="541">
          <cell r="A541" t="str">
            <v>033302</v>
          </cell>
          <cell r="B541">
            <v>1319.625</v>
          </cell>
          <cell r="C541">
            <v>779.61836700000003</v>
          </cell>
          <cell r="D541">
            <v>2.5324137931034398</v>
          </cell>
          <cell r="E541">
            <v>779.61836700000003</v>
          </cell>
          <cell r="F541">
            <v>2.5324137931034398</v>
          </cell>
          <cell r="G541">
            <v>62.334304000000003</v>
          </cell>
          <cell r="H541">
            <v>0.88488700564971701</v>
          </cell>
          <cell r="I541">
            <v>62.334304000000003</v>
          </cell>
          <cell r="J541">
            <v>0.88488700564971701</v>
          </cell>
          <cell r="K541">
            <v>608.295976</v>
          </cell>
          <cell r="L541">
            <v>1.19830628087508</v>
          </cell>
          <cell r="M541">
            <v>244.70263399999999</v>
          </cell>
          <cell r="N541">
            <v>1.01411432604093</v>
          </cell>
          <cell r="O541">
            <v>930.10517700000003</v>
          </cell>
          <cell r="P541">
            <v>1.47976878612716</v>
          </cell>
          <cell r="Q541">
            <v>94.612138000000002</v>
          </cell>
          <cell r="R541">
            <v>0.87210982658959502</v>
          </cell>
          <cell r="S541">
            <v>792.872209</v>
          </cell>
          <cell r="T541">
            <v>2.3404406538734799</v>
          </cell>
          <cell r="U541">
            <v>426.69409999999999</v>
          </cell>
          <cell r="V541">
            <v>1.63752665245202</v>
          </cell>
        </row>
        <row r="542">
          <cell r="A542" t="str">
            <v>033401</v>
          </cell>
          <cell r="B542">
            <v>1011.6</v>
          </cell>
          <cell r="C542">
            <v>1237.164538</v>
          </cell>
          <cell r="D542">
            <v>1.0184287099903</v>
          </cell>
          <cell r="E542">
            <v>9.5867059999999995</v>
          </cell>
          <cell r="F542">
            <v>0.170708050436469</v>
          </cell>
          <cell r="G542">
            <v>431.96062799999999</v>
          </cell>
          <cell r="H542">
            <v>2.8407960199004898</v>
          </cell>
          <cell r="I542">
            <v>426.79950400000001</v>
          </cell>
          <cell r="J542">
            <v>2.8328358208955202</v>
          </cell>
          <cell r="K542">
            <v>99.592588000000006</v>
          </cell>
          <cell r="L542">
            <v>1.43170488534396</v>
          </cell>
          <cell r="M542">
            <v>57.887520000000002</v>
          </cell>
          <cell r="N542">
            <v>1.3978065802592201</v>
          </cell>
          <cell r="O542">
            <v>629.34791600000005</v>
          </cell>
          <cell r="P542">
            <v>2.1880000000000002</v>
          </cell>
          <cell r="Q542">
            <v>613.14548300000001</v>
          </cell>
          <cell r="R542">
            <v>2.1509999999999998</v>
          </cell>
          <cell r="S542">
            <v>303.91262599999999</v>
          </cell>
          <cell r="T542">
            <v>1.6938174681059801</v>
          </cell>
          <cell r="U542">
            <v>296.74610699999999</v>
          </cell>
          <cell r="V542">
            <v>1.6741903827281599</v>
          </cell>
        </row>
        <row r="543">
          <cell r="A543" t="str">
            <v>033402</v>
          </cell>
          <cell r="B543">
            <v>820</v>
          </cell>
          <cell r="C543">
            <v>9.8407090000000004</v>
          </cell>
          <cell r="D543">
            <v>0.723618090452261</v>
          </cell>
          <cell r="E543">
            <v>9.8407090000000004</v>
          </cell>
          <cell r="F543">
            <v>0.723618090452261</v>
          </cell>
          <cell r="G543">
            <v>486.99997100000002</v>
          </cell>
          <cell r="H543">
            <v>2.3560145808019399</v>
          </cell>
          <cell r="I543">
            <v>184.23579100000001</v>
          </cell>
          <cell r="J543">
            <v>1.8930741190765401</v>
          </cell>
          <cell r="K543">
            <v>697.28131499999995</v>
          </cell>
          <cell r="L543">
            <v>3.84987893462469</v>
          </cell>
          <cell r="M543">
            <v>697.28131499999995</v>
          </cell>
          <cell r="N543">
            <v>3.84987893462469</v>
          </cell>
          <cell r="O543">
            <v>386.78575599999999</v>
          </cell>
          <cell r="P543">
            <v>2.5999999999999899</v>
          </cell>
          <cell r="Q543">
            <v>134.71157500000001</v>
          </cell>
          <cell r="R543">
            <v>1.1478787878787799</v>
          </cell>
          <cell r="S543">
            <v>1841.0361339999999</v>
          </cell>
          <cell r="T543">
            <v>3.2704019488428702</v>
          </cell>
          <cell r="U543">
            <v>278.825355</v>
          </cell>
          <cell r="V543">
            <v>2.1266747868453102</v>
          </cell>
        </row>
        <row r="544">
          <cell r="A544" t="str">
            <v>033501</v>
          </cell>
          <cell r="B544">
            <v>511.33333299999998</v>
          </cell>
          <cell r="C544">
            <v>20.371817</v>
          </cell>
          <cell r="D544">
            <v>0.10384615384615301</v>
          </cell>
          <cell r="E544">
            <v>20.371817</v>
          </cell>
          <cell r="F544">
            <v>0.10384615384615301</v>
          </cell>
          <cell r="G544">
            <v>822.61877700000002</v>
          </cell>
          <cell r="H544">
            <v>1.8546511627906901</v>
          </cell>
          <cell r="I544">
            <v>475.67528600000003</v>
          </cell>
          <cell r="J544">
            <v>1.58720930232558</v>
          </cell>
          <cell r="K544">
            <v>504.33320300000003</v>
          </cell>
          <cell r="L544">
            <v>2.2058252427184399</v>
          </cell>
          <cell r="M544">
            <v>395.54378600000001</v>
          </cell>
          <cell r="N544">
            <v>2.17475728155339</v>
          </cell>
          <cell r="O544">
            <v>1753.3954739999999</v>
          </cell>
          <cell r="P544">
            <v>3.4765625</v>
          </cell>
          <cell r="Q544">
            <v>369.35445900000002</v>
          </cell>
          <cell r="R544">
            <v>1.0859375</v>
          </cell>
          <cell r="S544">
            <v>655.47084900000004</v>
          </cell>
          <cell r="T544">
            <v>0.63052208835341295</v>
          </cell>
          <cell r="U544">
            <v>71.233834999999999</v>
          </cell>
          <cell r="V544">
            <v>0.240963855421686</v>
          </cell>
        </row>
        <row r="545">
          <cell r="A545" t="str">
            <v>033502</v>
          </cell>
          <cell r="B545">
            <v>1173</v>
          </cell>
          <cell r="C545">
            <v>148.54619600000001</v>
          </cell>
          <cell r="D545">
            <v>0.64595744680850997</v>
          </cell>
          <cell r="E545">
            <v>44.770228000000003</v>
          </cell>
          <cell r="F545">
            <v>0.59744680851063803</v>
          </cell>
          <cell r="G545">
            <v>163.95137</v>
          </cell>
          <cell r="H545">
            <v>1.0824829931972699</v>
          </cell>
          <cell r="I545">
            <v>149.07020199999999</v>
          </cell>
          <cell r="J545">
            <v>1.0731292517006801</v>
          </cell>
          <cell r="K545">
            <v>329.61944799999998</v>
          </cell>
          <cell r="L545">
            <v>0.27001703577512698</v>
          </cell>
          <cell r="M545">
            <v>103.278634</v>
          </cell>
          <cell r="N545">
            <v>0.20102214650766601</v>
          </cell>
          <cell r="O545">
            <v>105.561674</v>
          </cell>
          <cell r="P545">
            <v>0.38737201365187701</v>
          </cell>
          <cell r="Q545">
            <v>74.665784000000002</v>
          </cell>
          <cell r="R545">
            <v>0.38139931740614302</v>
          </cell>
          <cell r="S545">
            <v>222.30182600000001</v>
          </cell>
          <cell r="T545">
            <v>0.96147260273972601</v>
          </cell>
          <cell r="U545">
            <v>87.504309000000006</v>
          </cell>
          <cell r="V545">
            <v>0.62328767123287598</v>
          </cell>
        </row>
        <row r="546">
          <cell r="A546" t="str">
            <v>033601</v>
          </cell>
          <cell r="B546">
            <v>691.8</v>
          </cell>
          <cell r="C546">
            <v>7547.8652490000004</v>
          </cell>
          <cell r="D546">
            <v>6.2582025677603399</v>
          </cell>
          <cell r="E546">
            <v>150.88507899999999</v>
          </cell>
          <cell r="F546">
            <v>1.9315263908701801</v>
          </cell>
          <cell r="G546">
            <v>405.553359</v>
          </cell>
          <cell r="H546">
            <v>2.5942446043165401</v>
          </cell>
          <cell r="I546">
            <v>273.33817900000003</v>
          </cell>
          <cell r="J546">
            <v>2.37553956834532</v>
          </cell>
          <cell r="K546">
            <v>5712.4248550000002</v>
          </cell>
          <cell r="L546">
            <v>1.94956772334293</v>
          </cell>
          <cell r="M546">
            <v>198.30069599999999</v>
          </cell>
          <cell r="N546">
            <v>0.54034582132564801</v>
          </cell>
          <cell r="O546">
            <v>1132.908101</v>
          </cell>
          <cell r="P546">
            <v>1.58540145985401</v>
          </cell>
          <cell r="Q546">
            <v>661.04469500000005</v>
          </cell>
          <cell r="R546">
            <v>1.46131386861313</v>
          </cell>
          <cell r="S546">
            <v>279.532017</v>
          </cell>
          <cell r="T546">
            <v>0.60233918128654895</v>
          </cell>
          <cell r="U546">
            <v>257.84995099999998</v>
          </cell>
          <cell r="V546">
            <v>0.55263157894736803</v>
          </cell>
        </row>
        <row r="547">
          <cell r="A547" t="str">
            <v>033602</v>
          </cell>
          <cell r="B547">
            <v>709.2</v>
          </cell>
          <cell r="C547">
            <v>2483.5134170000001</v>
          </cell>
          <cell r="D547">
            <v>2.8288543140028199</v>
          </cell>
          <cell r="E547">
            <v>92.048413999999994</v>
          </cell>
          <cell r="F547">
            <v>1.26732673267326</v>
          </cell>
          <cell r="G547">
            <v>129.94184000000001</v>
          </cell>
          <cell r="H547">
            <v>0.54237288135593198</v>
          </cell>
          <cell r="I547">
            <v>48.167592999999997</v>
          </cell>
          <cell r="J547">
            <v>0.45762711864406702</v>
          </cell>
          <cell r="K547">
            <v>4134.460752</v>
          </cell>
          <cell r="L547">
            <v>1.32538569424964</v>
          </cell>
          <cell r="M547">
            <v>4035.0922390000001</v>
          </cell>
          <cell r="N547">
            <v>1.2314165497896199</v>
          </cell>
          <cell r="O547">
            <v>871.86157700000001</v>
          </cell>
          <cell r="P547">
            <v>1.7044817927170799</v>
          </cell>
          <cell r="Q547">
            <v>429.08419700000002</v>
          </cell>
          <cell r="R547">
            <v>1.63305322128851</v>
          </cell>
          <cell r="S547">
            <v>128.964156</v>
          </cell>
          <cell r="T547">
            <v>0.468749999999999</v>
          </cell>
          <cell r="U547">
            <v>125.182267</v>
          </cell>
          <cell r="V547">
            <v>0.45880681818181801</v>
          </cell>
        </row>
        <row r="548">
          <cell r="A548" t="str">
            <v>033701</v>
          </cell>
          <cell r="B548">
            <v>339.6</v>
          </cell>
          <cell r="C548">
            <v>1200.9942570000001</v>
          </cell>
          <cell r="D548">
            <v>1.0236686390532499</v>
          </cell>
          <cell r="E548">
            <v>329.39474200000001</v>
          </cell>
          <cell r="F548">
            <v>0.57988165680473303</v>
          </cell>
          <cell r="G548">
            <v>578.186554</v>
          </cell>
          <cell r="H548">
            <v>1.41297935103244</v>
          </cell>
          <cell r="I548">
            <v>469.603951</v>
          </cell>
          <cell r="J548">
            <v>1.01179941002949</v>
          </cell>
          <cell r="K548">
            <v>3583.1709179999998</v>
          </cell>
          <cell r="L548">
            <v>5.0117302052785897</v>
          </cell>
          <cell r="M548">
            <v>432.98753599999998</v>
          </cell>
          <cell r="N548">
            <v>2.2404692082111399</v>
          </cell>
          <cell r="O548">
            <v>290.67646999999999</v>
          </cell>
          <cell r="P548">
            <v>1.23529411764705</v>
          </cell>
          <cell r="Q548">
            <v>239.667745</v>
          </cell>
          <cell r="R548">
            <v>1.1647058823529399</v>
          </cell>
          <cell r="S548">
            <v>2548.3286760000001</v>
          </cell>
          <cell r="T548">
            <v>3.8147058823529401</v>
          </cell>
          <cell r="U548">
            <v>798.38794099999996</v>
          </cell>
          <cell r="V548">
            <v>2.1941176470588202</v>
          </cell>
        </row>
        <row r="549">
          <cell r="A549" t="str">
            <v>033702</v>
          </cell>
          <cell r="B549">
            <v>232.11111099999999</v>
          </cell>
          <cell r="C549">
            <v>287.13660800000002</v>
          </cell>
          <cell r="D549">
            <v>0.499999999999999</v>
          </cell>
          <cell r="E549">
            <v>81.034175000000005</v>
          </cell>
          <cell r="F549">
            <v>0.39495798319327702</v>
          </cell>
          <cell r="G549">
            <v>517.185292</v>
          </cell>
          <cell r="H549">
            <v>1.1228813559322</v>
          </cell>
          <cell r="I549">
            <v>465.4975</v>
          </cell>
          <cell r="J549">
            <v>0.75</v>
          </cell>
          <cell r="K549">
            <v>930.778683</v>
          </cell>
          <cell r="L549">
            <v>3.7038626609441998</v>
          </cell>
          <cell r="M549">
            <v>675.94084399999997</v>
          </cell>
          <cell r="N549">
            <v>3.5536480686695202</v>
          </cell>
          <cell r="O549">
            <v>227.188064</v>
          </cell>
          <cell r="P549">
            <v>1.4410480349344901</v>
          </cell>
          <cell r="Q549">
            <v>227.188064</v>
          </cell>
          <cell r="R549">
            <v>1.4410480349344901</v>
          </cell>
          <cell r="S549">
            <v>409.53796599999998</v>
          </cell>
          <cell r="T549">
            <v>1.91479820627802</v>
          </cell>
          <cell r="U549">
            <v>312.51046300000002</v>
          </cell>
          <cell r="V549">
            <v>1.7802690582959599</v>
          </cell>
        </row>
        <row r="550">
          <cell r="A550" t="str">
            <v>033801</v>
          </cell>
          <cell r="B550">
            <v>1435</v>
          </cell>
          <cell r="C550">
            <v>223.46472600000001</v>
          </cell>
          <cell r="D550">
            <v>1.9717046238785301</v>
          </cell>
          <cell r="E550">
            <v>223.37164899999999</v>
          </cell>
          <cell r="F550">
            <v>1.97101449275362</v>
          </cell>
          <cell r="G550">
            <v>297.46652899999998</v>
          </cell>
          <cell r="H550">
            <v>2.0942480942480901</v>
          </cell>
          <cell r="I550">
            <v>218.57040900000001</v>
          </cell>
          <cell r="J550">
            <v>1.6964656964656899</v>
          </cell>
          <cell r="K550">
            <v>3168.0935610000001</v>
          </cell>
          <cell r="L550">
            <v>2.2024965325936101</v>
          </cell>
          <cell r="M550">
            <v>122.265961</v>
          </cell>
          <cell r="N550">
            <v>0.47364771151178903</v>
          </cell>
          <cell r="O550">
            <v>1966.9453080000001</v>
          </cell>
          <cell r="P550">
            <v>3.35893854748603</v>
          </cell>
          <cell r="Q550">
            <v>261.95832100000001</v>
          </cell>
          <cell r="R550">
            <v>1.1040502793296001</v>
          </cell>
          <cell r="S550">
            <v>582.136798</v>
          </cell>
          <cell r="T550">
            <v>3.4996451383960201</v>
          </cell>
          <cell r="U550">
            <v>515.22123199999999</v>
          </cell>
          <cell r="V550">
            <v>3.0688431511710399</v>
          </cell>
        </row>
        <row r="551">
          <cell r="A551" t="str">
            <v>033802</v>
          </cell>
          <cell r="B551">
            <v>1136.333333</v>
          </cell>
          <cell r="C551">
            <v>29.829857000000001</v>
          </cell>
          <cell r="D551">
            <v>0.12883435582822</v>
          </cell>
          <cell r="E551">
            <v>29.829857000000001</v>
          </cell>
          <cell r="F551">
            <v>0.12883435582822</v>
          </cell>
          <cell r="G551">
            <v>145.02021199999999</v>
          </cell>
          <cell r="H551">
            <v>0.384547848990342</v>
          </cell>
          <cell r="I551">
            <v>48.094236000000002</v>
          </cell>
          <cell r="J551">
            <v>0.20895522388059701</v>
          </cell>
          <cell r="K551">
            <v>339.67200700000001</v>
          </cell>
          <cell r="L551">
            <v>0.67339771729587306</v>
          </cell>
          <cell r="M551">
            <v>65.610696000000004</v>
          </cell>
          <cell r="N551">
            <v>0.52853380158033303</v>
          </cell>
          <cell r="O551">
            <v>285.86520300000001</v>
          </cell>
          <cell r="P551">
            <v>0.68129938542581203</v>
          </cell>
          <cell r="Q551">
            <v>67.139069000000006</v>
          </cell>
          <cell r="R551">
            <v>0.50834064969271198</v>
          </cell>
          <cell r="S551">
            <v>419.26277299999998</v>
          </cell>
          <cell r="T551">
            <v>1.9298401420959099</v>
          </cell>
          <cell r="U551">
            <v>309.72741200000002</v>
          </cell>
          <cell r="V551">
            <v>1.76731793960923</v>
          </cell>
        </row>
        <row r="552">
          <cell r="A552" t="str">
            <v>033803</v>
          </cell>
          <cell r="B552">
            <v>1668.2</v>
          </cell>
          <cell r="C552">
            <v>138.376499</v>
          </cell>
          <cell r="D552">
            <v>0.78640192539109499</v>
          </cell>
          <cell r="E552">
            <v>130.78539900000001</v>
          </cell>
          <cell r="F552">
            <v>0.744283995186522</v>
          </cell>
          <cell r="G552">
            <v>135.052179</v>
          </cell>
          <cell r="H552">
            <v>0.67640047675804504</v>
          </cell>
          <cell r="I552">
            <v>49.261940000000003</v>
          </cell>
          <cell r="J552">
            <v>0.370679380214541</v>
          </cell>
          <cell r="K552">
            <v>6455.3979710000003</v>
          </cell>
          <cell r="L552">
            <v>4.0286225402504403</v>
          </cell>
          <cell r="M552">
            <v>461.67758800000001</v>
          </cell>
          <cell r="N552">
            <v>1.64042933810375</v>
          </cell>
          <cell r="O552">
            <v>1227.3288219999999</v>
          </cell>
          <cell r="P552">
            <v>2.0931899641577001</v>
          </cell>
          <cell r="Q552">
            <v>111.45526599999999</v>
          </cell>
          <cell r="R552">
            <v>1.02210274790919</v>
          </cell>
          <cell r="S552">
            <v>400.94226099999997</v>
          </cell>
          <cell r="T552">
            <v>3.2490909090909001</v>
          </cell>
          <cell r="U552">
            <v>388.49119100000001</v>
          </cell>
          <cell r="V552">
            <v>3.1060606060606002</v>
          </cell>
        </row>
        <row r="553">
          <cell r="A553" t="str">
            <v>033804</v>
          </cell>
          <cell r="B553">
            <v>807.2</v>
          </cell>
          <cell r="C553">
            <v>262.63580100000001</v>
          </cell>
          <cell r="D553">
            <v>2.2113289760348498</v>
          </cell>
          <cell r="E553">
            <v>258.13090499999998</v>
          </cell>
          <cell r="F553">
            <v>2.18954248366013</v>
          </cell>
          <cell r="G553">
            <v>26.469595000000002</v>
          </cell>
          <cell r="H553">
            <v>0.21666666666666601</v>
          </cell>
          <cell r="I553">
            <v>23.53763</v>
          </cell>
          <cell r="J553">
            <v>0.21444444444444399</v>
          </cell>
          <cell r="K553">
            <v>3054.423906</v>
          </cell>
          <cell r="L553">
            <v>3.2688888888888799</v>
          </cell>
          <cell r="M553">
            <v>334.09690699999999</v>
          </cell>
          <cell r="N553">
            <v>2.0955555555555501</v>
          </cell>
          <cell r="O553">
            <v>757.20947799999999</v>
          </cell>
          <cell r="P553">
            <v>1.2949720670391001</v>
          </cell>
          <cell r="Q553">
            <v>132.52443199999999</v>
          </cell>
          <cell r="R553">
            <v>0.84692737430167497</v>
          </cell>
          <cell r="S553">
            <v>650.34236499999997</v>
          </cell>
          <cell r="T553">
            <v>3.7845804988662102</v>
          </cell>
          <cell r="U553">
            <v>630.51897199999996</v>
          </cell>
          <cell r="V553">
            <v>3.7074829931972699</v>
          </cell>
        </row>
        <row r="554">
          <cell r="A554" t="str">
            <v>033901</v>
          </cell>
          <cell r="B554">
            <v>1189.6666660000001</v>
          </cell>
          <cell r="C554">
            <v>494.71085900000003</v>
          </cell>
          <cell r="D554">
            <v>2.3546756529064798</v>
          </cell>
          <cell r="E554">
            <v>494.71085900000003</v>
          </cell>
          <cell r="F554">
            <v>2.3546756529064798</v>
          </cell>
          <cell r="G554">
            <v>115.76453600000001</v>
          </cell>
          <cell r="H554">
            <v>0.48698572628043602</v>
          </cell>
          <cell r="I554">
            <v>113.69788699999999</v>
          </cell>
          <cell r="J554">
            <v>0.48530646515533099</v>
          </cell>
          <cell r="K554">
            <v>80.073228999999998</v>
          </cell>
          <cell r="L554">
            <v>0.32859531772575201</v>
          </cell>
          <cell r="M554">
            <v>33.045192</v>
          </cell>
          <cell r="N554">
            <v>0.28428093645484898</v>
          </cell>
          <cell r="O554">
            <v>404.17182300000002</v>
          </cell>
          <cell r="P554">
            <v>0.37700760777683801</v>
          </cell>
          <cell r="Q554">
            <v>59.795223999999997</v>
          </cell>
          <cell r="R554">
            <v>0.29163144547759901</v>
          </cell>
          <cell r="S554">
            <v>81.643513999999996</v>
          </cell>
          <cell r="T554">
            <v>0.52941176470588203</v>
          </cell>
          <cell r="U554">
            <v>71.832030000000003</v>
          </cell>
          <cell r="V554">
            <v>0.52100840336134402</v>
          </cell>
        </row>
        <row r="555">
          <cell r="A555" t="str">
            <v>033902</v>
          </cell>
          <cell r="B555">
            <v>758.25</v>
          </cell>
          <cell r="C555">
            <v>1313.216764</v>
          </cell>
          <cell r="D555">
            <v>4.2383292383292304</v>
          </cell>
          <cell r="E555">
            <v>1313.216764</v>
          </cell>
          <cell r="F555">
            <v>4.2383292383292304</v>
          </cell>
          <cell r="G555">
            <v>32.494084999999998</v>
          </cell>
          <cell r="H555">
            <v>0.21366459627329101</v>
          </cell>
          <cell r="I555">
            <v>32.494084999999998</v>
          </cell>
          <cell r="J555">
            <v>0.21366459627329101</v>
          </cell>
          <cell r="K555">
            <v>165.917858</v>
          </cell>
          <cell r="L555">
            <v>1.4919852034525201</v>
          </cell>
          <cell r="M555">
            <v>156.24015600000001</v>
          </cell>
          <cell r="N555">
            <v>1.4562268803945699</v>
          </cell>
          <cell r="O555">
            <v>139.236997</v>
          </cell>
          <cell r="P555">
            <v>0.245962732919254</v>
          </cell>
          <cell r="Q555">
            <v>120.742857</v>
          </cell>
          <cell r="R555">
            <v>0.21242236024844699</v>
          </cell>
          <cell r="S555">
            <v>376.21952199999998</v>
          </cell>
          <cell r="T555">
            <v>0.60665844636251498</v>
          </cell>
          <cell r="U555">
            <v>343.38269600000001</v>
          </cell>
          <cell r="V555">
            <v>0.57706535141800197</v>
          </cell>
        </row>
        <row r="556">
          <cell r="A556" t="str">
            <v>033903</v>
          </cell>
          <cell r="B556">
            <v>1916.6666660000001</v>
          </cell>
          <cell r="C556">
            <v>967.87467600000002</v>
          </cell>
          <cell r="D556">
            <v>4.3203422053231897</v>
          </cell>
          <cell r="E556">
            <v>967.87467600000002</v>
          </cell>
          <cell r="F556">
            <v>4.3203422053231897</v>
          </cell>
          <cell r="G556">
            <v>153.34118699999999</v>
          </cell>
          <cell r="H556">
            <v>1.2864030858244899</v>
          </cell>
          <cell r="I556">
            <v>119.825824</v>
          </cell>
          <cell r="J556">
            <v>1.21841851494696</v>
          </cell>
          <cell r="K556">
            <v>316.06648000000001</v>
          </cell>
          <cell r="L556">
            <v>0.70613823102948203</v>
          </cell>
          <cell r="M556">
            <v>161.82916</v>
          </cell>
          <cell r="N556">
            <v>0.61865635572740396</v>
          </cell>
          <cell r="O556">
            <v>504.13189799999998</v>
          </cell>
          <cell r="P556">
            <v>0.76082365364308302</v>
          </cell>
          <cell r="Q556">
            <v>92.113682999999995</v>
          </cell>
          <cell r="R556">
            <v>0.57814149947201599</v>
          </cell>
          <cell r="S556">
            <v>363.33752800000002</v>
          </cell>
          <cell r="T556">
            <v>1.51891367604267</v>
          </cell>
          <cell r="U556">
            <v>359.94746199999997</v>
          </cell>
          <cell r="V556">
            <v>1.5077594568380199</v>
          </cell>
        </row>
        <row r="557">
          <cell r="A557" t="str">
            <v>034001</v>
          </cell>
          <cell r="B557">
            <v>1245.4000000000001</v>
          </cell>
          <cell r="C557">
            <v>4671.6795400000001</v>
          </cell>
          <cell r="D557">
            <v>2.92301523656776</v>
          </cell>
          <cell r="E557">
            <v>450.20428900000002</v>
          </cell>
          <cell r="F557">
            <v>1.5332798716920599</v>
          </cell>
          <cell r="G557">
            <v>419.20458500000001</v>
          </cell>
          <cell r="H557">
            <v>1.63868904876099</v>
          </cell>
          <cell r="I557">
            <v>121.102722</v>
          </cell>
          <cell r="J557">
            <v>1.4308553157474</v>
          </cell>
          <cell r="K557">
            <v>56.276302000000001</v>
          </cell>
          <cell r="L557">
            <v>0.32076984763432198</v>
          </cell>
          <cell r="M557">
            <v>52.301029</v>
          </cell>
          <cell r="N557">
            <v>0.312750601443464</v>
          </cell>
          <cell r="O557">
            <v>41.991073999999998</v>
          </cell>
          <cell r="P557">
            <v>8.6290322580645104E-2</v>
          </cell>
          <cell r="Q557">
            <v>12.159556</v>
          </cell>
          <cell r="R557">
            <v>6.1290322580645103E-2</v>
          </cell>
          <cell r="S557">
            <v>97.587598999999997</v>
          </cell>
          <cell r="T557">
            <v>0.49033816425120702</v>
          </cell>
          <cell r="U557">
            <v>82.656520999999998</v>
          </cell>
          <cell r="V557">
            <v>0.474235104669887</v>
          </cell>
        </row>
        <row r="558">
          <cell r="A558" t="str">
            <v>034002</v>
          </cell>
          <cell r="B558">
            <v>1109.5999999999999</v>
          </cell>
          <cell r="C558">
            <v>6293.2842000000001</v>
          </cell>
          <cell r="D558">
            <v>2.2603266090297698</v>
          </cell>
          <cell r="E558">
            <v>127.762781</v>
          </cell>
          <cell r="F558">
            <v>0.86551392891450496</v>
          </cell>
          <cell r="G558">
            <v>343.99806000000001</v>
          </cell>
          <cell r="H558">
            <v>2.3398058252427099</v>
          </cell>
          <cell r="I558">
            <v>233.31197800000001</v>
          </cell>
          <cell r="J558">
            <v>2.2612533097969898</v>
          </cell>
          <cell r="K558">
            <v>429.287443</v>
          </cell>
          <cell r="L558">
            <v>1.0647737355811799</v>
          </cell>
          <cell r="M558">
            <v>7.2179820000000001</v>
          </cell>
          <cell r="N558">
            <v>4.79148181011535E-2</v>
          </cell>
          <cell r="O558">
            <v>313.92755</v>
          </cell>
          <cell r="P558">
            <v>2.0239574090505701</v>
          </cell>
          <cell r="Q558">
            <v>298.940831</v>
          </cell>
          <cell r="R558">
            <v>1.9742679680567801</v>
          </cell>
          <cell r="S558">
            <v>93.591323000000003</v>
          </cell>
          <cell r="T558">
            <v>0.39107142857142801</v>
          </cell>
          <cell r="U558">
            <v>81.145668999999998</v>
          </cell>
          <cell r="V558">
            <v>0.28749999999999998</v>
          </cell>
        </row>
        <row r="559">
          <cell r="A559" t="str">
            <v>034003</v>
          </cell>
          <cell r="B559">
            <v>1111.4000000000001</v>
          </cell>
          <cell r="C559">
            <v>2621.0394460000002</v>
          </cell>
          <cell r="D559">
            <v>4.09183673469387</v>
          </cell>
          <cell r="E559">
            <v>582.70876699999997</v>
          </cell>
          <cell r="F559">
            <v>1.7384044526901601</v>
          </cell>
          <cell r="G559">
            <v>194.61881500000001</v>
          </cell>
          <cell r="H559">
            <v>1.3042671614100101</v>
          </cell>
          <cell r="I559">
            <v>120.740002</v>
          </cell>
          <cell r="J559">
            <v>1.1938775510204001</v>
          </cell>
          <cell r="K559">
            <v>129.08009799999999</v>
          </cell>
          <cell r="L559">
            <v>0.70802238805970097</v>
          </cell>
          <cell r="M559">
            <v>117.864536</v>
          </cell>
          <cell r="N559">
            <v>0.6875</v>
          </cell>
          <cell r="O559">
            <v>166.883567</v>
          </cell>
          <cell r="P559">
            <v>0.185499058380414</v>
          </cell>
          <cell r="Q559">
            <v>30.242622999999998</v>
          </cell>
          <cell r="R559">
            <v>0.137476459510357</v>
          </cell>
          <cell r="S559">
            <v>48.760365</v>
          </cell>
          <cell r="T559">
            <v>0.14048934490923401</v>
          </cell>
          <cell r="U559">
            <v>10.123638</v>
          </cell>
          <cell r="V559">
            <v>0.12391475927387501</v>
          </cell>
        </row>
        <row r="560">
          <cell r="A560" t="str">
            <v>034101</v>
          </cell>
          <cell r="B560">
            <v>444.44444399999998</v>
          </cell>
          <cell r="C560">
            <v>105.273791</v>
          </cell>
          <cell r="D560">
            <v>0.69178082191780799</v>
          </cell>
          <cell r="E560">
            <v>105.273791</v>
          </cell>
          <cell r="F560">
            <v>0.69178082191780799</v>
          </cell>
          <cell r="G560">
            <v>39.753306000000002</v>
          </cell>
          <cell r="H560">
            <v>0.129753914988814</v>
          </cell>
          <cell r="I560">
            <v>28.969906999999999</v>
          </cell>
          <cell r="J560">
            <v>0.125279642058165</v>
          </cell>
          <cell r="K560">
            <v>160.75070400000001</v>
          </cell>
          <cell r="L560">
            <v>0.211581291759465</v>
          </cell>
          <cell r="M560">
            <v>24.902412000000002</v>
          </cell>
          <cell r="N560">
            <v>0.144766146993318</v>
          </cell>
          <cell r="O560">
            <v>2988.6211349999999</v>
          </cell>
          <cell r="P560">
            <v>1.1386363636363599</v>
          </cell>
          <cell r="Q560">
            <v>14.273787</v>
          </cell>
          <cell r="R560">
            <v>0.111363636363636</v>
          </cell>
          <cell r="S560">
            <v>509.23490500000003</v>
          </cell>
          <cell r="T560">
            <v>0.69887640449438204</v>
          </cell>
          <cell r="U560">
            <v>71.315242999999995</v>
          </cell>
          <cell r="V560">
            <v>0.55280898876404405</v>
          </cell>
        </row>
        <row r="561">
          <cell r="A561" t="str">
            <v>034103</v>
          </cell>
          <cell r="B561">
            <v>108</v>
          </cell>
          <cell r="C561">
            <v>695.96374800000001</v>
          </cell>
          <cell r="D561">
            <v>1.0115606936416099</v>
          </cell>
          <cell r="E561">
            <v>695.96374800000001</v>
          </cell>
          <cell r="F561">
            <v>1.0115606936416099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238.378333</v>
          </cell>
          <cell r="L561">
            <v>0.47142857142857097</v>
          </cell>
          <cell r="M561">
            <v>238.378333</v>
          </cell>
          <cell r="N561">
            <v>0.47142857142857097</v>
          </cell>
          <cell r="O561">
            <v>368.324074</v>
          </cell>
          <cell r="P561">
            <v>1</v>
          </cell>
          <cell r="Q561">
            <v>368.324074</v>
          </cell>
          <cell r="R561">
            <v>1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</row>
        <row r="562">
          <cell r="A562" t="str">
            <v>034105</v>
          </cell>
          <cell r="B562">
            <v>4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87.553332999999995</v>
          </cell>
          <cell r="L562">
            <v>0.2</v>
          </cell>
          <cell r="M562">
            <v>0</v>
          </cell>
          <cell r="N562">
            <v>0</v>
          </cell>
          <cell r="O562">
            <v>770.89444400000002</v>
          </cell>
          <cell r="P562">
            <v>1</v>
          </cell>
          <cell r="Q562">
            <v>770.89444400000002</v>
          </cell>
          <cell r="R562">
            <v>1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</row>
        <row r="563">
          <cell r="A563" t="str">
            <v>034201</v>
          </cell>
          <cell r="B563">
            <v>468.125</v>
          </cell>
          <cell r="C563">
            <v>28.525507999999999</v>
          </cell>
          <cell r="D563">
            <v>0.13419913419913401</v>
          </cell>
          <cell r="E563">
            <v>28.525507999999999</v>
          </cell>
          <cell r="F563">
            <v>0.13419913419913401</v>
          </cell>
          <cell r="G563">
            <v>13.396376999999999</v>
          </cell>
          <cell r="H563">
            <v>8.3155650319829397E-2</v>
          </cell>
          <cell r="I563">
            <v>13.396376999999999</v>
          </cell>
          <cell r="J563">
            <v>8.3155650319829397E-2</v>
          </cell>
          <cell r="K563">
            <v>23.486069000000001</v>
          </cell>
          <cell r="L563">
            <v>5.3304904051172698E-2</v>
          </cell>
          <cell r="M563">
            <v>18.506893999999999</v>
          </cell>
          <cell r="N563">
            <v>5.1172707889125701E-2</v>
          </cell>
          <cell r="O563">
            <v>24.595095000000001</v>
          </cell>
          <cell r="P563">
            <v>3.8379530916844297E-2</v>
          </cell>
          <cell r="Q563">
            <v>3.7084220000000001</v>
          </cell>
          <cell r="R563">
            <v>1.2793176972281399E-2</v>
          </cell>
          <cell r="S563">
            <v>88.407036000000005</v>
          </cell>
          <cell r="T563">
            <v>0.20895522388059701</v>
          </cell>
          <cell r="U563">
            <v>45.231662999999998</v>
          </cell>
          <cell r="V563">
            <v>0.164179104477611</v>
          </cell>
        </row>
        <row r="564">
          <cell r="A564" t="str">
            <v>034202</v>
          </cell>
          <cell r="B564">
            <v>1096.5999999999999</v>
          </cell>
          <cell r="C564">
            <v>703.45333800000003</v>
          </cell>
          <cell r="D564">
            <v>0.97723292469351997</v>
          </cell>
          <cell r="E564">
            <v>84.213600999999997</v>
          </cell>
          <cell r="F564">
            <v>0.64273204903677705</v>
          </cell>
          <cell r="G564">
            <v>82.061356000000004</v>
          </cell>
          <cell r="H564">
            <v>0.43035714285714199</v>
          </cell>
          <cell r="I564">
            <v>70.898432</v>
          </cell>
          <cell r="J564">
            <v>0.347321428571428</v>
          </cell>
          <cell r="K564">
            <v>216.118255</v>
          </cell>
          <cell r="L564">
            <v>0.76657584014532199</v>
          </cell>
          <cell r="M564">
            <v>81.708445999999995</v>
          </cell>
          <cell r="N564">
            <v>0.52134423251589401</v>
          </cell>
          <cell r="O564">
            <v>36.171351999999999</v>
          </cell>
          <cell r="P564">
            <v>0.27281191806331401</v>
          </cell>
          <cell r="Q564">
            <v>36.009</v>
          </cell>
          <cell r="R564">
            <v>0.27188081936685199</v>
          </cell>
          <cell r="S564">
            <v>495.48677400000003</v>
          </cell>
          <cell r="T564">
            <v>0.91778202676864196</v>
          </cell>
          <cell r="U564">
            <v>95.598580999999996</v>
          </cell>
          <cell r="V564">
            <v>0.50956022944550605</v>
          </cell>
        </row>
        <row r="565">
          <cell r="A565" t="str">
            <v>034203</v>
          </cell>
          <cell r="B565">
            <v>599.85714199999995</v>
          </cell>
          <cell r="C565">
            <v>31.134060999999999</v>
          </cell>
          <cell r="D565">
            <v>0.15346534653465299</v>
          </cell>
          <cell r="E565">
            <v>25.262574999999998</v>
          </cell>
          <cell r="F565">
            <v>0.14851485148514801</v>
          </cell>
          <cell r="G565">
            <v>49.878610000000002</v>
          </cell>
          <cell r="H565">
            <v>0.495867768595041</v>
          </cell>
          <cell r="I565">
            <v>49.878610000000002</v>
          </cell>
          <cell r="J565">
            <v>0.495867768595041</v>
          </cell>
          <cell r="K565">
            <v>63.843482000000002</v>
          </cell>
          <cell r="L565">
            <v>0.53244592346089803</v>
          </cell>
          <cell r="M565">
            <v>42.603104999999999</v>
          </cell>
          <cell r="N565">
            <v>0.50915141430948396</v>
          </cell>
          <cell r="O565">
            <v>7.8572980000000001</v>
          </cell>
          <cell r="P565">
            <v>7.8859060402684505E-2</v>
          </cell>
          <cell r="Q565">
            <v>7.8572980000000001</v>
          </cell>
          <cell r="R565">
            <v>7.8859060402684505E-2</v>
          </cell>
          <cell r="S565">
            <v>23.782705</v>
          </cell>
          <cell r="T565">
            <v>0.116438356164383</v>
          </cell>
          <cell r="U565">
            <v>23.782705</v>
          </cell>
          <cell r="V565">
            <v>0.116438356164383</v>
          </cell>
        </row>
        <row r="566">
          <cell r="A566" t="str">
            <v>034204</v>
          </cell>
          <cell r="B566">
            <v>508</v>
          </cell>
          <cell r="C566">
            <v>92.902663000000004</v>
          </cell>
          <cell r="D566">
            <v>0.453125</v>
          </cell>
          <cell r="E566">
            <v>92.902663000000004</v>
          </cell>
          <cell r="F566">
            <v>0.453125</v>
          </cell>
          <cell r="G566">
            <v>3.0629430000000002</v>
          </cell>
          <cell r="H566">
            <v>1.9646365422396799E-3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2.9822479999999998</v>
          </cell>
          <cell r="P566">
            <v>2.5641025641025599E-2</v>
          </cell>
          <cell r="Q566">
            <v>2.9822479999999998</v>
          </cell>
          <cell r="R566">
            <v>2.5641025641025599E-2</v>
          </cell>
          <cell r="S566">
            <v>3.6664349999999999</v>
          </cell>
          <cell r="T566">
            <v>0.107142857142857</v>
          </cell>
          <cell r="U566">
            <v>3.6664349999999999</v>
          </cell>
          <cell r="V566">
            <v>0.107142857142857</v>
          </cell>
        </row>
        <row r="567">
          <cell r="A567" t="str">
            <v>034401</v>
          </cell>
          <cell r="B567">
            <v>1185.4000000000001</v>
          </cell>
          <cell r="C567">
            <v>521.27306599999997</v>
          </cell>
          <cell r="D567">
            <v>2.53871773522064</v>
          </cell>
          <cell r="E567">
            <v>271.40072700000002</v>
          </cell>
          <cell r="F567">
            <v>1.2248126561199</v>
          </cell>
          <cell r="G567">
            <v>872.21364100000005</v>
          </cell>
          <cell r="H567">
            <v>2.98252911813643</v>
          </cell>
          <cell r="I567">
            <v>457.36526600000002</v>
          </cell>
          <cell r="J567">
            <v>2.1464226289517399</v>
          </cell>
          <cell r="K567">
            <v>2327.802385</v>
          </cell>
          <cell r="L567">
            <v>3.0912897822445502</v>
          </cell>
          <cell r="M567">
            <v>368.94257299999998</v>
          </cell>
          <cell r="N567">
            <v>1.8190954773869299</v>
          </cell>
          <cell r="O567">
            <v>3333.1972660000001</v>
          </cell>
          <cell r="P567">
            <v>3.3976210705182601</v>
          </cell>
          <cell r="Q567">
            <v>306.32527599999997</v>
          </cell>
          <cell r="R567">
            <v>2.2336448598130798</v>
          </cell>
          <cell r="S567">
            <v>3290.1690359999998</v>
          </cell>
          <cell r="T567">
            <v>4.4692107545533304</v>
          </cell>
          <cell r="U567">
            <v>670.34940700000004</v>
          </cell>
          <cell r="V567">
            <v>2.7328707718993899</v>
          </cell>
        </row>
        <row r="568">
          <cell r="A568" t="str">
            <v>034402</v>
          </cell>
          <cell r="B568">
            <v>3056</v>
          </cell>
          <cell r="C568">
            <v>405.17648500000001</v>
          </cell>
          <cell r="D568">
            <v>2.3915701415701398</v>
          </cell>
          <cell r="E568">
            <v>292.85427800000002</v>
          </cell>
          <cell r="F568">
            <v>1.9195624195624099</v>
          </cell>
          <cell r="G568">
            <v>617.00755400000003</v>
          </cell>
          <cell r="H568">
            <v>1.87971391417425</v>
          </cell>
          <cell r="I568">
            <v>229.73316500000001</v>
          </cell>
          <cell r="J568">
            <v>1.2408972691807501</v>
          </cell>
          <cell r="K568">
            <v>1381.6133110000001</v>
          </cell>
          <cell r="L568">
            <v>3.1349673202614299</v>
          </cell>
          <cell r="M568">
            <v>188.086367</v>
          </cell>
          <cell r="N568">
            <v>1.1114379084967301</v>
          </cell>
          <cell r="O568">
            <v>1454.6050809999999</v>
          </cell>
          <cell r="P568">
            <v>3.8879395333552398</v>
          </cell>
          <cell r="Q568">
            <v>737.28000799999995</v>
          </cell>
          <cell r="R568">
            <v>3.5211961879723899</v>
          </cell>
          <cell r="S568">
            <v>3777.044954</v>
          </cell>
          <cell r="T568">
            <v>4.9575676578683501</v>
          </cell>
          <cell r="U568">
            <v>406.64121799999998</v>
          </cell>
          <cell r="V568">
            <v>1.9913130638155601</v>
          </cell>
        </row>
        <row r="569">
          <cell r="A569" t="str">
            <v>034501</v>
          </cell>
          <cell r="B569">
            <v>1275.888888</v>
          </cell>
          <cell r="C569">
            <v>32.319662999999998</v>
          </cell>
          <cell r="D569">
            <v>0.13703993735317099</v>
          </cell>
          <cell r="E569">
            <v>32.319662999999998</v>
          </cell>
          <cell r="F569">
            <v>0.13703993735317099</v>
          </cell>
          <cell r="G569">
            <v>219.35974100000001</v>
          </cell>
          <cell r="H569">
            <v>0.215239591516103</v>
          </cell>
          <cell r="I569">
            <v>75.598760999999996</v>
          </cell>
          <cell r="J569">
            <v>0.15082482325216001</v>
          </cell>
          <cell r="K569">
            <v>344.58476999999999</v>
          </cell>
          <cell r="L569">
            <v>0.53333333333333299</v>
          </cell>
          <cell r="M569">
            <v>25.614182</v>
          </cell>
          <cell r="N569">
            <v>0.17411764705882299</v>
          </cell>
          <cell r="O569">
            <v>468.27404999999999</v>
          </cell>
          <cell r="P569">
            <v>0.36763550667714001</v>
          </cell>
          <cell r="Q569">
            <v>5.6884129999999997</v>
          </cell>
          <cell r="R569">
            <v>7.8554595443833405E-2</v>
          </cell>
          <cell r="S569">
            <v>33.463636000000001</v>
          </cell>
          <cell r="T569">
            <v>0.27457098283931303</v>
          </cell>
          <cell r="U569">
            <v>26.890678000000001</v>
          </cell>
          <cell r="V569">
            <v>0.25351014040561598</v>
          </cell>
        </row>
        <row r="570">
          <cell r="A570" t="str">
            <v>034502</v>
          </cell>
          <cell r="B570">
            <v>1013</v>
          </cell>
          <cell r="C570">
            <v>59.371180000000003</v>
          </cell>
          <cell r="D570">
            <v>0.21771913289349601</v>
          </cell>
          <cell r="E570">
            <v>59.371180000000003</v>
          </cell>
          <cell r="F570">
            <v>0.21771913289349601</v>
          </cell>
          <cell r="G570">
            <v>136.95388199999999</v>
          </cell>
          <cell r="H570">
            <v>2.23854069223573</v>
          </cell>
          <cell r="I570">
            <v>134.23422299999999</v>
          </cell>
          <cell r="J570">
            <v>2.2329279700654801</v>
          </cell>
          <cell r="K570">
            <v>754.23056999999994</v>
          </cell>
          <cell r="L570">
            <v>0.72447013487475898</v>
          </cell>
          <cell r="M570">
            <v>16.302761</v>
          </cell>
          <cell r="N570">
            <v>0.17822736030828501</v>
          </cell>
          <cell r="O570">
            <v>323.53966000000003</v>
          </cell>
          <cell r="P570">
            <v>1.1773858921161799</v>
          </cell>
          <cell r="Q570">
            <v>19.439315000000001</v>
          </cell>
          <cell r="R570">
            <v>0.19709543568464699</v>
          </cell>
          <cell r="S570">
            <v>16.453099000000002</v>
          </cell>
          <cell r="T570">
            <v>7.1055381400208895E-2</v>
          </cell>
          <cell r="U570">
            <v>14.290804</v>
          </cell>
          <cell r="V570">
            <v>6.8965517241379296E-2</v>
          </cell>
        </row>
        <row r="571">
          <cell r="A571" t="str">
            <v>034503</v>
          </cell>
          <cell r="B571">
            <v>362</v>
          </cell>
          <cell r="C571">
            <v>76.855957000000004</v>
          </cell>
          <cell r="D571">
            <v>0.67597765363128404</v>
          </cell>
          <cell r="E571">
            <v>76.855957000000004</v>
          </cell>
          <cell r="F571">
            <v>0.67597765363128404</v>
          </cell>
          <cell r="G571">
            <v>164.70076399999999</v>
          </cell>
          <cell r="H571">
            <v>0.745152354570637</v>
          </cell>
          <cell r="I571">
            <v>164.70076399999999</v>
          </cell>
          <cell r="J571">
            <v>0.745152354570637</v>
          </cell>
          <cell r="K571">
            <v>248.11579399999999</v>
          </cell>
          <cell r="L571">
            <v>2.2534435261707899</v>
          </cell>
          <cell r="M571">
            <v>204.53815399999999</v>
          </cell>
          <cell r="N571">
            <v>2.08815426997245</v>
          </cell>
          <cell r="O571">
            <v>185.27855700000001</v>
          </cell>
          <cell r="P571">
            <v>0.71625344352617004</v>
          </cell>
          <cell r="Q571">
            <v>111.682047</v>
          </cell>
          <cell r="R571">
            <v>0.69696969696969602</v>
          </cell>
          <cell r="S571">
            <v>10.117584000000001</v>
          </cell>
          <cell r="T571">
            <v>8.2644628099173501E-2</v>
          </cell>
          <cell r="U571">
            <v>10.117584000000001</v>
          </cell>
          <cell r="V571">
            <v>8.2644628099173501E-2</v>
          </cell>
        </row>
        <row r="572">
          <cell r="A572" t="str">
            <v>034601</v>
          </cell>
          <cell r="B572">
            <v>1975.4285709999999</v>
          </cell>
          <cell r="C572">
            <v>4.0585500000000003</v>
          </cell>
          <cell r="D572">
            <v>6.9798657718120799E-2</v>
          </cell>
          <cell r="E572">
            <v>4.0585500000000003</v>
          </cell>
          <cell r="F572">
            <v>6.9798657718120799E-2</v>
          </cell>
          <cell r="G572">
            <v>0.64197899999999997</v>
          </cell>
          <cell r="H572">
            <v>1.37362637362637E-3</v>
          </cell>
          <cell r="I572">
            <v>0.64197899999999997</v>
          </cell>
          <cell r="J572">
            <v>1.37362637362637E-3</v>
          </cell>
          <cell r="K572">
            <v>210.144092</v>
          </cell>
          <cell r="L572">
            <v>1.12341772151898</v>
          </cell>
          <cell r="M572">
            <v>210.144092</v>
          </cell>
          <cell r="N572">
            <v>1.12341772151898</v>
          </cell>
          <cell r="O572">
            <v>164.40642700000001</v>
          </cell>
          <cell r="P572">
            <v>1.0604512558535499</v>
          </cell>
          <cell r="Q572">
            <v>156.880956</v>
          </cell>
          <cell r="R572">
            <v>1.03065134099616</v>
          </cell>
          <cell r="S572">
            <v>6.7095130000000003</v>
          </cell>
          <cell r="T572">
            <v>3.82276281494352E-2</v>
          </cell>
          <cell r="U572">
            <v>5.1225019999999999</v>
          </cell>
          <cell r="V572">
            <v>3.7358818418766197E-2</v>
          </cell>
        </row>
        <row r="573">
          <cell r="A573" t="str">
            <v>034602</v>
          </cell>
          <cell r="B573">
            <v>1495.5555549999999</v>
          </cell>
          <cell r="C573">
            <v>80.726241999999999</v>
          </cell>
          <cell r="D573">
            <v>0.71510883482714405</v>
          </cell>
          <cell r="E573">
            <v>80.726241999999999</v>
          </cell>
          <cell r="F573">
            <v>0.71510883482714405</v>
          </cell>
          <cell r="G573">
            <v>90.834626</v>
          </cell>
          <cell r="H573">
            <v>0.56487549148099603</v>
          </cell>
          <cell r="I573">
            <v>72.760678999999996</v>
          </cell>
          <cell r="J573">
            <v>0.51834862385321101</v>
          </cell>
          <cell r="K573">
            <v>222.16315700000001</v>
          </cell>
          <cell r="L573">
            <v>0.93204530313124501</v>
          </cell>
          <cell r="M573">
            <v>216.78150099999999</v>
          </cell>
          <cell r="N573">
            <v>0.92005329780146505</v>
          </cell>
          <cell r="O573">
            <v>296.36784699999998</v>
          </cell>
          <cell r="P573">
            <v>1.3261309925725799</v>
          </cell>
          <cell r="Q573">
            <v>219.30778699999999</v>
          </cell>
          <cell r="R573">
            <v>1.2370020256583301</v>
          </cell>
          <cell r="S573">
            <v>996.96491900000001</v>
          </cell>
          <cell r="T573">
            <v>0.93823733518389996</v>
          </cell>
          <cell r="U573">
            <v>66.155215999999996</v>
          </cell>
          <cell r="V573">
            <v>0.33310201249132498</v>
          </cell>
        </row>
        <row r="574">
          <cell r="A574" t="str">
            <v>034603</v>
          </cell>
          <cell r="B574">
            <v>878.5</v>
          </cell>
          <cell r="C574">
            <v>1.751598</v>
          </cell>
          <cell r="D574">
            <v>4.4198895027624304E-3</v>
          </cell>
          <cell r="E574">
            <v>1.751598</v>
          </cell>
          <cell r="F574">
            <v>4.4198895027624304E-3</v>
          </cell>
          <cell r="G574">
            <v>19.498495999999999</v>
          </cell>
          <cell r="H574">
            <v>1.1097142857142801</v>
          </cell>
          <cell r="I574">
            <v>19.498495999999999</v>
          </cell>
          <cell r="J574">
            <v>1.1097142857142801</v>
          </cell>
          <cell r="K574">
            <v>0.119653</v>
          </cell>
          <cell r="L574">
            <v>1.1415525114155201E-3</v>
          </cell>
          <cell r="M574">
            <v>0.119653</v>
          </cell>
          <cell r="N574">
            <v>1.1415525114155201E-3</v>
          </cell>
          <cell r="O574">
            <v>156.00727599999999</v>
          </cell>
          <cell r="P574">
            <v>1.0914285714285701</v>
          </cell>
          <cell r="Q574">
            <v>156.00727599999999</v>
          </cell>
          <cell r="R574">
            <v>1.0914285714285701</v>
          </cell>
          <cell r="S574">
            <v>31.362393999999998</v>
          </cell>
          <cell r="T574">
            <v>0.72298850574712603</v>
          </cell>
          <cell r="U574">
            <v>3.9107660000000002</v>
          </cell>
          <cell r="V574">
            <v>2.1839080459770101E-2</v>
          </cell>
        </row>
        <row r="575">
          <cell r="A575" t="str">
            <v>034604</v>
          </cell>
          <cell r="B575">
            <v>840.4</v>
          </cell>
          <cell r="C575">
            <v>243.02305200000001</v>
          </cell>
          <cell r="D575">
            <v>0.84415584415584399</v>
          </cell>
          <cell r="E575">
            <v>219.67729299999999</v>
          </cell>
          <cell r="F575">
            <v>0.81582054309327001</v>
          </cell>
          <cell r="G575">
            <v>353.04450400000002</v>
          </cell>
          <cell r="H575">
            <v>1.65325443786982</v>
          </cell>
          <cell r="I575">
            <v>268.97825</v>
          </cell>
          <cell r="J575">
            <v>1.61183431952662</v>
          </cell>
          <cell r="K575">
            <v>1660.49125</v>
          </cell>
          <cell r="L575">
            <v>2.3681710213776701</v>
          </cell>
          <cell r="M575">
            <v>37.392834000000001</v>
          </cell>
          <cell r="N575">
            <v>0.40736342042755302</v>
          </cell>
          <cell r="O575">
            <v>706.92318499999999</v>
          </cell>
          <cell r="P575">
            <v>2.1602870813397099</v>
          </cell>
          <cell r="Q575">
            <v>176.984768</v>
          </cell>
          <cell r="R575">
            <v>1.1267942583732</v>
          </cell>
          <cell r="S575">
            <v>1926.794971</v>
          </cell>
          <cell r="T575">
            <v>1.11177884615384</v>
          </cell>
          <cell r="U575">
            <v>3.716907</v>
          </cell>
          <cell r="V575">
            <v>1.08173076923076E-2</v>
          </cell>
        </row>
        <row r="576">
          <cell r="A576" t="str">
            <v>034701</v>
          </cell>
          <cell r="B576">
            <v>902.6</v>
          </cell>
          <cell r="C576">
            <v>1330.5995129999999</v>
          </cell>
          <cell r="D576">
            <v>4.2990291262135898</v>
          </cell>
          <cell r="E576">
            <v>1231.784958</v>
          </cell>
          <cell r="F576">
            <v>3.99223300970873</v>
          </cell>
          <cell r="G576">
            <v>197.218805</v>
          </cell>
          <cell r="H576">
            <v>1.48520710059171</v>
          </cell>
          <cell r="I576">
            <v>189.94870800000001</v>
          </cell>
          <cell r="J576">
            <v>1.47830374753451</v>
          </cell>
          <cell r="K576">
            <v>1050.61051</v>
          </cell>
          <cell r="L576">
            <v>1.15049504950495</v>
          </cell>
          <cell r="M576">
            <v>122.893349</v>
          </cell>
          <cell r="N576">
            <v>0.50990099009900902</v>
          </cell>
          <cell r="O576">
            <v>959.07254499999999</v>
          </cell>
          <cell r="P576">
            <v>1.42229038854805</v>
          </cell>
          <cell r="Q576">
            <v>366.341274</v>
          </cell>
          <cell r="R576">
            <v>1.2617586912065399</v>
          </cell>
          <cell r="S576">
            <v>666.90289399999995</v>
          </cell>
          <cell r="T576">
            <v>2.1475903614457801</v>
          </cell>
          <cell r="U576">
            <v>193.69543100000001</v>
          </cell>
          <cell r="V576">
            <v>0.94477911646586299</v>
          </cell>
        </row>
        <row r="577">
          <cell r="A577" t="str">
            <v>034702</v>
          </cell>
          <cell r="B577">
            <v>1068.4000000000001</v>
          </cell>
          <cell r="C577">
            <v>81.448868000000004</v>
          </cell>
          <cell r="D577">
            <v>0.34540389972144803</v>
          </cell>
          <cell r="E577">
            <v>58.905566999999998</v>
          </cell>
          <cell r="F577">
            <v>0.24326833797585801</v>
          </cell>
          <cell r="G577">
            <v>1094.138903</v>
          </cell>
          <cell r="H577">
            <v>2.6564814814814799</v>
          </cell>
          <cell r="I577">
            <v>301.096881</v>
          </cell>
          <cell r="J577">
            <v>1.69259259259259</v>
          </cell>
          <cell r="K577">
            <v>724.71452999999997</v>
          </cell>
          <cell r="L577">
            <v>3.0789229340761302</v>
          </cell>
          <cell r="M577">
            <v>294.91183799999999</v>
          </cell>
          <cell r="N577">
            <v>1.75580315691736</v>
          </cell>
          <cell r="O577">
            <v>2187.5389949999999</v>
          </cell>
          <cell r="P577">
            <v>2.9193857965451002</v>
          </cell>
          <cell r="Q577">
            <v>173.17061699999999</v>
          </cell>
          <cell r="R577">
            <v>1.3157389635316601</v>
          </cell>
          <cell r="S577">
            <v>307.18875700000001</v>
          </cell>
          <cell r="T577">
            <v>1.2382739212007501</v>
          </cell>
          <cell r="U577">
            <v>23.020512</v>
          </cell>
          <cell r="V577">
            <v>0.124765478424015</v>
          </cell>
        </row>
        <row r="578">
          <cell r="A578" t="str">
            <v>034801</v>
          </cell>
          <cell r="B578">
            <v>1227.333333</v>
          </cell>
          <cell r="C578">
            <v>37.831639000000003</v>
          </cell>
          <cell r="D578">
            <v>0.21077654516640201</v>
          </cell>
          <cell r="E578">
            <v>37.831639000000003</v>
          </cell>
          <cell r="F578">
            <v>0.21077654516640201</v>
          </cell>
          <cell r="G578">
            <v>94.067306000000002</v>
          </cell>
          <cell r="H578">
            <v>0.31672025723472602</v>
          </cell>
          <cell r="I578">
            <v>37.131771000000001</v>
          </cell>
          <cell r="J578">
            <v>0.109324758842443</v>
          </cell>
          <cell r="K578">
            <v>1000.674723</v>
          </cell>
          <cell r="L578">
            <v>1.20500403551251</v>
          </cell>
          <cell r="M578">
            <v>84.129081999999997</v>
          </cell>
          <cell r="N578">
            <v>0.65698143664245301</v>
          </cell>
          <cell r="O578">
            <v>142.230932</v>
          </cell>
          <cell r="P578">
            <v>1.24140752864157</v>
          </cell>
          <cell r="Q578">
            <v>101.806123</v>
          </cell>
          <cell r="R578">
            <v>0.97463175122749501</v>
          </cell>
          <cell r="S578">
            <v>749.13487699999996</v>
          </cell>
          <cell r="T578">
            <v>0.70008424599831498</v>
          </cell>
          <cell r="U578">
            <v>109.646728</v>
          </cell>
          <cell r="V578">
            <v>0.50631844987363095</v>
          </cell>
        </row>
        <row r="579">
          <cell r="A579" t="str">
            <v>034802</v>
          </cell>
          <cell r="B579">
            <v>1376.1111109999999</v>
          </cell>
          <cell r="C579">
            <v>7.6542579999999996</v>
          </cell>
          <cell r="D579">
            <v>4.3699927166788E-2</v>
          </cell>
          <cell r="E579">
            <v>7.6542579999999996</v>
          </cell>
          <cell r="F579">
            <v>4.3699927166788E-2</v>
          </cell>
          <cell r="G579">
            <v>85.262587999999994</v>
          </cell>
          <cell r="H579">
            <v>0.37272064186725001</v>
          </cell>
          <cell r="I579">
            <v>82.799108000000004</v>
          </cell>
          <cell r="J579">
            <v>0.36907366885484999</v>
          </cell>
          <cell r="K579">
            <v>85.837850000000003</v>
          </cell>
          <cell r="L579">
            <v>0.47892441860465101</v>
          </cell>
          <cell r="M579">
            <v>76.109022999999993</v>
          </cell>
          <cell r="N579">
            <v>0.42950581395348802</v>
          </cell>
          <cell r="O579">
            <v>109.600386</v>
          </cell>
          <cell r="P579">
            <v>0.72266473569876899</v>
          </cell>
          <cell r="Q579">
            <v>99.797200000000004</v>
          </cell>
          <cell r="R579">
            <v>0.66328747284576295</v>
          </cell>
          <cell r="S579">
            <v>205.51434399999999</v>
          </cell>
          <cell r="T579">
            <v>0.490566037735849</v>
          </cell>
          <cell r="U579">
            <v>157.62083899999999</v>
          </cell>
          <cell r="V579">
            <v>0.44194484760522401</v>
          </cell>
        </row>
        <row r="580">
          <cell r="A580" t="str">
            <v>034803</v>
          </cell>
          <cell r="B580">
            <v>1143</v>
          </cell>
          <cell r="C580">
            <v>36.302117000000003</v>
          </cell>
          <cell r="D580">
            <v>0.115708812260536</v>
          </cell>
          <cell r="E580">
            <v>8.8414929999999998</v>
          </cell>
          <cell r="F580">
            <v>7.7394636015325605E-2</v>
          </cell>
          <cell r="G580">
            <v>148.23871199999999</v>
          </cell>
          <cell r="H580">
            <v>0.74679213002566203</v>
          </cell>
          <cell r="I580">
            <v>34.949109999999997</v>
          </cell>
          <cell r="J580">
            <v>0.128314798973481</v>
          </cell>
          <cell r="K580">
            <v>4.9526339999999998</v>
          </cell>
          <cell r="L580">
            <v>3.0548068283917301E-2</v>
          </cell>
          <cell r="M580">
            <v>3.5678190000000001</v>
          </cell>
          <cell r="N580">
            <v>2.78526504941599E-2</v>
          </cell>
          <cell r="O580">
            <v>7.5913149999999998</v>
          </cell>
          <cell r="P580">
            <v>0.10215557638238</v>
          </cell>
          <cell r="Q580">
            <v>7.2457979999999997</v>
          </cell>
          <cell r="R580">
            <v>0.100281162136832</v>
          </cell>
          <cell r="S580">
            <v>14.702229000000001</v>
          </cell>
          <cell r="T580">
            <v>7.4458058435438207E-2</v>
          </cell>
          <cell r="U580">
            <v>6.3007059999999999</v>
          </cell>
          <cell r="V580">
            <v>6.2205466540999003E-2</v>
          </cell>
        </row>
        <row r="581">
          <cell r="A581" t="str">
            <v>034901</v>
          </cell>
          <cell r="B581">
            <v>1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455.08333299999998</v>
          </cell>
          <cell r="H581">
            <v>1</v>
          </cell>
          <cell r="I581">
            <v>455.08333299999998</v>
          </cell>
          <cell r="J581">
            <v>1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</row>
        <row r="582">
          <cell r="A582" t="str">
            <v>035001</v>
          </cell>
          <cell r="B582">
            <v>921.2</v>
          </cell>
          <cell r="C582">
            <v>133.211242</v>
          </cell>
          <cell r="D582">
            <v>1.1991434689507401</v>
          </cell>
          <cell r="E582">
            <v>133.02391299999999</v>
          </cell>
          <cell r="F582">
            <v>1.19807280513918</v>
          </cell>
          <cell r="G582">
            <v>187.64690999999999</v>
          </cell>
          <cell r="H582">
            <v>1.4019396551724099</v>
          </cell>
          <cell r="I582">
            <v>124.044658</v>
          </cell>
          <cell r="J582">
            <v>0.75862068965517204</v>
          </cell>
          <cell r="K582">
            <v>633.81965100000002</v>
          </cell>
          <cell r="L582">
            <v>2.3137893593919601</v>
          </cell>
          <cell r="M582">
            <v>348.10636899999997</v>
          </cell>
          <cell r="N582">
            <v>2.1389793702497202</v>
          </cell>
          <cell r="O582">
            <v>131.72507100000001</v>
          </cell>
          <cell r="P582">
            <v>0.64956331877729201</v>
          </cell>
          <cell r="Q582">
            <v>16.067430000000002</v>
          </cell>
          <cell r="R582">
            <v>0.18668122270742299</v>
          </cell>
          <cell r="S582">
            <v>359.78680600000001</v>
          </cell>
          <cell r="T582">
            <v>1.56560088202866</v>
          </cell>
          <cell r="U582">
            <v>247.20270099999999</v>
          </cell>
          <cell r="V582">
            <v>1.16317530319735</v>
          </cell>
        </row>
        <row r="583">
          <cell r="A583" t="str">
            <v>035002</v>
          </cell>
          <cell r="B583">
            <v>1539.8</v>
          </cell>
          <cell r="C583">
            <v>2133.2310120000002</v>
          </cell>
          <cell r="D583">
            <v>4.6776917663617104</v>
          </cell>
          <cell r="E583">
            <v>304.30838499999999</v>
          </cell>
          <cell r="F583">
            <v>2.1189303307529901</v>
          </cell>
          <cell r="G583">
            <v>181.385278</v>
          </cell>
          <cell r="H583">
            <v>0.88917036098796698</v>
          </cell>
          <cell r="I583">
            <v>130.95998299999999</v>
          </cell>
          <cell r="J583">
            <v>0.807473084230525</v>
          </cell>
          <cell r="K583">
            <v>602.36562000000004</v>
          </cell>
          <cell r="L583">
            <v>1.85668991756499</v>
          </cell>
          <cell r="M583">
            <v>98.272161999999994</v>
          </cell>
          <cell r="N583">
            <v>1.2764743183259299</v>
          </cell>
          <cell r="O583">
            <v>110.717432</v>
          </cell>
          <cell r="P583">
            <v>0.65453384418901595</v>
          </cell>
          <cell r="Q583">
            <v>105.98551500000001</v>
          </cell>
          <cell r="R583">
            <v>0.55683269476372899</v>
          </cell>
          <cell r="S583">
            <v>722.62945500000001</v>
          </cell>
          <cell r="T583">
            <v>1.0989717223650299</v>
          </cell>
          <cell r="U583">
            <v>270.01886200000001</v>
          </cell>
          <cell r="V583">
            <v>0.70694087403598904</v>
          </cell>
        </row>
        <row r="584">
          <cell r="A584" t="str">
            <v>035101</v>
          </cell>
          <cell r="B584">
            <v>972.22222199999999</v>
          </cell>
          <cell r="C584">
            <v>258.73738100000003</v>
          </cell>
          <cell r="D584">
            <v>1.1557562076749399</v>
          </cell>
          <cell r="E584">
            <v>258.73738100000003</v>
          </cell>
          <cell r="F584">
            <v>1.1557562076749399</v>
          </cell>
          <cell r="G584">
            <v>556.17135099999996</v>
          </cell>
          <cell r="H584">
            <v>1.1770091556459801</v>
          </cell>
          <cell r="I584">
            <v>554.444613</v>
          </cell>
          <cell r="J584">
            <v>1.1759918616480101</v>
          </cell>
          <cell r="K584">
            <v>1601.3180130000001</v>
          </cell>
          <cell r="L584">
            <v>2.3132036847492299</v>
          </cell>
          <cell r="M584">
            <v>262.648191</v>
          </cell>
          <cell r="N584">
            <v>1.5383828045035799</v>
          </cell>
          <cell r="O584">
            <v>629.46164799999997</v>
          </cell>
          <cell r="P584">
            <v>2.64536082474226</v>
          </cell>
          <cell r="Q584">
            <v>626.05376200000001</v>
          </cell>
          <cell r="R584">
            <v>2.6350515463917499</v>
          </cell>
          <cell r="S584">
            <v>44.725115000000002</v>
          </cell>
          <cell r="T584">
            <v>0.41417165668662598</v>
          </cell>
          <cell r="U584">
            <v>44.316433000000004</v>
          </cell>
          <cell r="V584">
            <v>0.40818363273453001</v>
          </cell>
        </row>
        <row r="585">
          <cell r="A585" t="str">
            <v>035102</v>
          </cell>
          <cell r="B585">
            <v>946.25</v>
          </cell>
          <cell r="C585">
            <v>3.6248529999999999</v>
          </cell>
          <cell r="D585">
            <v>3.5527690700104399E-2</v>
          </cell>
          <cell r="E585">
            <v>3.6248529999999999</v>
          </cell>
          <cell r="F585">
            <v>3.5527690700104399E-2</v>
          </cell>
          <cell r="G585">
            <v>964.93538899999999</v>
          </cell>
          <cell r="H585">
            <v>1.87631027253668</v>
          </cell>
          <cell r="I585">
            <v>657.707088</v>
          </cell>
          <cell r="J585">
            <v>1.63731656184486</v>
          </cell>
          <cell r="K585">
            <v>134.684067</v>
          </cell>
          <cell r="L585">
            <v>0.30293501048218002</v>
          </cell>
          <cell r="M585">
            <v>84.202009000000004</v>
          </cell>
          <cell r="N585">
            <v>0.29035639412997899</v>
          </cell>
          <cell r="O585">
            <v>261.48091099999999</v>
          </cell>
          <cell r="P585">
            <v>1.48631578947368</v>
          </cell>
          <cell r="Q585">
            <v>249.34501700000001</v>
          </cell>
          <cell r="R585">
            <v>1.4736842105263099</v>
          </cell>
          <cell r="S585">
            <v>28.667539000000001</v>
          </cell>
          <cell r="T585">
            <v>0.19397993311036699</v>
          </cell>
          <cell r="U585">
            <v>28.667539000000001</v>
          </cell>
          <cell r="V585">
            <v>0.19397993311036699</v>
          </cell>
        </row>
        <row r="586">
          <cell r="A586" t="str">
            <v>035103</v>
          </cell>
          <cell r="B586">
            <v>1591.777777</v>
          </cell>
          <cell r="C586">
            <v>100.942105</v>
          </cell>
          <cell r="D586">
            <v>0.34125533211456399</v>
          </cell>
          <cell r="E586">
            <v>75.551212000000007</v>
          </cell>
          <cell r="F586">
            <v>0.28275441803778101</v>
          </cell>
          <cell r="G586">
            <v>631.25400200000001</v>
          </cell>
          <cell r="H586">
            <v>1.28252788104089</v>
          </cell>
          <cell r="I586">
            <v>604.95291499999996</v>
          </cell>
          <cell r="J586">
            <v>1.25836431226765</v>
          </cell>
          <cell r="K586">
            <v>550.97440099999994</v>
          </cell>
          <cell r="L586">
            <v>1.19206549118387</v>
          </cell>
          <cell r="M586">
            <v>25.097670000000001</v>
          </cell>
          <cell r="N586">
            <v>0.19143576826196401</v>
          </cell>
          <cell r="O586">
            <v>274.17287299999998</v>
          </cell>
          <cell r="P586">
            <v>1.25761421319796</v>
          </cell>
          <cell r="Q586">
            <v>247.35048599999999</v>
          </cell>
          <cell r="R586">
            <v>1.2151015228426301</v>
          </cell>
          <cell r="S586">
            <v>26.048185</v>
          </cell>
          <cell r="T586">
            <v>0.141801075268817</v>
          </cell>
          <cell r="U586">
            <v>26.048185</v>
          </cell>
          <cell r="V586">
            <v>0.141801075268817</v>
          </cell>
        </row>
        <row r="587">
          <cell r="A587" t="str">
            <v>035201</v>
          </cell>
          <cell r="B587">
            <v>467</v>
          </cell>
          <cell r="C587">
            <v>837.40392299999996</v>
          </cell>
          <cell r="D587">
            <v>4.5720000000000001</v>
          </cell>
          <cell r="E587">
            <v>837.40392299999996</v>
          </cell>
          <cell r="F587">
            <v>4.5720000000000001</v>
          </cell>
          <cell r="G587">
            <v>11.018196</v>
          </cell>
          <cell r="H587">
            <v>4.2168674698795101E-2</v>
          </cell>
          <cell r="I587">
            <v>11.018196</v>
          </cell>
          <cell r="J587">
            <v>4.2168674698795101E-2</v>
          </cell>
          <cell r="K587">
            <v>317.87700699999999</v>
          </cell>
          <cell r="L587">
            <v>0.66867469879518004</v>
          </cell>
          <cell r="M587">
            <v>81.791398000000001</v>
          </cell>
          <cell r="N587">
            <v>0.54016064257028096</v>
          </cell>
          <cell r="O587">
            <v>3378.2534059999998</v>
          </cell>
          <cell r="P587">
            <v>2.09819639278557</v>
          </cell>
          <cell r="Q587">
            <v>256.35854999999998</v>
          </cell>
          <cell r="R587">
            <v>1.1222444889779499</v>
          </cell>
          <cell r="S587">
            <v>20.329241</v>
          </cell>
          <cell r="T587">
            <v>0.118712273641851</v>
          </cell>
          <cell r="U587">
            <v>9.01281</v>
          </cell>
          <cell r="V587">
            <v>0.10462776659959699</v>
          </cell>
        </row>
        <row r="588">
          <cell r="A588" t="str">
            <v>035202</v>
          </cell>
          <cell r="B588">
            <v>622.22222199999999</v>
          </cell>
          <cell r="C588">
            <v>107.335443</v>
          </cell>
          <cell r="D588">
            <v>1.1931818181818099</v>
          </cell>
          <cell r="E588">
            <v>107.335443</v>
          </cell>
          <cell r="F588">
            <v>1.1931818181818099</v>
          </cell>
          <cell r="G588">
            <v>33.472835000000003</v>
          </cell>
          <cell r="H588">
            <v>0.116316639741518</v>
          </cell>
          <cell r="I588">
            <v>16.088612000000001</v>
          </cell>
          <cell r="J588">
            <v>9.2084006462035503E-2</v>
          </cell>
          <cell r="K588">
            <v>274.76909599999999</v>
          </cell>
          <cell r="L588">
            <v>1.00801282051282</v>
          </cell>
          <cell r="M588">
            <v>232.64228</v>
          </cell>
          <cell r="N588">
            <v>0.94871794871794801</v>
          </cell>
          <cell r="O588">
            <v>25.286137</v>
          </cell>
          <cell r="P588">
            <v>8.4935897435897398E-2</v>
          </cell>
          <cell r="Q588">
            <v>14.985336</v>
          </cell>
          <cell r="R588">
            <v>7.5320512820512803E-2</v>
          </cell>
          <cell r="S588">
            <v>166.072373</v>
          </cell>
          <cell r="T588">
            <v>0.78879999999999995</v>
          </cell>
          <cell r="U588">
            <v>164.163893</v>
          </cell>
          <cell r="V588">
            <v>0.78239999999999998</v>
          </cell>
        </row>
        <row r="589">
          <cell r="A589" t="str">
            <v>035203</v>
          </cell>
          <cell r="B589">
            <v>139.375</v>
          </cell>
          <cell r="C589">
            <v>140</v>
          </cell>
          <cell r="D589">
            <v>1.01449275362318</v>
          </cell>
          <cell r="E589">
            <v>140</v>
          </cell>
          <cell r="F589">
            <v>1.01449275362318</v>
          </cell>
          <cell r="G589">
            <v>44.798904</v>
          </cell>
          <cell r="H589">
            <v>0.33093525179856098</v>
          </cell>
          <cell r="I589">
            <v>27.296337999999999</v>
          </cell>
          <cell r="J589">
            <v>0.25179856115107901</v>
          </cell>
          <cell r="K589">
            <v>1488.9405939999999</v>
          </cell>
          <cell r="L589">
            <v>4.2714285714285696</v>
          </cell>
          <cell r="M589">
            <v>1060.4857139999999</v>
          </cell>
          <cell r="N589">
            <v>3.9285714285714199</v>
          </cell>
          <cell r="O589">
            <v>34.56738</v>
          </cell>
          <cell r="P589">
            <v>1.42857142857142E-2</v>
          </cell>
          <cell r="Q589">
            <v>13.027976000000001</v>
          </cell>
          <cell r="R589">
            <v>7.14285714285714E-3</v>
          </cell>
          <cell r="S589">
            <v>4.3553949999999997</v>
          </cell>
          <cell r="T589">
            <v>4.31654676258992E-2</v>
          </cell>
          <cell r="U589">
            <v>4.3553949999999997</v>
          </cell>
          <cell r="V589">
            <v>4.31654676258992E-2</v>
          </cell>
        </row>
        <row r="590">
          <cell r="A590" t="str">
            <v>035401</v>
          </cell>
          <cell r="B590">
            <v>1</v>
          </cell>
          <cell r="C590">
            <v>327</v>
          </cell>
          <cell r="D590">
            <v>1</v>
          </cell>
          <cell r="E590">
            <v>327</v>
          </cell>
          <cell r="F590">
            <v>1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</row>
        <row r="591">
          <cell r="A591" t="str">
            <v>035701</v>
          </cell>
          <cell r="B591">
            <v>119</v>
          </cell>
          <cell r="C591">
            <v>2.14554</v>
          </cell>
          <cell r="D591">
            <v>2.8571428571428501E-2</v>
          </cell>
          <cell r="E591">
            <v>2.14554</v>
          </cell>
          <cell r="F591">
            <v>2.8571428571428501E-2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0.88214199999999998</v>
          </cell>
          <cell r="L591">
            <v>7.1428571428571397E-2</v>
          </cell>
          <cell r="M591">
            <v>0.88214199999999998</v>
          </cell>
          <cell r="N591">
            <v>7.1428571428571397E-2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</row>
        <row r="592">
          <cell r="A592" t="str">
            <v>035702</v>
          </cell>
          <cell r="B592">
            <v>926.8</v>
          </cell>
          <cell r="C592">
            <v>168.82487499999999</v>
          </cell>
          <cell r="D592">
            <v>1.0571992110453601</v>
          </cell>
          <cell r="E592">
            <v>87.846423000000001</v>
          </cell>
          <cell r="F592">
            <v>0.98224852071005897</v>
          </cell>
          <cell r="G592">
            <v>40.118969</v>
          </cell>
          <cell r="H592">
            <v>0.244208494208494</v>
          </cell>
          <cell r="I592">
            <v>39.729534000000001</v>
          </cell>
          <cell r="J592">
            <v>0.24227799227799199</v>
          </cell>
          <cell r="K592">
            <v>352.44687499999998</v>
          </cell>
          <cell r="L592">
            <v>1.11690821256038</v>
          </cell>
          <cell r="M592">
            <v>319.40225400000003</v>
          </cell>
          <cell r="N592">
            <v>1.0463768115942</v>
          </cell>
          <cell r="O592">
            <v>7.1940020000000002</v>
          </cell>
          <cell r="P592">
            <v>2.9097963142580001E-2</v>
          </cell>
          <cell r="Q592">
            <v>6.818962</v>
          </cell>
          <cell r="R592">
            <v>2.7158098933074599E-2</v>
          </cell>
          <cell r="S592">
            <v>1376.633853</v>
          </cell>
          <cell r="T592">
            <v>0.84585365853658501</v>
          </cell>
          <cell r="U592">
            <v>121.096097</v>
          </cell>
          <cell r="V592">
            <v>0.284878048780487</v>
          </cell>
        </row>
        <row r="593">
          <cell r="A593" t="str">
            <v>035801</v>
          </cell>
          <cell r="B593">
            <v>735</v>
          </cell>
          <cell r="C593">
            <v>30975.576789999999</v>
          </cell>
          <cell r="D593">
            <v>10.115044247787599</v>
          </cell>
          <cell r="E593">
            <v>364.38607999999999</v>
          </cell>
          <cell r="F593">
            <v>2.4336283185840699</v>
          </cell>
          <cell r="G593">
            <v>416.44610999999998</v>
          </cell>
          <cell r="H593">
            <v>0.82703321878579605</v>
          </cell>
          <cell r="I593">
            <v>333.524652</v>
          </cell>
          <cell r="J593">
            <v>0.65635738831615098</v>
          </cell>
          <cell r="K593">
            <v>239.58985799999999</v>
          </cell>
          <cell r="L593">
            <v>0.81515499425947102</v>
          </cell>
          <cell r="M593">
            <v>35.877496999999998</v>
          </cell>
          <cell r="N593">
            <v>0.16303099885189401</v>
          </cell>
          <cell r="O593">
            <v>223.7542</v>
          </cell>
          <cell r="P593">
            <v>1.64877479579929</v>
          </cell>
          <cell r="Q593">
            <v>193.36666600000001</v>
          </cell>
          <cell r="R593">
            <v>1.4352392065344199</v>
          </cell>
          <cell r="S593">
            <v>1117.6462059999999</v>
          </cell>
          <cell r="T593">
            <v>3.5306603773584899</v>
          </cell>
          <cell r="U593">
            <v>1115.144732</v>
          </cell>
          <cell r="V593">
            <v>3.52476415094339</v>
          </cell>
        </row>
        <row r="594">
          <cell r="A594" t="str">
            <v>035802</v>
          </cell>
          <cell r="B594">
            <v>701.8</v>
          </cell>
          <cell r="C594">
            <v>8527.2783390000004</v>
          </cell>
          <cell r="D594">
            <v>2.1338028169014001</v>
          </cell>
          <cell r="E594">
            <v>80.556358000000003</v>
          </cell>
          <cell r="F594">
            <v>0.30704225352112602</v>
          </cell>
          <cell r="G594">
            <v>1247.192065</v>
          </cell>
          <cell r="H594">
            <v>2.3084507042253501</v>
          </cell>
          <cell r="I594">
            <v>733.73276599999997</v>
          </cell>
          <cell r="J594">
            <v>2.11267605633802</v>
          </cell>
          <cell r="K594">
            <v>1159.1773439999999</v>
          </cell>
          <cell r="L594">
            <v>0.96322489391796295</v>
          </cell>
          <cell r="M594">
            <v>41.554219000000003</v>
          </cell>
          <cell r="N594">
            <v>0.30268741159830198</v>
          </cell>
          <cell r="O594">
            <v>159.41527099999999</v>
          </cell>
          <cell r="P594">
            <v>1.0331890331890301</v>
          </cell>
          <cell r="Q594">
            <v>130.31495899999999</v>
          </cell>
          <cell r="R594">
            <v>1.0057720057720001</v>
          </cell>
          <cell r="S594">
            <v>574.98751800000002</v>
          </cell>
          <cell r="T594">
            <v>3.0928882438316401</v>
          </cell>
          <cell r="U594">
            <v>529.47539900000004</v>
          </cell>
          <cell r="V594">
            <v>2.8040638606676298</v>
          </cell>
        </row>
        <row r="595">
          <cell r="A595" t="str">
            <v>036001</v>
          </cell>
          <cell r="B595">
            <v>647.4</v>
          </cell>
          <cell r="C595">
            <v>319.74330200000003</v>
          </cell>
          <cell r="D595">
            <v>1.4084302325581299</v>
          </cell>
          <cell r="E595">
            <v>137.58237800000001</v>
          </cell>
          <cell r="F595">
            <v>0.97529069767441801</v>
          </cell>
          <cell r="G595">
            <v>212.185518</v>
          </cell>
          <cell r="H595">
            <v>1.84791965566714</v>
          </cell>
          <cell r="I595">
            <v>160.96565899999999</v>
          </cell>
          <cell r="J595">
            <v>1.8278335724533701</v>
          </cell>
          <cell r="K595">
            <v>1162.814893</v>
          </cell>
          <cell r="L595">
            <v>1.9281609195402201</v>
          </cell>
          <cell r="M595">
            <v>334.13675699999999</v>
          </cell>
          <cell r="N595">
            <v>0.97844827586206795</v>
          </cell>
          <cell r="O595">
            <v>2639.6718470000001</v>
          </cell>
          <cell r="P595">
            <v>5.5354058721934303</v>
          </cell>
          <cell r="Q595">
            <v>457.83952199999999</v>
          </cell>
          <cell r="R595">
            <v>4.3402417962003401</v>
          </cell>
          <cell r="S595">
            <v>1204.6404669999999</v>
          </cell>
          <cell r="T595">
            <v>4.4731369150779798</v>
          </cell>
          <cell r="U595">
            <v>624.11605999999995</v>
          </cell>
          <cell r="V595">
            <v>2.9497400346620402</v>
          </cell>
        </row>
        <row r="596">
          <cell r="A596" t="str">
            <v>036002</v>
          </cell>
          <cell r="B596">
            <v>635</v>
          </cell>
          <cell r="C596">
            <v>298.47822100000002</v>
          </cell>
          <cell r="D596">
            <v>1.49674267100977</v>
          </cell>
          <cell r="E596">
            <v>118.309612</v>
          </cell>
          <cell r="F596">
            <v>1.0602605863192101</v>
          </cell>
          <cell r="G596">
            <v>1902.4654909999999</v>
          </cell>
          <cell r="H596">
            <v>2.35313001605136</v>
          </cell>
          <cell r="I596">
            <v>196.85104100000001</v>
          </cell>
          <cell r="J596">
            <v>0.92616372391653201</v>
          </cell>
          <cell r="K596">
            <v>105.180319</v>
          </cell>
          <cell r="L596">
            <v>0.24</v>
          </cell>
          <cell r="M596">
            <v>51.547412999999999</v>
          </cell>
          <cell r="N596">
            <v>0.2</v>
          </cell>
          <cell r="O596">
            <v>1581.6804520000001</v>
          </cell>
          <cell r="P596">
            <v>1.94240837696335</v>
          </cell>
          <cell r="Q596">
            <v>262.40267499999999</v>
          </cell>
          <cell r="R596">
            <v>1.59511343804537</v>
          </cell>
          <cell r="S596">
            <v>540.64734099999998</v>
          </cell>
          <cell r="T596">
            <v>2.2229729729729701</v>
          </cell>
          <cell r="U596">
            <v>497.15256699999998</v>
          </cell>
          <cell r="V596">
            <v>1.7905405405405399</v>
          </cell>
        </row>
        <row r="597">
          <cell r="A597" t="str">
            <v>036003</v>
          </cell>
          <cell r="B597">
            <v>1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62.722166999999999</v>
          </cell>
          <cell r="H597">
            <v>1</v>
          </cell>
          <cell r="I597">
            <v>62.722166999999999</v>
          </cell>
          <cell r="J597">
            <v>1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</row>
        <row r="598">
          <cell r="A598" t="str">
            <v>036004</v>
          </cell>
          <cell r="B598">
            <v>436</v>
          </cell>
          <cell r="C598">
            <v>69.209192999999999</v>
          </cell>
          <cell r="D598">
            <v>0.78995433789954295</v>
          </cell>
          <cell r="E598">
            <v>66.254829000000001</v>
          </cell>
          <cell r="F598">
            <v>0.78538812785388101</v>
          </cell>
          <cell r="G598">
            <v>326.67781200000002</v>
          </cell>
          <cell r="H598">
            <v>2.0022779043280101</v>
          </cell>
          <cell r="I598">
            <v>313.48558100000002</v>
          </cell>
          <cell r="J598">
            <v>1.9977220956719799</v>
          </cell>
          <cell r="K598">
            <v>3.3419720000000002</v>
          </cell>
          <cell r="L598">
            <v>4.5871559633027499E-3</v>
          </cell>
          <cell r="M598">
            <v>0.74934999999999996</v>
          </cell>
          <cell r="N598">
            <v>2.2935779816513702E-3</v>
          </cell>
          <cell r="O598">
            <v>2717.771812</v>
          </cell>
          <cell r="P598">
            <v>1.54631828978622</v>
          </cell>
          <cell r="Q598">
            <v>106.888915</v>
          </cell>
          <cell r="R598">
            <v>0.45605700712588998</v>
          </cell>
          <cell r="S598">
            <v>102.45829500000001</v>
          </cell>
          <cell r="T598">
            <v>1.01793721973094</v>
          </cell>
          <cell r="U598">
            <v>102.1926</v>
          </cell>
          <cell r="V598">
            <v>1.0134529147982001</v>
          </cell>
        </row>
        <row r="599">
          <cell r="A599" t="str">
            <v>036101</v>
          </cell>
          <cell r="B599">
            <v>208.66666599999999</v>
          </cell>
          <cell r="C599">
            <v>46.440049000000002</v>
          </cell>
          <cell r="D599">
            <v>0.20192307692307601</v>
          </cell>
          <cell r="E599">
            <v>46.440049000000002</v>
          </cell>
          <cell r="F599">
            <v>0.20192307692307601</v>
          </cell>
          <cell r="G599">
            <v>46.945746</v>
          </cell>
          <cell r="H599">
            <v>0.2</v>
          </cell>
          <cell r="I599">
            <v>46.945746</v>
          </cell>
          <cell r="J599">
            <v>0.2</v>
          </cell>
          <cell r="K599">
            <v>627.24872900000003</v>
          </cell>
          <cell r="L599">
            <v>0.59047619047619004</v>
          </cell>
          <cell r="M599">
            <v>16.823809000000001</v>
          </cell>
          <cell r="N599">
            <v>0.119047619047619</v>
          </cell>
          <cell r="O599">
            <v>18.51266</v>
          </cell>
          <cell r="P599">
            <v>0.115384615384615</v>
          </cell>
          <cell r="Q599">
            <v>18.51266</v>
          </cell>
          <cell r="R599">
            <v>0.115384615384615</v>
          </cell>
          <cell r="S599">
            <v>87.35275</v>
          </cell>
          <cell r="T599">
            <v>0.19417475728155301</v>
          </cell>
          <cell r="U599">
            <v>87.35275</v>
          </cell>
          <cell r="V599">
            <v>0.19417475728155301</v>
          </cell>
        </row>
        <row r="600">
          <cell r="A600" t="str">
            <v>036102</v>
          </cell>
          <cell r="B600">
            <v>410</v>
          </cell>
          <cell r="C600">
            <v>69.866805999999997</v>
          </cell>
          <cell r="D600">
            <v>0.157384987893462</v>
          </cell>
          <cell r="E600">
            <v>69.866805999999997</v>
          </cell>
          <cell r="F600">
            <v>0.157384987893462</v>
          </cell>
          <cell r="G600">
            <v>33.914124000000001</v>
          </cell>
          <cell r="H600">
            <v>8.0097087378640699E-2</v>
          </cell>
          <cell r="I600">
            <v>22.274892999999999</v>
          </cell>
          <cell r="J600">
            <v>5.0970873786407703E-2</v>
          </cell>
          <cell r="K600">
            <v>7.6912750000000001</v>
          </cell>
          <cell r="L600">
            <v>2.4691358024691301E-2</v>
          </cell>
          <cell r="M600">
            <v>7.6912750000000001</v>
          </cell>
          <cell r="N600">
            <v>2.4691358024691301E-2</v>
          </cell>
          <cell r="O600">
            <v>42.427042</v>
          </cell>
          <cell r="P600">
            <v>0.17647058823529399</v>
          </cell>
          <cell r="Q600">
            <v>41.386682999999998</v>
          </cell>
          <cell r="R600">
            <v>0.174019607843137</v>
          </cell>
          <cell r="S600">
            <v>117.23450800000001</v>
          </cell>
          <cell r="T600">
            <v>0.59610705596107005</v>
          </cell>
          <cell r="U600">
            <v>79.179885999999996</v>
          </cell>
          <cell r="V600">
            <v>0.34549878345498702</v>
          </cell>
        </row>
        <row r="601">
          <cell r="A601" t="str">
            <v>036201</v>
          </cell>
          <cell r="B601">
            <v>368.75</v>
          </cell>
          <cell r="C601">
            <v>309.03786700000001</v>
          </cell>
          <cell r="D601">
            <v>2.7211796246648698</v>
          </cell>
          <cell r="E601">
            <v>309.03786700000001</v>
          </cell>
          <cell r="F601">
            <v>2.7211796246648698</v>
          </cell>
          <cell r="G601">
            <v>671.05644800000005</v>
          </cell>
          <cell r="H601">
            <v>2.4986449864498601</v>
          </cell>
          <cell r="I601">
            <v>671.05644800000005</v>
          </cell>
          <cell r="J601">
            <v>2.4986449864498601</v>
          </cell>
          <cell r="K601">
            <v>1610.8024310000001</v>
          </cell>
          <cell r="L601">
            <v>4.2972972972972903</v>
          </cell>
          <cell r="M601">
            <v>754.630855</v>
          </cell>
          <cell r="N601">
            <v>3.0216216216216201</v>
          </cell>
          <cell r="O601">
            <v>1.0025740000000001</v>
          </cell>
          <cell r="P601">
            <v>8.1300813008130003E-3</v>
          </cell>
          <cell r="Q601">
            <v>0.42163499999999998</v>
          </cell>
          <cell r="R601">
            <v>5.4200542005420002E-3</v>
          </cell>
          <cell r="S601">
            <v>118.67114100000001</v>
          </cell>
          <cell r="T601">
            <v>0.64109589041095805</v>
          </cell>
          <cell r="U601">
            <v>40.119726</v>
          </cell>
          <cell r="V601">
            <v>0.58904109589040998</v>
          </cell>
        </row>
        <row r="602">
          <cell r="A602" t="str">
            <v>036202</v>
          </cell>
          <cell r="B602">
            <v>1217.375</v>
          </cell>
          <cell r="C602">
            <v>30.192557999999998</v>
          </cell>
          <cell r="D602">
            <v>0.13759213759213701</v>
          </cell>
          <cell r="E602">
            <v>29.206140000000001</v>
          </cell>
          <cell r="F602">
            <v>0.135954135954135</v>
          </cell>
          <cell r="G602">
            <v>166.794004</v>
          </cell>
          <cell r="H602">
            <v>2.0040916530278201</v>
          </cell>
          <cell r="I602">
            <v>166.794004</v>
          </cell>
          <cell r="J602">
            <v>2.0040916530278201</v>
          </cell>
          <cell r="K602">
            <v>424.99782499999998</v>
          </cell>
          <cell r="L602">
            <v>1.5808039376538101</v>
          </cell>
          <cell r="M602">
            <v>68.396759000000003</v>
          </cell>
          <cell r="N602">
            <v>0.33388022969647202</v>
          </cell>
          <cell r="O602">
            <v>20.638397000000001</v>
          </cell>
          <cell r="P602">
            <v>0.23341523341523299</v>
          </cell>
          <cell r="Q602">
            <v>20.638397000000001</v>
          </cell>
          <cell r="R602">
            <v>0.23341523341523299</v>
          </cell>
          <cell r="S602">
            <v>195.139444</v>
          </cell>
          <cell r="T602">
            <v>0.346854304635761</v>
          </cell>
          <cell r="U602">
            <v>33.541044999999997</v>
          </cell>
          <cell r="V602">
            <v>0.191225165562913</v>
          </cell>
        </row>
        <row r="603">
          <cell r="A603" t="str">
            <v>036203</v>
          </cell>
          <cell r="B603">
            <v>459.77777700000001</v>
          </cell>
          <cell r="C603">
            <v>8.5842749999999999</v>
          </cell>
          <cell r="D603">
            <v>0.21551724137931</v>
          </cell>
          <cell r="E603">
            <v>8.5842749999999999</v>
          </cell>
          <cell r="F603">
            <v>0.21551724137931</v>
          </cell>
          <cell r="G603">
            <v>112.598418</v>
          </cell>
          <cell r="H603">
            <v>0.55965292841648495</v>
          </cell>
          <cell r="I603">
            <v>112.503666</v>
          </cell>
          <cell r="J603">
            <v>0.55748373101952198</v>
          </cell>
          <cell r="K603">
            <v>311.91872699999999</v>
          </cell>
          <cell r="L603">
            <v>1.1409978308026001</v>
          </cell>
          <cell r="M603">
            <v>3.5542660000000001</v>
          </cell>
          <cell r="N603">
            <v>3.0368763557483702E-2</v>
          </cell>
          <cell r="O603">
            <v>63.099494</v>
          </cell>
          <cell r="P603">
            <v>0.21212121212121199</v>
          </cell>
          <cell r="Q603">
            <v>56.064430000000002</v>
          </cell>
          <cell r="R603">
            <v>0.17316017316017299</v>
          </cell>
          <cell r="S603">
            <v>72.925606000000002</v>
          </cell>
          <cell r="T603">
            <v>0.17218543046357601</v>
          </cell>
          <cell r="U603">
            <v>15.817034</v>
          </cell>
          <cell r="V603">
            <v>0.11037527593818899</v>
          </cell>
        </row>
        <row r="604">
          <cell r="A604" t="str">
            <v>036301</v>
          </cell>
          <cell r="B604">
            <v>763.85714199999995</v>
          </cell>
          <cell r="C604">
            <v>26.848725000000002</v>
          </cell>
          <cell r="D604">
            <v>0.19375812743823101</v>
          </cell>
          <cell r="E604">
            <v>26.634160999999999</v>
          </cell>
          <cell r="F604">
            <v>0.192457737321196</v>
          </cell>
          <cell r="G604">
            <v>26.889766000000002</v>
          </cell>
          <cell r="H604">
            <v>0.22774869109947601</v>
          </cell>
          <cell r="I604">
            <v>26.889766000000002</v>
          </cell>
          <cell r="J604">
            <v>0.22774869109947601</v>
          </cell>
          <cell r="K604">
            <v>4.6843130000000004</v>
          </cell>
          <cell r="L604">
            <v>7.0588235294117604E-2</v>
          </cell>
          <cell r="M604">
            <v>4.6843130000000004</v>
          </cell>
          <cell r="N604">
            <v>7.0588235294117604E-2</v>
          </cell>
          <cell r="O604">
            <v>10.003684</v>
          </cell>
          <cell r="P604">
            <v>4.4736842105263103E-2</v>
          </cell>
          <cell r="Q604">
            <v>10.003684</v>
          </cell>
          <cell r="R604">
            <v>4.4736842105263103E-2</v>
          </cell>
          <cell r="S604">
            <v>37.539867999999998</v>
          </cell>
          <cell r="T604">
            <v>0.23815789473684201</v>
          </cell>
          <cell r="U604">
            <v>14.666842000000001</v>
          </cell>
          <cell r="V604">
            <v>0.119736842105263</v>
          </cell>
        </row>
        <row r="605">
          <cell r="A605" t="str">
            <v>036302</v>
          </cell>
          <cell r="B605">
            <v>120.4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199.11497700000001</v>
          </cell>
          <cell r="H605">
            <v>1.01652892561983</v>
          </cell>
          <cell r="I605">
            <v>195.06846100000001</v>
          </cell>
          <cell r="J605">
            <v>1.00826446280991</v>
          </cell>
          <cell r="K605">
            <v>39.830990999999997</v>
          </cell>
          <cell r="L605">
            <v>3.3057851239669402E-2</v>
          </cell>
          <cell r="M605">
            <v>32.435949999999998</v>
          </cell>
          <cell r="N605">
            <v>2.4793388429752001E-2</v>
          </cell>
          <cell r="O605">
            <v>227.25</v>
          </cell>
          <cell r="P605">
            <v>1</v>
          </cell>
          <cell r="Q605">
            <v>227.25</v>
          </cell>
          <cell r="R605">
            <v>1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</row>
        <row r="606">
          <cell r="A606" t="str">
            <v>036303</v>
          </cell>
          <cell r="B606">
            <v>866.6</v>
          </cell>
          <cell r="C606">
            <v>137.65266600000001</v>
          </cell>
          <cell r="D606">
            <v>1.1516853932584199</v>
          </cell>
          <cell r="E606">
            <v>135.57440800000001</v>
          </cell>
          <cell r="F606">
            <v>1.1505617977528</v>
          </cell>
          <cell r="G606">
            <v>18.880763999999999</v>
          </cell>
          <cell r="H606">
            <v>6.3973063973063904E-2</v>
          </cell>
          <cell r="I606">
            <v>7.0378160000000003</v>
          </cell>
          <cell r="J606">
            <v>3.36700336700336E-2</v>
          </cell>
          <cell r="K606">
            <v>213.96525299999999</v>
          </cell>
          <cell r="L606">
            <v>0.35166093928980502</v>
          </cell>
          <cell r="M606">
            <v>69.654313999999999</v>
          </cell>
          <cell r="N606">
            <v>0.243986254295532</v>
          </cell>
          <cell r="O606">
            <v>199.98256799999999</v>
          </cell>
          <cell r="P606">
            <v>3.0869565217391299</v>
          </cell>
          <cell r="Q606">
            <v>199.63963899999999</v>
          </cell>
          <cell r="R606">
            <v>3.0846063454759101</v>
          </cell>
          <cell r="S606">
            <v>7.4577080000000002</v>
          </cell>
          <cell r="T606">
            <v>4.1062801932367103E-2</v>
          </cell>
          <cell r="U606">
            <v>7.2704300000000002</v>
          </cell>
          <cell r="V606">
            <v>3.9855072463768099E-2</v>
          </cell>
        </row>
        <row r="607">
          <cell r="A607" t="str">
            <v>036401</v>
          </cell>
          <cell r="B607">
            <v>516.625</v>
          </cell>
          <cell r="C607">
            <v>30.686368000000002</v>
          </cell>
          <cell r="D607">
            <v>0.120724346076458</v>
          </cell>
          <cell r="E607">
            <v>30.686368000000002</v>
          </cell>
          <cell r="F607">
            <v>0.120724346076458</v>
          </cell>
          <cell r="G607">
            <v>138.501757</v>
          </cell>
          <cell r="H607">
            <v>0.22682445759368799</v>
          </cell>
          <cell r="I607">
            <v>48.627727</v>
          </cell>
          <cell r="J607">
            <v>0.19921104536489101</v>
          </cell>
          <cell r="K607">
            <v>120.48102900000001</v>
          </cell>
          <cell r="L607">
            <v>0.57773512476007605</v>
          </cell>
          <cell r="M607">
            <v>5.7182659999999998</v>
          </cell>
          <cell r="N607">
            <v>7.2936660268713996E-2</v>
          </cell>
          <cell r="O607">
            <v>111.09732200000001</v>
          </cell>
          <cell r="P607">
            <v>1.17973231357552</v>
          </cell>
          <cell r="Q607">
            <v>100.555003</v>
          </cell>
          <cell r="R607">
            <v>1.17782026768642</v>
          </cell>
          <cell r="S607">
            <v>182.17662200000001</v>
          </cell>
          <cell r="T607">
            <v>1.11048689138576</v>
          </cell>
          <cell r="U607">
            <v>182.17662200000001</v>
          </cell>
          <cell r="V607">
            <v>1.11048689138576</v>
          </cell>
        </row>
        <row r="608">
          <cell r="A608" t="str">
            <v>036402</v>
          </cell>
          <cell r="B608">
            <v>748</v>
          </cell>
          <cell r="C608">
            <v>221.24886799999999</v>
          </cell>
          <cell r="D608">
            <v>1.0926174496644201</v>
          </cell>
          <cell r="E608">
            <v>218.05328900000001</v>
          </cell>
          <cell r="F608">
            <v>1.08859060402684</v>
          </cell>
          <cell r="G608">
            <v>80.348708000000002</v>
          </cell>
          <cell r="H608">
            <v>0.26174496644295298</v>
          </cell>
          <cell r="I608">
            <v>53.358787</v>
          </cell>
          <cell r="J608">
            <v>0.25234899328859001</v>
          </cell>
          <cell r="K608">
            <v>567.45882200000005</v>
          </cell>
          <cell r="L608">
            <v>1.036</v>
          </cell>
          <cell r="M608">
            <v>567.45882200000005</v>
          </cell>
          <cell r="N608">
            <v>1.036</v>
          </cell>
          <cell r="O608">
            <v>17.299645000000002</v>
          </cell>
          <cell r="P608">
            <v>0.112881806108897</v>
          </cell>
          <cell r="Q608">
            <v>17.299645000000002</v>
          </cell>
          <cell r="R608">
            <v>0.112881806108897</v>
          </cell>
          <cell r="S608">
            <v>0.57423599999999997</v>
          </cell>
          <cell r="T608">
            <v>1.46082337317397E-2</v>
          </cell>
          <cell r="U608">
            <v>0.57423599999999997</v>
          </cell>
          <cell r="V608">
            <v>1.46082337317397E-2</v>
          </cell>
        </row>
        <row r="609">
          <cell r="A609" t="str">
            <v>036403</v>
          </cell>
          <cell r="B609">
            <v>1311.6</v>
          </cell>
          <cell r="C609">
            <v>32.013517999999998</v>
          </cell>
          <cell r="D609">
            <v>0.225019069412662</v>
          </cell>
          <cell r="E609">
            <v>29.580216</v>
          </cell>
          <cell r="F609">
            <v>0.223493516399694</v>
          </cell>
          <cell r="G609">
            <v>139.112945</v>
          </cell>
          <cell r="H609">
            <v>1.1244411326378501</v>
          </cell>
          <cell r="I609">
            <v>125.689475</v>
          </cell>
          <cell r="J609">
            <v>1.1154992548435101</v>
          </cell>
          <cell r="K609">
            <v>668.01208699999995</v>
          </cell>
          <cell r="L609">
            <v>2.0480059084194902</v>
          </cell>
          <cell r="M609">
            <v>252.657028</v>
          </cell>
          <cell r="N609">
            <v>1.88035450516986</v>
          </cell>
          <cell r="O609">
            <v>150.209001</v>
          </cell>
          <cell r="P609">
            <v>0.583517292126563</v>
          </cell>
          <cell r="Q609">
            <v>111.896063</v>
          </cell>
          <cell r="R609">
            <v>0.56217807211184601</v>
          </cell>
          <cell r="S609">
            <v>81.644491000000002</v>
          </cell>
          <cell r="T609">
            <v>0.56291946308724805</v>
          </cell>
          <cell r="U609">
            <v>81.338240999999996</v>
          </cell>
          <cell r="V609">
            <v>0.56208053691275095</v>
          </cell>
        </row>
        <row r="610">
          <cell r="A610" t="str">
            <v>036404</v>
          </cell>
          <cell r="B610">
            <v>684.57142799999997</v>
          </cell>
          <cell r="C610">
            <v>335.85723999999999</v>
          </cell>
          <cell r="D610">
            <v>2.73802816901408</v>
          </cell>
          <cell r="E610">
            <v>335.85723999999999</v>
          </cell>
          <cell r="F610">
            <v>2.73802816901408</v>
          </cell>
          <cell r="G610">
            <v>42.149742000000003</v>
          </cell>
          <cell r="H610">
            <v>0.182451253481894</v>
          </cell>
          <cell r="I610">
            <v>42.149742000000003</v>
          </cell>
          <cell r="J610">
            <v>0.182451253481894</v>
          </cell>
          <cell r="K610">
            <v>2855.2265299999999</v>
          </cell>
          <cell r="L610">
            <v>1.7461430575035</v>
          </cell>
          <cell r="M610">
            <v>211.87940599999999</v>
          </cell>
          <cell r="N610">
            <v>0.74754558204768495</v>
          </cell>
          <cell r="O610">
            <v>93.847954999999999</v>
          </cell>
          <cell r="P610">
            <v>0.52264150943396204</v>
          </cell>
          <cell r="Q610">
            <v>93.847954999999999</v>
          </cell>
          <cell r="R610">
            <v>0.52264150943396204</v>
          </cell>
          <cell r="S610">
            <v>98.973056999999997</v>
          </cell>
          <cell r="T610">
            <v>0.51420454545454497</v>
          </cell>
          <cell r="U610">
            <v>13.141429</v>
          </cell>
          <cell r="V610">
            <v>4.2613636363636298E-2</v>
          </cell>
        </row>
        <row r="611">
          <cell r="A611" t="str">
            <v>036503</v>
          </cell>
          <cell r="B611">
            <v>484.85714200000001</v>
          </cell>
          <cell r="C611">
            <v>0.59329299999999996</v>
          </cell>
          <cell r="D611">
            <v>3.11850311850311E-2</v>
          </cell>
          <cell r="E611">
            <v>0.59329299999999996</v>
          </cell>
          <cell r="F611">
            <v>3.11850311850311E-2</v>
          </cell>
          <cell r="G611">
            <v>4.2480599999999997</v>
          </cell>
          <cell r="H611">
            <v>4.7619047619047603E-2</v>
          </cell>
          <cell r="I611">
            <v>4.2480599999999997</v>
          </cell>
          <cell r="J611">
            <v>4.7619047619047603E-2</v>
          </cell>
          <cell r="K611">
            <v>24.456576999999999</v>
          </cell>
          <cell r="L611">
            <v>0.202479338842975</v>
          </cell>
          <cell r="M611">
            <v>24.456576999999999</v>
          </cell>
          <cell r="N611">
            <v>0.202479338842975</v>
          </cell>
          <cell r="O611">
            <v>14.204629000000001</v>
          </cell>
          <cell r="P611">
            <v>0.100823045267489</v>
          </cell>
          <cell r="Q611">
            <v>7.170096</v>
          </cell>
          <cell r="R611">
            <v>9.8765432098765399E-2</v>
          </cell>
          <cell r="S611">
            <v>36.292915000000001</v>
          </cell>
          <cell r="T611">
            <v>0.147843942505133</v>
          </cell>
          <cell r="U611">
            <v>29.149554999999999</v>
          </cell>
          <cell r="V611">
            <v>0.145790554414784</v>
          </cell>
        </row>
        <row r="612">
          <cell r="A612" t="str">
            <v>036504</v>
          </cell>
          <cell r="B612">
            <v>1663.1111109999999</v>
          </cell>
          <cell r="C612">
            <v>8.2211920000000003</v>
          </cell>
          <cell r="D612">
            <v>5.6446821152703497E-2</v>
          </cell>
          <cell r="E612">
            <v>7.9869940000000001</v>
          </cell>
          <cell r="F612">
            <v>5.5852644087938198E-2</v>
          </cell>
          <cell r="G612">
            <v>91.415949999999995</v>
          </cell>
          <cell r="H612">
            <v>0.93534994068801802</v>
          </cell>
          <cell r="I612">
            <v>91.415949999999995</v>
          </cell>
          <cell r="J612">
            <v>0.93534994068801802</v>
          </cell>
          <cell r="K612">
            <v>370.17354599999999</v>
          </cell>
          <cell r="L612">
            <v>0.41106484235573998</v>
          </cell>
          <cell r="M612">
            <v>33.516556999999999</v>
          </cell>
          <cell r="N612">
            <v>0.20226055919095701</v>
          </cell>
          <cell r="O612">
            <v>530.74405400000001</v>
          </cell>
          <cell r="P612">
            <v>0.97823458282950404</v>
          </cell>
          <cell r="Q612">
            <v>38.534168999999999</v>
          </cell>
          <cell r="R612">
            <v>0.114268440145102</v>
          </cell>
          <cell r="S612">
            <v>526.72028</v>
          </cell>
          <cell r="T612">
            <v>1.4349969192852701</v>
          </cell>
          <cell r="U612">
            <v>383.24132200000003</v>
          </cell>
          <cell r="V612">
            <v>1.3203943314849</v>
          </cell>
        </row>
        <row r="613">
          <cell r="A613" t="str">
            <v>036801</v>
          </cell>
          <cell r="B613">
            <v>1403.6</v>
          </cell>
          <cell r="C613">
            <v>744.55848000000003</v>
          </cell>
          <cell r="D613">
            <v>0.86182833217027199</v>
          </cell>
          <cell r="E613">
            <v>29.038454999999999</v>
          </cell>
          <cell r="F613">
            <v>0.268667131891137</v>
          </cell>
          <cell r="G613">
            <v>109.870347</v>
          </cell>
          <cell r="H613">
            <v>0.36120871398453902</v>
          </cell>
          <cell r="I613">
            <v>41.326698</v>
          </cell>
          <cell r="J613">
            <v>0.30920590302178402</v>
          </cell>
          <cell r="K613">
            <v>703.83153200000004</v>
          </cell>
          <cell r="L613">
            <v>1.1511299435028199</v>
          </cell>
          <cell r="M613">
            <v>111.611982</v>
          </cell>
          <cell r="N613">
            <v>0.82062146892655297</v>
          </cell>
          <cell r="O613">
            <v>289.10977100000002</v>
          </cell>
          <cell r="P613">
            <v>1.4482014388489199</v>
          </cell>
          <cell r="Q613">
            <v>205.39902799999999</v>
          </cell>
          <cell r="R613">
            <v>1.3654676258992799</v>
          </cell>
          <cell r="S613">
            <v>676.60522300000002</v>
          </cell>
          <cell r="T613">
            <v>0.94174041297935096</v>
          </cell>
          <cell r="U613">
            <v>126.62932600000001</v>
          </cell>
          <cell r="V613">
            <v>0.55752212389380496</v>
          </cell>
        </row>
        <row r="614">
          <cell r="A614" t="str">
            <v>036802</v>
          </cell>
          <cell r="B614">
            <v>860.4</v>
          </cell>
          <cell r="C614">
            <v>128.499033</v>
          </cell>
          <cell r="D614">
            <v>0.41618497109826502</v>
          </cell>
          <cell r="E614">
            <v>72.836556000000002</v>
          </cell>
          <cell r="F614">
            <v>0.345664739884393</v>
          </cell>
          <cell r="G614">
            <v>48.397359000000002</v>
          </cell>
          <cell r="H614">
            <v>0.42607683352735698</v>
          </cell>
          <cell r="I614">
            <v>48.021470999999998</v>
          </cell>
          <cell r="J614">
            <v>0.42491268917345698</v>
          </cell>
          <cell r="K614">
            <v>808.49365</v>
          </cell>
          <cell r="L614">
            <v>1.6678281068524901</v>
          </cell>
          <cell r="M614">
            <v>277.30588399999999</v>
          </cell>
          <cell r="N614">
            <v>0.92915214866434304</v>
          </cell>
          <cell r="O614">
            <v>202.15821600000001</v>
          </cell>
          <cell r="P614">
            <v>1.1662790697674399</v>
          </cell>
          <cell r="Q614">
            <v>184.153875</v>
          </cell>
          <cell r="R614">
            <v>1.1569767441860399</v>
          </cell>
          <cell r="S614">
            <v>358.68352700000003</v>
          </cell>
          <cell r="T614">
            <v>1.05717619603267</v>
          </cell>
          <cell r="U614">
            <v>312.43276900000001</v>
          </cell>
          <cell r="V614">
            <v>1.03383897316219</v>
          </cell>
        </row>
        <row r="615">
          <cell r="A615" t="str">
            <v>036804</v>
          </cell>
          <cell r="B615">
            <v>2298.6</v>
          </cell>
          <cell r="C615">
            <v>261.24929600000002</v>
          </cell>
          <cell r="D615">
            <v>1.2433684210526299</v>
          </cell>
          <cell r="E615">
            <v>91.057731000000004</v>
          </cell>
          <cell r="F615">
            <v>0.99747368421052596</v>
          </cell>
          <cell r="G615">
            <v>21.928802999999998</v>
          </cell>
          <cell r="H615">
            <v>0.129859034600598</v>
          </cell>
          <cell r="I615">
            <v>11.734980999999999</v>
          </cell>
          <cell r="J615">
            <v>0.104228961982058</v>
          </cell>
          <cell r="K615">
            <v>407.11247400000002</v>
          </cell>
          <cell r="L615">
            <v>0.50518582541054402</v>
          </cell>
          <cell r="M615">
            <v>31.907519000000001</v>
          </cell>
          <cell r="N615">
            <v>0.243733794295592</v>
          </cell>
          <cell r="O615">
            <v>344.036362</v>
          </cell>
          <cell r="P615">
            <v>4.6094648385669998</v>
          </cell>
          <cell r="Q615">
            <v>301.22126600000001</v>
          </cell>
          <cell r="R615">
            <v>3.47324192835028</v>
          </cell>
          <cell r="S615">
            <v>475.95530500000001</v>
          </cell>
          <cell r="T615">
            <v>1.15395095367847</v>
          </cell>
          <cell r="U615">
            <v>123.105071</v>
          </cell>
          <cell r="V615">
            <v>0.43097184377838299</v>
          </cell>
        </row>
        <row r="616">
          <cell r="A616" t="str">
            <v>036901</v>
          </cell>
          <cell r="B616">
            <v>450.33333299999998</v>
          </cell>
          <cell r="C616">
            <v>108.989912</v>
          </cell>
          <cell r="D616">
            <v>1.07218683651804</v>
          </cell>
          <cell r="E616">
            <v>108.989912</v>
          </cell>
          <cell r="F616">
            <v>1.07218683651804</v>
          </cell>
          <cell r="G616">
            <v>8.1870200000000004</v>
          </cell>
          <cell r="H616">
            <v>7.7083333333333295E-2</v>
          </cell>
          <cell r="I616">
            <v>4.3165399999999998</v>
          </cell>
          <cell r="J616">
            <v>7.4999999999999997E-2</v>
          </cell>
          <cell r="K616">
            <v>315.65126099999998</v>
          </cell>
          <cell r="L616">
            <v>2.6124721603563401</v>
          </cell>
          <cell r="M616">
            <v>249.287082</v>
          </cell>
          <cell r="N616">
            <v>2.58351893095768</v>
          </cell>
          <cell r="O616">
            <v>297.87720400000001</v>
          </cell>
          <cell r="P616">
            <v>1.28251121076233</v>
          </cell>
          <cell r="Q616">
            <v>103.23751799999999</v>
          </cell>
          <cell r="R616">
            <v>1.17040358744394</v>
          </cell>
          <cell r="S616">
            <v>74.026121000000003</v>
          </cell>
          <cell r="T616">
            <v>5.7692307692307598E-2</v>
          </cell>
          <cell r="U616">
            <v>1.274038</v>
          </cell>
          <cell r="V616">
            <v>1.9230769230769201E-2</v>
          </cell>
        </row>
        <row r="617">
          <cell r="A617" t="str">
            <v>036902</v>
          </cell>
          <cell r="B617">
            <v>1328.333333</v>
          </cell>
          <cell r="C617">
            <v>17.719512000000002</v>
          </cell>
          <cell r="D617">
            <v>4.96296296296296E-2</v>
          </cell>
          <cell r="E617">
            <v>12.865804000000001</v>
          </cell>
          <cell r="F617">
            <v>4.5185185185185099E-2</v>
          </cell>
          <cell r="G617">
            <v>5.9661270000000002</v>
          </cell>
          <cell r="H617">
            <v>4.2035398230088401E-2</v>
          </cell>
          <cell r="I617">
            <v>2.9693429999999998</v>
          </cell>
          <cell r="J617">
            <v>3.7610619469026503E-2</v>
          </cell>
          <cell r="K617">
            <v>249.341961</v>
          </cell>
          <cell r="L617">
            <v>1.8045722713864301</v>
          </cell>
          <cell r="M617">
            <v>220.68955199999999</v>
          </cell>
          <cell r="N617">
            <v>1.76917404129793</v>
          </cell>
          <cell r="O617">
            <v>313.56842899999998</v>
          </cell>
          <cell r="P617">
            <v>2.4038772213247102</v>
          </cell>
          <cell r="Q617">
            <v>313.50526300000001</v>
          </cell>
          <cell r="R617">
            <v>2.4022617124394099</v>
          </cell>
          <cell r="S617">
            <v>120.01564500000001</v>
          </cell>
          <cell r="T617">
            <v>1.0442804428044199</v>
          </cell>
          <cell r="U617">
            <v>120.01564500000001</v>
          </cell>
          <cell r="V617">
            <v>1.0442804428044199</v>
          </cell>
        </row>
        <row r="618">
          <cell r="A618" t="str">
            <v>036903</v>
          </cell>
          <cell r="B618">
            <v>174.66666599999999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129.01828900000001</v>
          </cell>
          <cell r="L618">
            <v>1.01769911504424</v>
          </cell>
          <cell r="M618">
            <v>129.01828900000001</v>
          </cell>
          <cell r="N618">
            <v>1.01769911504424</v>
          </cell>
          <cell r="O618">
            <v>102.919062</v>
          </cell>
          <cell r="P618">
            <v>1.125</v>
          </cell>
          <cell r="Q618">
            <v>102.919062</v>
          </cell>
          <cell r="R618">
            <v>1.125</v>
          </cell>
          <cell r="S618">
            <v>52.696013999999998</v>
          </cell>
          <cell r="T618">
            <v>0.25362318840579701</v>
          </cell>
          <cell r="U618">
            <v>52.696013999999998</v>
          </cell>
          <cell r="V618">
            <v>0.25362318840579701</v>
          </cell>
        </row>
        <row r="619">
          <cell r="A619" t="str">
            <v>036904</v>
          </cell>
          <cell r="B619">
            <v>136</v>
          </cell>
          <cell r="C619">
            <v>21.548161</v>
          </cell>
          <cell r="D619">
            <v>0.16582914572864299</v>
          </cell>
          <cell r="E619">
            <v>21.548161</v>
          </cell>
          <cell r="F619">
            <v>0.16582914572864299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298.35981700000002</v>
          </cell>
          <cell r="T619">
            <v>0.87671232876712302</v>
          </cell>
          <cell r="U619">
            <v>298.35981700000002</v>
          </cell>
          <cell r="V619">
            <v>0.87671232876712302</v>
          </cell>
        </row>
        <row r="620">
          <cell r="A620" t="str">
            <v>036905</v>
          </cell>
          <cell r="B620">
            <v>42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3.8753959999999998</v>
          </cell>
          <cell r="L620">
            <v>2.3809523809523801E-2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</row>
        <row r="621">
          <cell r="A621" t="str">
            <v>036906</v>
          </cell>
          <cell r="B621">
            <v>132.66666599999999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47.838003999999998</v>
          </cell>
          <cell r="P621">
            <v>6.8181818181818094E-2</v>
          </cell>
          <cell r="Q621">
            <v>43.054544999999997</v>
          </cell>
          <cell r="R621">
            <v>6.0606060606060601E-2</v>
          </cell>
          <cell r="S621">
            <v>186.31504899999999</v>
          </cell>
          <cell r="T621">
            <v>1.0597014925373101</v>
          </cell>
          <cell r="U621">
            <v>186.31504899999999</v>
          </cell>
          <cell r="V621">
            <v>1.0597014925373101</v>
          </cell>
        </row>
        <row r="622">
          <cell r="A622" t="str">
            <v>037001</v>
          </cell>
          <cell r="B622">
            <v>1984.6</v>
          </cell>
          <cell r="C622">
            <v>122.121585</v>
          </cell>
          <cell r="D622">
            <v>0.47473736868434202</v>
          </cell>
          <cell r="E622">
            <v>59.926653999999999</v>
          </cell>
          <cell r="F622">
            <v>0.30215107553776799</v>
          </cell>
          <cell r="G622">
            <v>1191.724414</v>
          </cell>
          <cell r="H622">
            <v>3.4112903225806401</v>
          </cell>
          <cell r="I622">
            <v>471.63051899999999</v>
          </cell>
          <cell r="J622">
            <v>2.3533266129032202</v>
          </cell>
          <cell r="K622">
            <v>346.20512600000001</v>
          </cell>
          <cell r="L622">
            <v>0.225920322743318</v>
          </cell>
          <cell r="M622">
            <v>7.2310129999999999</v>
          </cell>
          <cell r="N622">
            <v>8.4215834594049396E-2</v>
          </cell>
          <cell r="O622">
            <v>676.18048299999998</v>
          </cell>
          <cell r="P622">
            <v>1.5552193645990899</v>
          </cell>
          <cell r="Q622">
            <v>357.05752200000001</v>
          </cell>
          <cell r="R622">
            <v>1.2445789208270199</v>
          </cell>
          <cell r="S622">
            <v>346.68920000000003</v>
          </cell>
          <cell r="T622">
            <v>0.35714285714285698</v>
          </cell>
          <cell r="U622">
            <v>76.855732000000003</v>
          </cell>
          <cell r="V622">
            <v>0.26595744680851002</v>
          </cell>
        </row>
        <row r="623">
          <cell r="A623" t="str">
            <v>037002</v>
          </cell>
          <cell r="B623">
            <v>875.4</v>
          </cell>
          <cell r="C623">
            <v>59.595923999999997</v>
          </cell>
          <cell r="D623">
            <v>0.31267605633802797</v>
          </cell>
          <cell r="E623">
            <v>13.433825000000001</v>
          </cell>
          <cell r="F623">
            <v>6.4788732394366097E-2</v>
          </cell>
          <cell r="G623">
            <v>1528.926608</v>
          </cell>
          <cell r="H623">
            <v>3.5347222222222201</v>
          </cell>
          <cell r="I623">
            <v>464.19297599999999</v>
          </cell>
          <cell r="J623">
            <v>2.24305555555555</v>
          </cell>
          <cell r="K623">
            <v>1018.08512</v>
          </cell>
          <cell r="L623">
            <v>1.29108635097493</v>
          </cell>
          <cell r="M623">
            <v>110.452623</v>
          </cell>
          <cell r="N623">
            <v>0.80083565459609996</v>
          </cell>
          <cell r="O623">
            <v>1011.565548</v>
          </cell>
          <cell r="P623">
            <v>2.0799999999999899</v>
          </cell>
          <cell r="Q623">
            <v>449.37604299999998</v>
          </cell>
          <cell r="R623">
            <v>1.80387096774193</v>
          </cell>
          <cell r="S623">
            <v>330.26044100000001</v>
          </cell>
          <cell r="T623">
            <v>1.3920220082530901</v>
          </cell>
          <cell r="U623">
            <v>64.181453000000005</v>
          </cell>
          <cell r="V623">
            <v>0.55708390646492401</v>
          </cell>
        </row>
        <row r="624">
          <cell r="A624" t="str">
            <v>037101</v>
          </cell>
          <cell r="B624">
            <v>1268.5999999999999</v>
          </cell>
          <cell r="C624">
            <v>595.57987900000001</v>
          </cell>
          <cell r="D624">
            <v>1.95500725689404</v>
          </cell>
          <cell r="E624">
            <v>328.034559</v>
          </cell>
          <cell r="F624">
            <v>1.4179970972423801</v>
          </cell>
          <cell r="G624">
            <v>234.07318599999999</v>
          </cell>
          <cell r="H624">
            <v>0.911064425770308</v>
          </cell>
          <cell r="I624">
            <v>143.62359799999999</v>
          </cell>
          <cell r="J624">
            <v>0.82492997198879503</v>
          </cell>
          <cell r="K624">
            <v>319.95836700000001</v>
          </cell>
          <cell r="L624">
            <v>2.1364275668073098</v>
          </cell>
          <cell r="M624">
            <v>190.86611500000001</v>
          </cell>
          <cell r="N624">
            <v>2.0414908579465498</v>
          </cell>
          <cell r="O624">
            <v>180.088211</v>
          </cell>
          <cell r="P624">
            <v>1.27214741318214</v>
          </cell>
          <cell r="Q624">
            <v>121.516702</v>
          </cell>
          <cell r="R624">
            <v>1.0630758327427301</v>
          </cell>
          <cell r="S624">
            <v>1414.8302819999999</v>
          </cell>
          <cell r="T624">
            <v>2.2498205312275599</v>
          </cell>
          <cell r="U624">
            <v>122.67769800000001</v>
          </cell>
          <cell r="V624">
            <v>0.60588657573582105</v>
          </cell>
        </row>
        <row r="625">
          <cell r="A625" t="str">
            <v>037102</v>
          </cell>
          <cell r="B625">
            <v>985</v>
          </cell>
          <cell r="C625">
            <v>403.51773800000001</v>
          </cell>
          <cell r="D625">
            <v>1.9212880143112701</v>
          </cell>
          <cell r="E625">
            <v>284.61713700000001</v>
          </cell>
          <cell r="F625">
            <v>1.38282647584973</v>
          </cell>
          <cell r="G625">
            <v>1038.5833809999999</v>
          </cell>
          <cell r="H625">
            <v>3.6648451730418898</v>
          </cell>
          <cell r="I625">
            <v>626.74977699999999</v>
          </cell>
          <cell r="J625">
            <v>3.1675774134790502</v>
          </cell>
          <cell r="K625">
            <v>949.54834600000004</v>
          </cell>
          <cell r="L625">
            <v>1.6787989080982699</v>
          </cell>
          <cell r="M625">
            <v>127.55141</v>
          </cell>
          <cell r="N625">
            <v>0.972702456778889</v>
          </cell>
          <cell r="O625">
            <v>249.53412599999999</v>
          </cell>
          <cell r="P625">
            <v>0.99816849816849795</v>
          </cell>
          <cell r="Q625">
            <v>112.085409</v>
          </cell>
          <cell r="R625">
            <v>0.71794871794871695</v>
          </cell>
          <cell r="S625">
            <v>428.46448400000003</v>
          </cell>
          <cell r="T625">
            <v>1.0937790157845799</v>
          </cell>
          <cell r="U625">
            <v>170.417688</v>
          </cell>
          <cell r="V625">
            <v>0.93036211699164295</v>
          </cell>
        </row>
        <row r="626">
          <cell r="A626" t="str">
            <v>037301</v>
          </cell>
          <cell r="B626">
            <v>719.55555500000003</v>
          </cell>
          <cell r="C626">
            <v>154.279044</v>
          </cell>
          <cell r="D626">
            <v>1.4890410958904099</v>
          </cell>
          <cell r="E626">
            <v>149.85598100000001</v>
          </cell>
          <cell r="F626">
            <v>1.4712328767123199</v>
          </cell>
          <cell r="G626">
            <v>84.423681999999999</v>
          </cell>
          <cell r="H626">
            <v>0.372576177285318</v>
          </cell>
          <cell r="I626">
            <v>84.423681999999999</v>
          </cell>
          <cell r="J626">
            <v>0.372576177285318</v>
          </cell>
          <cell r="K626">
            <v>620.18955900000003</v>
          </cell>
          <cell r="L626">
            <v>0.90277777777777701</v>
          </cell>
          <cell r="M626">
            <v>56.756318999999998</v>
          </cell>
          <cell r="N626">
            <v>0.51805555555555505</v>
          </cell>
          <cell r="O626">
            <v>1248.5316350000001</v>
          </cell>
          <cell r="P626">
            <v>4.47838214783821</v>
          </cell>
          <cell r="Q626">
            <v>411.67387200000002</v>
          </cell>
          <cell r="R626">
            <v>3.7126917712691698</v>
          </cell>
          <cell r="S626">
            <v>834.95713499999999</v>
          </cell>
          <cell r="T626">
            <v>2.2112676056337999</v>
          </cell>
          <cell r="U626">
            <v>495.45525800000001</v>
          </cell>
          <cell r="V626">
            <v>1.42957746478873</v>
          </cell>
        </row>
        <row r="627">
          <cell r="A627" t="str">
            <v>037302</v>
          </cell>
          <cell r="B627">
            <v>1371.4</v>
          </cell>
          <cell r="C627">
            <v>220.48435499999999</v>
          </cell>
          <cell r="D627">
            <v>1.70719424460431</v>
          </cell>
          <cell r="E627">
            <v>210.467119</v>
          </cell>
          <cell r="F627">
            <v>1.69352517985611</v>
          </cell>
          <cell r="G627">
            <v>96.036997</v>
          </cell>
          <cell r="H627">
            <v>0.81561822125813399</v>
          </cell>
          <cell r="I627">
            <v>62.697935999999999</v>
          </cell>
          <cell r="J627">
            <v>0.71149674620390402</v>
          </cell>
          <cell r="K627">
            <v>528.81531500000006</v>
          </cell>
          <cell r="L627">
            <v>0.80101302460202595</v>
          </cell>
          <cell r="M627">
            <v>88.909188999999998</v>
          </cell>
          <cell r="N627">
            <v>0.41389290882778501</v>
          </cell>
          <cell r="O627">
            <v>2017.0520630000001</v>
          </cell>
          <cell r="P627">
            <v>2.7032967032966999</v>
          </cell>
          <cell r="Q627">
            <v>412.86332099999998</v>
          </cell>
          <cell r="R627">
            <v>1.75018315018315</v>
          </cell>
          <cell r="S627">
            <v>1839.6441279999999</v>
          </cell>
          <cell r="T627">
            <v>1.5804038893044099</v>
          </cell>
          <cell r="U627">
            <v>71.446185</v>
          </cell>
          <cell r="V627">
            <v>0.46671652954375398</v>
          </cell>
        </row>
        <row r="628">
          <cell r="A628" t="str">
            <v>037303</v>
          </cell>
          <cell r="B628">
            <v>1</v>
          </cell>
          <cell r="C628">
            <v>108</v>
          </cell>
          <cell r="D628">
            <v>1</v>
          </cell>
          <cell r="E628">
            <v>108</v>
          </cell>
          <cell r="F628">
            <v>1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160</v>
          </cell>
          <cell r="P628">
            <v>1</v>
          </cell>
          <cell r="Q628">
            <v>160</v>
          </cell>
          <cell r="R628">
            <v>1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</row>
        <row r="629">
          <cell r="A629" t="str">
            <v>037401</v>
          </cell>
          <cell r="B629">
            <v>1525.777777</v>
          </cell>
          <cell r="C629">
            <v>50.666282000000002</v>
          </cell>
          <cell r="D629">
            <v>0.17857142857142799</v>
          </cell>
          <cell r="E629">
            <v>50.666282000000002</v>
          </cell>
          <cell r="F629">
            <v>0.17857142857142799</v>
          </cell>
          <cell r="G629">
            <v>240.303225</v>
          </cell>
          <cell r="H629">
            <v>0.73649538866930098</v>
          </cell>
          <cell r="I629">
            <v>156.48700400000001</v>
          </cell>
          <cell r="J629">
            <v>0.45125164690382003</v>
          </cell>
          <cell r="K629">
            <v>459.38466799999998</v>
          </cell>
          <cell r="L629">
            <v>0.90938936309914598</v>
          </cell>
          <cell r="M629">
            <v>75.806685999999999</v>
          </cell>
          <cell r="N629">
            <v>0.256730137885751</v>
          </cell>
          <cell r="O629">
            <v>256.05909400000002</v>
          </cell>
          <cell r="P629">
            <v>0.84530026109660505</v>
          </cell>
          <cell r="Q629">
            <v>152.39033900000001</v>
          </cell>
          <cell r="R629">
            <v>0.77480417754569098</v>
          </cell>
          <cell r="S629">
            <v>1.3303720000000001</v>
          </cell>
          <cell r="T629">
            <v>2.53741054001301E-2</v>
          </cell>
          <cell r="U629">
            <v>1.015191</v>
          </cell>
          <cell r="V629">
            <v>2.3422251138581599E-2</v>
          </cell>
        </row>
        <row r="630">
          <cell r="A630" t="str">
            <v>037402</v>
          </cell>
          <cell r="B630">
            <v>1015</v>
          </cell>
          <cell r="C630">
            <v>25.636369999999999</v>
          </cell>
          <cell r="D630">
            <v>0.18181818181818099</v>
          </cell>
          <cell r="E630">
            <v>25.006595000000001</v>
          </cell>
          <cell r="F630">
            <v>0.17986314760508301</v>
          </cell>
          <cell r="G630">
            <v>186.10340099999999</v>
          </cell>
          <cell r="H630">
            <v>1.0009813542688899</v>
          </cell>
          <cell r="I630">
            <v>100.46072700000001</v>
          </cell>
          <cell r="J630">
            <v>0.90578999018645701</v>
          </cell>
          <cell r="K630">
            <v>185.09381099999999</v>
          </cell>
          <cell r="L630">
            <v>0.280943025540275</v>
          </cell>
          <cell r="M630">
            <v>41.229846000000002</v>
          </cell>
          <cell r="N630">
            <v>0.207269155206286</v>
          </cell>
          <cell r="O630">
            <v>873.21628699999997</v>
          </cell>
          <cell r="P630">
            <v>1.2675222112536999</v>
          </cell>
          <cell r="Q630">
            <v>411.35638299999999</v>
          </cell>
          <cell r="R630">
            <v>1.16386969397828</v>
          </cell>
          <cell r="S630">
            <v>70.075531999999995</v>
          </cell>
          <cell r="T630">
            <v>0.34630738522954002</v>
          </cell>
          <cell r="U630">
            <v>48.079124999999998</v>
          </cell>
          <cell r="V630">
            <v>0.235528942115768</v>
          </cell>
        </row>
        <row r="631">
          <cell r="A631" t="str">
            <v>037403</v>
          </cell>
          <cell r="B631">
            <v>1777.5555549999999</v>
          </cell>
          <cell r="C631">
            <v>281.42247500000002</v>
          </cell>
          <cell r="D631">
            <v>1.5538720538720501</v>
          </cell>
          <cell r="E631">
            <v>281.42247500000002</v>
          </cell>
          <cell r="F631">
            <v>1.5538720538720501</v>
          </cell>
          <cell r="G631">
            <v>345.57740799999999</v>
          </cell>
          <cell r="H631">
            <v>1.0706674144699899</v>
          </cell>
          <cell r="I631">
            <v>62.457771000000001</v>
          </cell>
          <cell r="J631">
            <v>0.34492428491306698</v>
          </cell>
          <cell r="K631">
            <v>88.987982000000002</v>
          </cell>
          <cell r="L631">
            <v>0.20191226096737899</v>
          </cell>
          <cell r="M631">
            <v>28.469740999999999</v>
          </cell>
          <cell r="N631">
            <v>0.14341957255342999</v>
          </cell>
          <cell r="O631">
            <v>233.81126</v>
          </cell>
          <cell r="P631">
            <v>1.7471846846846799</v>
          </cell>
          <cell r="Q631">
            <v>224.054147</v>
          </cell>
          <cell r="R631">
            <v>1.7370495495495399</v>
          </cell>
          <cell r="S631">
            <v>5.4284759999999999</v>
          </cell>
          <cell r="T631">
            <v>6.2111801242236003E-2</v>
          </cell>
          <cell r="U631">
            <v>4.956709</v>
          </cell>
          <cell r="V631">
            <v>5.8723884810841301E-2</v>
          </cell>
        </row>
        <row r="632">
          <cell r="A632" t="str">
            <v>037501</v>
          </cell>
          <cell r="B632">
            <v>773</v>
          </cell>
          <cell r="C632">
            <v>6787.6525149999998</v>
          </cell>
          <cell r="D632">
            <v>3.3051948051947999</v>
          </cell>
          <cell r="E632">
            <v>546.78008899999998</v>
          </cell>
          <cell r="F632">
            <v>1.67532467532467</v>
          </cell>
          <cell r="G632">
            <v>173.23483899999999</v>
          </cell>
          <cell r="H632">
            <v>0.65888456549935104</v>
          </cell>
          <cell r="I632">
            <v>173.23483899999999</v>
          </cell>
          <cell r="J632">
            <v>0.65888456549935104</v>
          </cell>
          <cell r="K632">
            <v>1056.7552539999999</v>
          </cell>
          <cell r="L632">
            <v>2.0206718346253201</v>
          </cell>
          <cell r="M632">
            <v>393.97273899999999</v>
          </cell>
          <cell r="N632">
            <v>1.7093023255813899</v>
          </cell>
          <cell r="O632">
            <v>1316.6184290000001</v>
          </cell>
          <cell r="P632">
            <v>4.1251612903225796</v>
          </cell>
          <cell r="Q632">
            <v>807.67956900000001</v>
          </cell>
          <cell r="R632">
            <v>4.0387096774193498</v>
          </cell>
          <cell r="S632">
            <v>603.596812</v>
          </cell>
          <cell r="T632">
            <v>3.0439276485788098</v>
          </cell>
          <cell r="U632">
            <v>445.79877199999999</v>
          </cell>
          <cell r="V632">
            <v>2.8695090439276401</v>
          </cell>
        </row>
        <row r="633">
          <cell r="A633" t="str">
            <v>037502</v>
          </cell>
          <cell r="B633">
            <v>528</v>
          </cell>
          <cell r="C633">
            <v>5678.8338979999999</v>
          </cell>
          <cell r="D633">
            <v>3.9644859813084099</v>
          </cell>
          <cell r="E633">
            <v>188.55026100000001</v>
          </cell>
          <cell r="F633">
            <v>0.61121495327102804</v>
          </cell>
          <cell r="G633">
            <v>3743.4176739999998</v>
          </cell>
          <cell r="H633">
            <v>2.8595505617977501</v>
          </cell>
          <cell r="I633">
            <v>62.192031999999998</v>
          </cell>
          <cell r="J633">
            <v>0.256554307116104</v>
          </cell>
          <cell r="K633">
            <v>5461.100093</v>
          </cell>
          <cell r="L633">
            <v>3.34146341463414</v>
          </cell>
          <cell r="M633">
            <v>343.28721000000002</v>
          </cell>
          <cell r="N633">
            <v>1.9718574108818001</v>
          </cell>
          <cell r="O633">
            <v>647.99087899999995</v>
          </cell>
          <cell r="P633">
            <v>1.32177263969171</v>
          </cell>
          <cell r="Q633">
            <v>180.63439299999999</v>
          </cell>
          <cell r="R633">
            <v>1.15221579961464</v>
          </cell>
          <cell r="S633">
            <v>487.03240099999999</v>
          </cell>
          <cell r="T633">
            <v>0.95183044315992205</v>
          </cell>
          <cell r="U633">
            <v>486.26072499999998</v>
          </cell>
          <cell r="V633">
            <v>0.94797687861271596</v>
          </cell>
        </row>
        <row r="634">
          <cell r="A634" t="str">
            <v>037601</v>
          </cell>
          <cell r="B634">
            <v>821.6</v>
          </cell>
          <cell r="C634">
            <v>7405.4731270000002</v>
          </cell>
          <cell r="D634">
            <v>5.5657418576598303</v>
          </cell>
          <cell r="E634">
            <v>478.67428200000001</v>
          </cell>
          <cell r="F634">
            <v>2.7454764776839502</v>
          </cell>
          <cell r="G634">
            <v>2905.2368620000002</v>
          </cell>
          <cell r="H634">
            <v>4.2976913730255104</v>
          </cell>
          <cell r="I634">
            <v>511.33340299999998</v>
          </cell>
          <cell r="J634">
            <v>2.1956257594167599</v>
          </cell>
          <cell r="K634">
            <v>729.01591900000005</v>
          </cell>
          <cell r="L634">
            <v>2.2436363636363601</v>
          </cell>
          <cell r="M634">
            <v>241.85301000000001</v>
          </cell>
          <cell r="N634">
            <v>1.51515151515151</v>
          </cell>
          <cell r="O634">
            <v>1022.777424</v>
          </cell>
          <cell r="P634">
            <v>1.91931540342298</v>
          </cell>
          <cell r="Q634">
            <v>234.877893</v>
          </cell>
          <cell r="R634">
            <v>1.0085574572127101</v>
          </cell>
          <cell r="S634">
            <v>269.43919599999998</v>
          </cell>
          <cell r="T634">
            <v>2.3726937269372601</v>
          </cell>
          <cell r="U634">
            <v>245.02013099999999</v>
          </cell>
          <cell r="V634">
            <v>2.3370233702337</v>
          </cell>
        </row>
        <row r="635">
          <cell r="A635" t="str">
            <v>037602</v>
          </cell>
          <cell r="B635">
            <v>1382.6</v>
          </cell>
          <cell r="C635">
            <v>3603.641932</v>
          </cell>
          <cell r="D635">
            <v>5.3054331864904496</v>
          </cell>
          <cell r="E635">
            <v>529.14375600000005</v>
          </cell>
          <cell r="F635">
            <v>3.31938325991189</v>
          </cell>
          <cell r="G635">
            <v>1316.1697140000001</v>
          </cell>
          <cell r="H635">
            <v>2.7316202712348301</v>
          </cell>
          <cell r="I635">
            <v>279.585846</v>
          </cell>
          <cell r="J635">
            <v>1.4532476802284</v>
          </cell>
          <cell r="K635">
            <v>1907.0700939999999</v>
          </cell>
          <cell r="L635">
            <v>4.4293906810035804</v>
          </cell>
          <cell r="M635">
            <v>372.84455100000002</v>
          </cell>
          <cell r="N635">
            <v>2.7562724014336899</v>
          </cell>
          <cell r="O635">
            <v>300.374686</v>
          </cell>
          <cell r="P635">
            <v>0.57287157287157198</v>
          </cell>
          <cell r="Q635">
            <v>136.314393</v>
          </cell>
          <cell r="R635">
            <v>0.48845598845598798</v>
          </cell>
          <cell r="S635">
            <v>1325.608655</v>
          </cell>
          <cell r="T635">
            <v>5.4170927684441104</v>
          </cell>
          <cell r="U635">
            <v>573.81647099999998</v>
          </cell>
          <cell r="V635">
            <v>4.3148283418553603</v>
          </cell>
        </row>
        <row r="636">
          <cell r="A636" t="str">
            <v>037603</v>
          </cell>
          <cell r="B636">
            <v>1252</v>
          </cell>
          <cell r="C636">
            <v>8780.7351290000006</v>
          </cell>
          <cell r="D636">
            <v>3.6501182033096899</v>
          </cell>
          <cell r="E636">
            <v>168.90234599999999</v>
          </cell>
          <cell r="F636">
            <v>1.63199369582348</v>
          </cell>
          <cell r="G636">
            <v>369.50197900000001</v>
          </cell>
          <cell r="H636">
            <v>1.2964426877470301</v>
          </cell>
          <cell r="I636">
            <v>191.00722300000001</v>
          </cell>
          <cell r="J636">
            <v>1.1083003952569099</v>
          </cell>
          <cell r="K636">
            <v>2739.9982089999999</v>
          </cell>
          <cell r="L636">
            <v>1.7597454256165399</v>
          </cell>
          <cell r="M636">
            <v>279.22672999999998</v>
          </cell>
          <cell r="N636">
            <v>0.71201272871917198</v>
          </cell>
          <cell r="O636">
            <v>329.67885000000001</v>
          </cell>
          <cell r="P636">
            <v>1.86876006441223</v>
          </cell>
          <cell r="Q636">
            <v>209.06989999999999</v>
          </cell>
          <cell r="R636">
            <v>1.6521739130434701</v>
          </cell>
          <cell r="S636">
            <v>771.99578799999995</v>
          </cell>
          <cell r="T636">
            <v>3.7082314588426999</v>
          </cell>
          <cell r="U636">
            <v>361.91211600000003</v>
          </cell>
          <cell r="V636">
            <v>3.0929095354523199</v>
          </cell>
        </row>
        <row r="637">
          <cell r="A637" t="str">
            <v>037701</v>
          </cell>
          <cell r="B637">
            <v>805.2</v>
          </cell>
          <cell r="C637">
            <v>12931.647004</v>
          </cell>
          <cell r="D637">
            <v>4.1860465116279002</v>
          </cell>
          <cell r="E637">
            <v>338.08326299999999</v>
          </cell>
          <cell r="F637">
            <v>2.1811505507955902</v>
          </cell>
          <cell r="G637">
            <v>1764.5011179999999</v>
          </cell>
          <cell r="H637">
            <v>2.8712871287128698</v>
          </cell>
          <cell r="I637">
            <v>328.81404500000002</v>
          </cell>
          <cell r="J637">
            <v>2.3477722772277199</v>
          </cell>
          <cell r="K637">
            <v>3262.0344239999999</v>
          </cell>
          <cell r="L637">
            <v>2.04202719406674</v>
          </cell>
          <cell r="M637">
            <v>137.16299900000001</v>
          </cell>
          <cell r="N637">
            <v>0.96415327564894904</v>
          </cell>
          <cell r="O637">
            <v>3700.5753730000001</v>
          </cell>
          <cell r="P637">
            <v>3.2344139650872799</v>
          </cell>
          <cell r="Q637">
            <v>303.36886900000002</v>
          </cell>
          <cell r="R637">
            <v>0.877805486284289</v>
          </cell>
          <cell r="S637">
            <v>100.205906</v>
          </cell>
          <cell r="T637">
            <v>0.30886075949366998</v>
          </cell>
          <cell r="U637">
            <v>94.602489000000006</v>
          </cell>
          <cell r="V637">
            <v>0.29493670886075901</v>
          </cell>
        </row>
        <row r="638">
          <cell r="A638" t="str">
            <v>037702</v>
          </cell>
          <cell r="B638">
            <v>1242.5999999999999</v>
          </cell>
          <cell r="C638">
            <v>13276.859307999999</v>
          </cell>
          <cell r="D638">
            <v>4.7675718849840196</v>
          </cell>
          <cell r="E638">
            <v>99.826756000000003</v>
          </cell>
          <cell r="F638">
            <v>0.65894568690095801</v>
          </cell>
          <cell r="G638">
            <v>1514.929893</v>
          </cell>
          <cell r="H638">
            <v>2.4336000000000002</v>
          </cell>
          <cell r="I638">
            <v>187.13060200000001</v>
          </cell>
          <cell r="J638">
            <v>1.2</v>
          </cell>
          <cell r="K638">
            <v>1229.8632680000001</v>
          </cell>
          <cell r="L638">
            <v>3.4999999999999898</v>
          </cell>
          <cell r="M638">
            <v>124.272271</v>
          </cell>
          <cell r="N638">
            <v>1.37560192616372</v>
          </cell>
          <cell r="O638">
            <v>3255.0519909999998</v>
          </cell>
          <cell r="P638">
            <v>2.6122778675282698</v>
          </cell>
          <cell r="Q638">
            <v>441.74091199999998</v>
          </cell>
          <cell r="R638">
            <v>1.45395799676898</v>
          </cell>
          <cell r="S638">
            <v>286.361694</v>
          </cell>
          <cell r="T638">
            <v>0.81336593317033401</v>
          </cell>
          <cell r="U638">
            <v>91.428633000000005</v>
          </cell>
          <cell r="V638">
            <v>0.33740831295843499</v>
          </cell>
        </row>
        <row r="639">
          <cell r="A639" t="str">
            <v>037901</v>
          </cell>
          <cell r="B639">
            <v>1243.5999999999999</v>
          </cell>
          <cell r="C639">
            <v>195.63071099999999</v>
          </cell>
          <cell r="D639">
            <v>1.7518014411529199</v>
          </cell>
          <cell r="E639">
            <v>67.748442999999995</v>
          </cell>
          <cell r="F639">
            <v>1.2722177742193701</v>
          </cell>
          <cell r="G639">
            <v>167.794668</v>
          </cell>
          <cell r="H639">
            <v>1.28342674139311</v>
          </cell>
          <cell r="I639">
            <v>166.43629200000001</v>
          </cell>
          <cell r="J639">
            <v>1.2778222578062399</v>
          </cell>
          <cell r="K639">
            <v>306.82824499999998</v>
          </cell>
          <cell r="L639">
            <v>0.477911646586345</v>
          </cell>
          <cell r="M639">
            <v>38.763238999999999</v>
          </cell>
          <cell r="N639">
            <v>0.28112449799196698</v>
          </cell>
          <cell r="O639">
            <v>821.26596800000004</v>
          </cell>
          <cell r="P639">
            <v>2.1328502415458899</v>
          </cell>
          <cell r="Q639">
            <v>798.34534299999996</v>
          </cell>
          <cell r="R639">
            <v>2.0724637681159401</v>
          </cell>
          <cell r="S639">
            <v>1198.988171</v>
          </cell>
          <cell r="T639">
            <v>4.98864557988645</v>
          </cell>
          <cell r="U639">
            <v>283.95339200000001</v>
          </cell>
          <cell r="V639">
            <v>3.10462287104622</v>
          </cell>
        </row>
        <row r="640">
          <cell r="A640" t="str">
            <v>037902</v>
          </cell>
          <cell r="B640">
            <v>1055.5999999999999</v>
          </cell>
          <cell r="C640">
            <v>475.39785799999999</v>
          </cell>
          <cell r="D640">
            <v>4.1244153414405904</v>
          </cell>
          <cell r="E640">
            <v>138.00000700000001</v>
          </cell>
          <cell r="F640">
            <v>3.2731524789522899</v>
          </cell>
          <cell r="G640">
            <v>441.433807</v>
          </cell>
          <cell r="H640">
            <v>1.40263405456255</v>
          </cell>
          <cell r="I640">
            <v>206.372209</v>
          </cell>
          <cell r="J640">
            <v>1.05079962370649</v>
          </cell>
          <cell r="K640">
            <v>4445.2437659999996</v>
          </cell>
          <cell r="L640">
            <v>3.4570349386213399</v>
          </cell>
          <cell r="M640">
            <v>314.65457900000001</v>
          </cell>
          <cell r="N640">
            <v>1.8130311614730801</v>
          </cell>
          <cell r="O640">
            <v>514.86521700000003</v>
          </cell>
          <cell r="P640">
            <v>1.4374403056351399</v>
          </cell>
          <cell r="Q640">
            <v>391.184574</v>
          </cell>
          <cell r="R640">
            <v>0.86723973256924503</v>
          </cell>
          <cell r="S640">
            <v>721.37890900000002</v>
          </cell>
          <cell r="T640">
            <v>3.3971153846153799</v>
          </cell>
          <cell r="U640">
            <v>232.556522</v>
          </cell>
          <cell r="V640">
            <v>1.88942307692307</v>
          </cell>
        </row>
        <row r="641">
          <cell r="A641" t="str">
            <v>038001</v>
          </cell>
          <cell r="B641">
            <v>615.79999999999995</v>
          </cell>
          <cell r="C641">
            <v>3493.7305070000002</v>
          </cell>
          <cell r="D641">
            <v>2.7246835443037898</v>
          </cell>
          <cell r="E641">
            <v>154.17266900000001</v>
          </cell>
          <cell r="F641">
            <v>0.742088607594936</v>
          </cell>
          <cell r="G641">
            <v>71.877962999999994</v>
          </cell>
          <cell r="H641">
            <v>0.25589225589225501</v>
          </cell>
          <cell r="I641">
            <v>64.273028999999994</v>
          </cell>
          <cell r="J641">
            <v>0.24579124579124501</v>
          </cell>
          <cell r="K641">
            <v>1506.75497</v>
          </cell>
          <cell r="L641">
            <v>1.39322033898305</v>
          </cell>
          <cell r="M641">
            <v>38.915903</v>
          </cell>
          <cell r="N641">
            <v>0.43559322033898301</v>
          </cell>
          <cell r="O641">
            <v>206.33317400000001</v>
          </cell>
          <cell r="P641">
            <v>0.689873417721518</v>
          </cell>
          <cell r="Q641">
            <v>43.704377000000001</v>
          </cell>
          <cell r="R641">
            <v>0.35126582278481</v>
          </cell>
          <cell r="S641">
            <v>379.55969199999998</v>
          </cell>
          <cell r="T641">
            <v>1.3026941362916</v>
          </cell>
          <cell r="U641">
            <v>378.079027</v>
          </cell>
          <cell r="V641">
            <v>1.30110935023771</v>
          </cell>
        </row>
        <row r="642">
          <cell r="A642" t="str">
            <v>038002</v>
          </cell>
          <cell r="B642">
            <v>389.4</v>
          </cell>
          <cell r="C642">
            <v>4217.9013370000002</v>
          </cell>
          <cell r="D642">
            <v>2.1883289124668401</v>
          </cell>
          <cell r="E642">
            <v>206.88922500000001</v>
          </cell>
          <cell r="F642">
            <v>0.88063660477453498</v>
          </cell>
          <cell r="G642">
            <v>664.96794999999997</v>
          </cell>
          <cell r="H642">
            <v>0.72527472527472503</v>
          </cell>
          <cell r="I642">
            <v>71.600729000000001</v>
          </cell>
          <cell r="J642">
            <v>0.43131868131868101</v>
          </cell>
          <cell r="K642">
            <v>300.52410300000003</v>
          </cell>
          <cell r="L642">
            <v>0.68817204301075197</v>
          </cell>
          <cell r="M642">
            <v>297.68243699999999</v>
          </cell>
          <cell r="N642">
            <v>0.67204301075268802</v>
          </cell>
          <cell r="O642">
            <v>7.8848450000000003</v>
          </cell>
          <cell r="P642">
            <v>6.4794816414686804E-2</v>
          </cell>
          <cell r="Q642">
            <v>2.9982359999999999</v>
          </cell>
          <cell r="R642">
            <v>6.0475161987040997E-2</v>
          </cell>
          <cell r="S642">
            <v>59.534185999999998</v>
          </cell>
          <cell r="T642">
            <v>0.61455525606468997</v>
          </cell>
          <cell r="U642">
            <v>58.699280999999999</v>
          </cell>
          <cell r="V642">
            <v>0.60646900269541704</v>
          </cell>
        </row>
        <row r="643">
          <cell r="A643" t="str">
            <v>038101</v>
          </cell>
          <cell r="B643">
            <v>1049.777777</v>
          </cell>
          <cell r="C643">
            <v>116.831474</v>
          </cell>
          <cell r="D643">
            <v>1.53213610586011</v>
          </cell>
          <cell r="E643">
            <v>116.831474</v>
          </cell>
          <cell r="F643">
            <v>1.53213610586011</v>
          </cell>
          <cell r="G643">
            <v>213.28348800000001</v>
          </cell>
          <cell r="H643">
            <v>0.54510921177587801</v>
          </cell>
          <cell r="I643">
            <v>37.660791000000003</v>
          </cell>
          <cell r="J643">
            <v>0.39886039886039798</v>
          </cell>
          <cell r="K643">
            <v>2238.022751</v>
          </cell>
          <cell r="L643">
            <v>3.8512869399428</v>
          </cell>
          <cell r="M643">
            <v>473.02286299999997</v>
          </cell>
          <cell r="N643">
            <v>2.6673021925643399</v>
          </cell>
          <cell r="O643">
            <v>597.27010399999995</v>
          </cell>
          <cell r="P643">
            <v>2.4154727793696198</v>
          </cell>
          <cell r="Q643">
            <v>458.084383</v>
          </cell>
          <cell r="R643">
            <v>2.3113658070678098</v>
          </cell>
          <cell r="S643">
            <v>1371.038638</v>
          </cell>
          <cell r="T643">
            <v>2.6854684512428202</v>
          </cell>
          <cell r="U643">
            <v>403.995251</v>
          </cell>
          <cell r="V643">
            <v>1.53632887189292</v>
          </cell>
        </row>
        <row r="644">
          <cell r="A644" t="str">
            <v>038102</v>
          </cell>
          <cell r="B644">
            <v>1638.6</v>
          </cell>
          <cell r="C644">
            <v>99.219554000000002</v>
          </cell>
          <cell r="D644">
            <v>0.61641337386018202</v>
          </cell>
          <cell r="E644">
            <v>99.135514999999998</v>
          </cell>
          <cell r="F644">
            <v>0.61580547112462003</v>
          </cell>
          <cell r="G644">
            <v>445.59280799999999</v>
          </cell>
          <cell r="H644">
            <v>0.71107055961070498</v>
          </cell>
          <cell r="I644">
            <v>141.398821</v>
          </cell>
          <cell r="J644">
            <v>0.42944038929440298</v>
          </cell>
          <cell r="K644">
            <v>2794.607434</v>
          </cell>
          <cell r="L644">
            <v>2.8781230956733599</v>
          </cell>
          <cell r="M644">
            <v>399.64035100000001</v>
          </cell>
          <cell r="N644">
            <v>1.4332723948811701</v>
          </cell>
          <cell r="O644">
            <v>448.48136099999999</v>
          </cell>
          <cell r="P644">
            <v>2.1151960784313699</v>
          </cell>
          <cell r="Q644">
            <v>229.38684599999999</v>
          </cell>
          <cell r="R644">
            <v>1.81127450980392</v>
          </cell>
          <cell r="S644">
            <v>1143.45704</v>
          </cell>
          <cell r="T644">
            <v>1.8534641324340799</v>
          </cell>
          <cell r="U644">
            <v>228.928101</v>
          </cell>
          <cell r="V644">
            <v>1.19926425505824</v>
          </cell>
        </row>
        <row r="645">
          <cell r="A645" t="str">
            <v>038301</v>
          </cell>
          <cell r="B645">
            <v>1036.6666660000001</v>
          </cell>
          <cell r="C645">
            <v>22.579526000000001</v>
          </cell>
          <cell r="D645">
            <v>0.124045801526717</v>
          </cell>
          <cell r="E645">
            <v>22.579526000000001</v>
          </cell>
          <cell r="F645">
            <v>0.124045801526717</v>
          </cell>
          <cell r="G645">
            <v>162.79671300000001</v>
          </cell>
          <cell r="H645">
            <v>0.71414821944176998</v>
          </cell>
          <cell r="I645">
            <v>46.420803999999997</v>
          </cell>
          <cell r="J645">
            <v>0.35226179018286802</v>
          </cell>
          <cell r="K645">
            <v>276.71354400000001</v>
          </cell>
          <cell r="L645">
            <v>1.20365033621517</v>
          </cell>
          <cell r="M645">
            <v>136.49771000000001</v>
          </cell>
          <cell r="N645">
            <v>0.81075888568683896</v>
          </cell>
          <cell r="O645">
            <v>230.755223</v>
          </cell>
          <cell r="P645">
            <v>0.98557692307692302</v>
          </cell>
          <cell r="Q645">
            <v>139.24714700000001</v>
          </cell>
          <cell r="R645">
            <v>0.8125</v>
          </cell>
          <cell r="S645">
            <v>203.79629299999999</v>
          </cell>
          <cell r="T645">
            <v>0.60039177277179201</v>
          </cell>
          <cell r="U645">
            <v>43.615620999999997</v>
          </cell>
          <cell r="V645">
            <v>0.40352595494613103</v>
          </cell>
        </row>
        <row r="646">
          <cell r="A646" t="str">
            <v>038302</v>
          </cell>
          <cell r="B646">
            <v>646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22.452002</v>
          </cell>
          <cell r="H646">
            <v>5.2388289676425198E-2</v>
          </cell>
          <cell r="I646">
            <v>3.8315350000000001</v>
          </cell>
          <cell r="J646">
            <v>3.8520801232665602E-2</v>
          </cell>
          <cell r="K646">
            <v>115.074562</v>
          </cell>
          <cell r="L646">
            <v>1.1466049382715999</v>
          </cell>
          <cell r="M646">
            <v>76.915122999999994</v>
          </cell>
          <cell r="N646">
            <v>1.1018518518518501</v>
          </cell>
          <cell r="O646">
            <v>17.375910999999999</v>
          </cell>
          <cell r="P646">
            <v>0.21406249999999999</v>
          </cell>
          <cell r="Q646">
            <v>17.375910999999999</v>
          </cell>
          <cell r="R646">
            <v>0.21406249999999999</v>
          </cell>
          <cell r="S646">
            <v>384.04443500000002</v>
          </cell>
          <cell r="T646">
            <v>0.43788819875776303</v>
          </cell>
          <cell r="U646">
            <v>2.0460400000000001</v>
          </cell>
          <cell r="V646">
            <v>4.3478260869565202E-2</v>
          </cell>
        </row>
        <row r="647">
          <cell r="A647" t="str">
            <v>038401</v>
          </cell>
          <cell r="B647">
            <v>1</v>
          </cell>
          <cell r="C647">
            <v>830.223883</v>
          </cell>
          <cell r="D647">
            <v>2</v>
          </cell>
          <cell r="E647">
            <v>107</v>
          </cell>
          <cell r="F647">
            <v>1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297.75</v>
          </cell>
          <cell r="T647">
            <v>2</v>
          </cell>
          <cell r="U647">
            <v>297.75</v>
          </cell>
          <cell r="V647">
            <v>2</v>
          </cell>
        </row>
        <row r="648">
          <cell r="A648" t="str">
            <v>039002</v>
          </cell>
          <cell r="B648">
            <v>944</v>
          </cell>
          <cell r="C648">
            <v>637.00961500000005</v>
          </cell>
          <cell r="D648">
            <v>0.834572490706319</v>
          </cell>
          <cell r="E648">
            <v>142.703486</v>
          </cell>
          <cell r="F648">
            <v>0.57434944237918195</v>
          </cell>
          <cell r="G648">
            <v>438.23748599999999</v>
          </cell>
          <cell r="H648">
            <v>0.54520037278657896</v>
          </cell>
          <cell r="I648">
            <v>122.018367</v>
          </cell>
          <cell r="J648">
            <v>0.40633737185461299</v>
          </cell>
          <cell r="K648">
            <v>878.46435699999995</v>
          </cell>
          <cell r="L648">
            <v>1.5455390334572401</v>
          </cell>
          <cell r="M648">
            <v>161.56338199999999</v>
          </cell>
          <cell r="N648">
            <v>1.34851301115241</v>
          </cell>
          <cell r="O648">
            <v>355.20899800000001</v>
          </cell>
          <cell r="P648">
            <v>2.0038986354775798</v>
          </cell>
          <cell r="Q648">
            <v>300.1737</v>
          </cell>
          <cell r="R648">
            <v>1.98245614035087</v>
          </cell>
          <cell r="S648">
            <v>226.077292</v>
          </cell>
          <cell r="T648">
            <v>0.57298907646474595</v>
          </cell>
          <cell r="U648">
            <v>146.670771</v>
          </cell>
          <cell r="V648">
            <v>0.53922542204568003</v>
          </cell>
        </row>
        <row r="649">
          <cell r="A649" t="str">
            <v>039003</v>
          </cell>
          <cell r="B649">
            <v>1598.8</v>
          </cell>
          <cell r="C649">
            <v>754.12926500000003</v>
          </cell>
          <cell r="D649">
            <v>2.3661504424778701</v>
          </cell>
          <cell r="E649">
            <v>29.527079000000001</v>
          </cell>
          <cell r="F649">
            <v>0.11504424778760999</v>
          </cell>
          <cell r="G649">
            <v>1408.641292</v>
          </cell>
          <cell r="H649">
            <v>3.57821229050279</v>
          </cell>
          <cell r="I649">
            <v>645.20146799999998</v>
          </cell>
          <cell r="J649">
            <v>3.1011173184357501</v>
          </cell>
          <cell r="K649">
            <v>1151.5359699999999</v>
          </cell>
          <cell r="L649">
            <v>3.1907158836688998</v>
          </cell>
          <cell r="M649">
            <v>574.44378200000006</v>
          </cell>
          <cell r="N649">
            <v>2.3836689038031298</v>
          </cell>
          <cell r="O649">
            <v>225.948577</v>
          </cell>
          <cell r="P649">
            <v>0.81412429378531004</v>
          </cell>
          <cell r="Q649">
            <v>176.40363400000001</v>
          </cell>
          <cell r="R649">
            <v>0.78248587570621397</v>
          </cell>
          <cell r="S649">
            <v>121.857586</v>
          </cell>
          <cell r="T649">
            <v>0.76636050516647503</v>
          </cell>
          <cell r="U649">
            <v>75.233408999999995</v>
          </cell>
          <cell r="V649">
            <v>0.70264064293914996</v>
          </cell>
        </row>
        <row r="650">
          <cell r="A650" t="str">
            <v>039004</v>
          </cell>
          <cell r="B650">
            <v>300</v>
          </cell>
          <cell r="C650">
            <v>39.229543999999997</v>
          </cell>
          <cell r="D650">
            <v>0.1</v>
          </cell>
          <cell r="E650">
            <v>39.229543999999997</v>
          </cell>
          <cell r="F650">
            <v>0.1</v>
          </cell>
          <cell r="G650">
            <v>13.419193</v>
          </cell>
          <cell r="H650">
            <v>7.3800738007380004E-2</v>
          </cell>
          <cell r="I650">
            <v>13.419193</v>
          </cell>
          <cell r="J650">
            <v>7.3800738007380004E-2</v>
          </cell>
          <cell r="K650">
            <v>93.978998000000004</v>
          </cell>
          <cell r="L650">
            <v>1.0549450549450501</v>
          </cell>
          <cell r="M650">
            <v>93.978998000000004</v>
          </cell>
          <cell r="N650">
            <v>1.0549450549450501</v>
          </cell>
          <cell r="O650">
            <v>146.527433</v>
          </cell>
          <cell r="P650">
            <v>1.1861313868613099</v>
          </cell>
          <cell r="Q650">
            <v>146.527433</v>
          </cell>
          <cell r="R650">
            <v>1.1861313868613099</v>
          </cell>
          <cell r="S650">
            <v>214.337312</v>
          </cell>
          <cell r="T650">
            <v>0.99157303370786498</v>
          </cell>
          <cell r="U650">
            <v>209.357022</v>
          </cell>
          <cell r="V650">
            <v>0.98595505617977497</v>
          </cell>
        </row>
        <row r="651">
          <cell r="A651" t="str">
            <v>039201</v>
          </cell>
          <cell r="B651">
            <v>2002.2</v>
          </cell>
          <cell r="C651">
            <v>2495.0127539999999</v>
          </cell>
          <cell r="D651">
            <v>2.9893939393939299</v>
          </cell>
          <cell r="E651">
            <v>255.77948699999999</v>
          </cell>
          <cell r="F651">
            <v>1.53737373737373</v>
          </cell>
          <cell r="G651">
            <v>336.94581099999999</v>
          </cell>
          <cell r="H651">
            <v>0.94138453764527497</v>
          </cell>
          <cell r="I651">
            <v>274.17474700000002</v>
          </cell>
          <cell r="J651">
            <v>0.91157150075795801</v>
          </cell>
          <cell r="K651">
            <v>46.137354999999999</v>
          </cell>
          <cell r="L651">
            <v>0.18208516886930901</v>
          </cell>
          <cell r="M651">
            <v>22.250318</v>
          </cell>
          <cell r="N651">
            <v>0.17327459618208499</v>
          </cell>
          <cell r="O651">
            <v>117.124819</v>
          </cell>
          <cell r="P651">
            <v>0.596868884540117</v>
          </cell>
          <cell r="Q651">
            <v>111.90301599999999</v>
          </cell>
          <cell r="R651">
            <v>0.56800391389432403</v>
          </cell>
          <cell r="S651">
            <v>47.591788999999999</v>
          </cell>
          <cell r="T651">
            <v>0.121628498727735</v>
          </cell>
          <cell r="U651">
            <v>7.3183369999999996</v>
          </cell>
          <cell r="V651">
            <v>8.1424936386768398E-2</v>
          </cell>
        </row>
        <row r="652">
          <cell r="A652" t="str">
            <v>039202</v>
          </cell>
          <cell r="B652">
            <v>1691.2</v>
          </cell>
          <cell r="C652">
            <v>478.88451300000003</v>
          </cell>
          <cell r="D652">
            <v>0.51650943396226401</v>
          </cell>
          <cell r="E652">
            <v>54.236212000000002</v>
          </cell>
          <cell r="F652">
            <v>0.320754716981132</v>
          </cell>
          <cell r="G652">
            <v>237.13687400000001</v>
          </cell>
          <cell r="H652">
            <v>0.53415783274440498</v>
          </cell>
          <cell r="I652">
            <v>107.976648</v>
          </cell>
          <cell r="J652">
            <v>0.48468786808009401</v>
          </cell>
          <cell r="K652">
            <v>417.95865199999997</v>
          </cell>
          <cell r="L652">
            <v>0.34961742201294799</v>
          </cell>
          <cell r="M652">
            <v>12.011958</v>
          </cell>
          <cell r="N652">
            <v>0.102413184226015</v>
          </cell>
          <cell r="O652">
            <v>288.90715899999998</v>
          </cell>
          <cell r="P652">
            <v>1.18090748379493</v>
          </cell>
          <cell r="Q652">
            <v>267.93548399999997</v>
          </cell>
          <cell r="R652">
            <v>1.1514437242192099</v>
          </cell>
          <cell r="S652">
            <v>5.9311109999999996</v>
          </cell>
          <cell r="T652">
            <v>8.4033613445378103E-2</v>
          </cell>
          <cell r="U652">
            <v>5.8370639999999998</v>
          </cell>
          <cell r="V652">
            <v>8.3433373349339701E-2</v>
          </cell>
        </row>
        <row r="653">
          <cell r="A653" t="str">
            <v>039301</v>
          </cell>
          <cell r="B653">
            <v>874.5</v>
          </cell>
          <cell r="C653">
            <v>76.600517999999994</v>
          </cell>
          <cell r="D653">
            <v>0.36883408071748802</v>
          </cell>
          <cell r="E653">
            <v>37.336212000000003</v>
          </cell>
          <cell r="F653">
            <v>0.33856502242152398</v>
          </cell>
          <cell r="G653">
            <v>33.035116000000002</v>
          </cell>
          <cell r="H653">
            <v>0.125</v>
          </cell>
          <cell r="I653">
            <v>33.035116000000002</v>
          </cell>
          <cell r="J653">
            <v>0.125</v>
          </cell>
          <cell r="K653">
            <v>358.390671</v>
          </cell>
          <cell r="L653">
            <v>1.1182432432432401</v>
          </cell>
          <cell r="M653">
            <v>14.909027</v>
          </cell>
          <cell r="N653">
            <v>0.13626126126126101</v>
          </cell>
          <cell r="O653">
            <v>598.99619600000005</v>
          </cell>
          <cell r="P653">
            <v>1.2208737864077599</v>
          </cell>
          <cell r="Q653">
            <v>26.470165000000001</v>
          </cell>
          <cell r="R653">
            <v>0.127427184466019</v>
          </cell>
          <cell r="S653">
            <v>225.542115</v>
          </cell>
          <cell r="T653">
            <v>1.5190582959641199</v>
          </cell>
          <cell r="U653">
            <v>225.542115</v>
          </cell>
          <cell r="V653">
            <v>1.5190582959641199</v>
          </cell>
        </row>
        <row r="654">
          <cell r="A654" t="str">
            <v>039302</v>
          </cell>
          <cell r="B654">
            <v>840.44444399999998</v>
          </cell>
          <cell r="C654">
            <v>109.618655</v>
          </cell>
          <cell r="D654">
            <v>1.21593533487297</v>
          </cell>
          <cell r="E654">
            <v>109.618655</v>
          </cell>
          <cell r="F654">
            <v>1.21593533487297</v>
          </cell>
          <cell r="G654">
            <v>45.008091999999998</v>
          </cell>
          <cell r="H654">
            <v>0.16454229432213199</v>
          </cell>
          <cell r="I654">
            <v>29.970341000000001</v>
          </cell>
          <cell r="J654">
            <v>0.132097334878331</v>
          </cell>
          <cell r="K654">
            <v>96.212078000000005</v>
          </cell>
          <cell r="L654">
            <v>0.38148148148148098</v>
          </cell>
          <cell r="M654">
            <v>46.683539000000003</v>
          </cell>
          <cell r="N654">
            <v>0.329629629629629</v>
          </cell>
          <cell r="O654">
            <v>399.64292799999998</v>
          </cell>
          <cell r="P654">
            <v>0.43757575757575701</v>
          </cell>
          <cell r="Q654">
            <v>88.016242000000005</v>
          </cell>
          <cell r="R654">
            <v>0.23030303030303001</v>
          </cell>
          <cell r="S654">
            <v>294.11496199999999</v>
          </cell>
          <cell r="T654">
            <v>0.86603995299647396</v>
          </cell>
          <cell r="U654">
            <v>293.75732399999998</v>
          </cell>
          <cell r="V654">
            <v>0.86486486486486402</v>
          </cell>
        </row>
        <row r="655">
          <cell r="A655" t="str">
            <v>039303</v>
          </cell>
          <cell r="B655">
            <v>1469.333333</v>
          </cell>
          <cell r="C655">
            <v>166.490095</v>
          </cell>
          <cell r="D655">
            <v>1.7230639730639701</v>
          </cell>
          <cell r="E655">
            <v>166.490095</v>
          </cell>
          <cell r="F655">
            <v>1.7230639730639701</v>
          </cell>
          <cell r="G655">
            <v>26.586915999999999</v>
          </cell>
          <cell r="H655">
            <v>7.7125906394199001E-2</v>
          </cell>
          <cell r="I655">
            <v>24.805917000000001</v>
          </cell>
          <cell r="J655">
            <v>6.7897165458141007E-2</v>
          </cell>
          <cell r="K655">
            <v>72.130341999999999</v>
          </cell>
          <cell r="L655">
            <v>0.28618205631957999</v>
          </cell>
          <cell r="M655">
            <v>27.372615</v>
          </cell>
          <cell r="N655">
            <v>0.24623444662737301</v>
          </cell>
          <cell r="O655">
            <v>622.64015199999994</v>
          </cell>
          <cell r="P655">
            <v>0.91432488005483203</v>
          </cell>
          <cell r="Q655">
            <v>109.96034899999999</v>
          </cell>
          <cell r="R655">
            <v>0.49760109664153501</v>
          </cell>
          <cell r="S655">
            <v>87.514827999999994</v>
          </cell>
          <cell r="T655">
            <v>0.57887788778877802</v>
          </cell>
          <cell r="U655">
            <v>87.329415999999995</v>
          </cell>
          <cell r="V655">
            <v>0.57821782178217795</v>
          </cell>
        </row>
        <row r="656">
          <cell r="A656" t="str">
            <v>039401</v>
          </cell>
          <cell r="B656">
            <v>1040.8</v>
          </cell>
          <cell r="C656">
            <v>4906.9688539999997</v>
          </cell>
          <cell r="D656">
            <v>1.4373814041745701</v>
          </cell>
          <cell r="E656">
            <v>211.54071999999999</v>
          </cell>
          <cell r="F656">
            <v>0.15939278937381399</v>
          </cell>
          <cell r="G656">
            <v>631.46831399999996</v>
          </cell>
          <cell r="H656">
            <v>1.1796801505173999</v>
          </cell>
          <cell r="I656">
            <v>145.417472</v>
          </cell>
          <cell r="J656">
            <v>0.72530573847601099</v>
          </cell>
          <cell r="K656">
            <v>1734.7788310000001</v>
          </cell>
          <cell r="L656">
            <v>1.83947119924457</v>
          </cell>
          <cell r="M656">
            <v>379.61010299999998</v>
          </cell>
          <cell r="N656">
            <v>1.1907459867799799</v>
          </cell>
          <cell r="O656">
            <v>159.36281199999999</v>
          </cell>
          <cell r="P656">
            <v>0.99421965317919003</v>
          </cell>
          <cell r="Q656">
            <v>125.292726</v>
          </cell>
          <cell r="R656">
            <v>0.94701348747591496</v>
          </cell>
          <cell r="S656">
            <v>27.219999000000001</v>
          </cell>
          <cell r="T656">
            <v>0.21414141414141399</v>
          </cell>
          <cell r="U656">
            <v>17.402946</v>
          </cell>
          <cell r="V656">
            <v>0.18686868686868599</v>
          </cell>
        </row>
        <row r="657">
          <cell r="A657" t="str">
            <v>039402</v>
          </cell>
          <cell r="B657">
            <v>794.6</v>
          </cell>
          <cell r="C657">
            <v>3405.610968</v>
          </cell>
          <cell r="D657">
            <v>1.5955610357583201</v>
          </cell>
          <cell r="E657">
            <v>18.515162</v>
          </cell>
          <cell r="F657">
            <v>0.170160295930949</v>
          </cell>
          <cell r="G657">
            <v>495.81308899999999</v>
          </cell>
          <cell r="H657">
            <v>1.39851485148514</v>
          </cell>
          <cell r="I657">
            <v>222.764906</v>
          </cell>
          <cell r="J657">
            <v>0.68688118811881105</v>
          </cell>
          <cell r="K657">
            <v>506.18635699999999</v>
          </cell>
          <cell r="L657">
            <v>1.1301627033792201</v>
          </cell>
          <cell r="M657">
            <v>409.10608999999999</v>
          </cell>
          <cell r="N657">
            <v>1.09136420525657</v>
          </cell>
          <cell r="O657">
            <v>103.410448</v>
          </cell>
          <cell r="P657">
            <v>0.29187817258883197</v>
          </cell>
          <cell r="Q657">
            <v>101.478976</v>
          </cell>
          <cell r="R657">
            <v>0.281725888324873</v>
          </cell>
          <cell r="S657">
            <v>268.58943900000003</v>
          </cell>
          <cell r="T657">
            <v>0.52933507170795302</v>
          </cell>
          <cell r="U657">
            <v>20.530681999999999</v>
          </cell>
          <cell r="V657">
            <v>0.22164276401564501</v>
          </cell>
        </row>
        <row r="658">
          <cell r="A658" t="str">
            <v>039501</v>
          </cell>
          <cell r="B658">
            <v>47.25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1.8479159999999999</v>
          </cell>
          <cell r="H658">
            <v>2.0833333333333301E-2</v>
          </cell>
          <cell r="I658">
            <v>1.8479159999999999</v>
          </cell>
          <cell r="J658">
            <v>2.0833333333333301E-2</v>
          </cell>
          <cell r="K658">
            <v>29.155673</v>
          </cell>
          <cell r="L658">
            <v>4.2553191489361701E-2</v>
          </cell>
          <cell r="M658">
            <v>2.2989359999999999</v>
          </cell>
          <cell r="N658">
            <v>2.1276595744680799E-2</v>
          </cell>
          <cell r="O658">
            <v>1379.697163</v>
          </cell>
          <cell r="P658">
            <v>15.297872340425499</v>
          </cell>
          <cell r="Q658">
            <v>1379.697163</v>
          </cell>
          <cell r="R658">
            <v>15.297872340425499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</row>
        <row r="659">
          <cell r="A659" t="str">
            <v>039502</v>
          </cell>
          <cell r="B659">
            <v>1184.444444</v>
          </cell>
          <cell r="C659">
            <v>403.38131199999998</v>
          </cell>
          <cell r="D659">
            <v>0.60950764006791103</v>
          </cell>
          <cell r="E659">
            <v>11.348039999999999</v>
          </cell>
          <cell r="F659">
            <v>0.14176570458404</v>
          </cell>
          <cell r="G659">
            <v>13.031395</v>
          </cell>
          <cell r="H659">
            <v>6.8907563025210006E-2</v>
          </cell>
          <cell r="I659">
            <v>7.4296420000000003</v>
          </cell>
          <cell r="J659">
            <v>5.63025210084033E-2</v>
          </cell>
          <cell r="K659">
            <v>73.545653999999999</v>
          </cell>
          <cell r="L659">
            <v>0.28679562657695501</v>
          </cell>
          <cell r="M659">
            <v>68.023394999999994</v>
          </cell>
          <cell r="N659">
            <v>0.28511354079057999</v>
          </cell>
          <cell r="O659">
            <v>114.90489599999999</v>
          </cell>
          <cell r="P659">
            <v>0.69612794612794604</v>
          </cell>
          <cell r="Q659">
            <v>114.90489599999999</v>
          </cell>
          <cell r="R659">
            <v>0.69612794612794604</v>
          </cell>
          <cell r="S659">
            <v>147.08085800000001</v>
          </cell>
          <cell r="T659">
            <v>0.37743850720949901</v>
          </cell>
          <cell r="U659">
            <v>16.638477999999999</v>
          </cell>
          <cell r="V659">
            <v>0.22985581000848099</v>
          </cell>
        </row>
        <row r="660">
          <cell r="A660" t="str">
            <v>039504</v>
          </cell>
          <cell r="B660">
            <v>1607.6</v>
          </cell>
          <cell r="C660">
            <v>497.89073300000001</v>
          </cell>
          <cell r="D660">
            <v>2.1703567035670299</v>
          </cell>
          <cell r="E660">
            <v>373.92640899999998</v>
          </cell>
          <cell r="F660">
            <v>2.0842558425584201</v>
          </cell>
          <cell r="G660">
            <v>272.23903999999999</v>
          </cell>
          <cell r="H660">
            <v>0.81378026070763498</v>
          </cell>
          <cell r="I660">
            <v>139.68061599999999</v>
          </cell>
          <cell r="J660">
            <v>0.65611421477343201</v>
          </cell>
          <cell r="K660">
            <v>1352.0806170000001</v>
          </cell>
          <cell r="L660">
            <v>3.1337064676616899</v>
          </cell>
          <cell r="M660">
            <v>241.10220699999999</v>
          </cell>
          <cell r="N660">
            <v>1.32338308457711</v>
          </cell>
          <cell r="O660">
            <v>1046.6888739999999</v>
          </cell>
          <cell r="P660">
            <v>2.2817783343769502</v>
          </cell>
          <cell r="Q660">
            <v>334.52971100000002</v>
          </cell>
          <cell r="R660">
            <v>1.7401377582968001</v>
          </cell>
          <cell r="S660">
            <v>3559.2080299999998</v>
          </cell>
          <cell r="T660">
            <v>2.6484962406014998</v>
          </cell>
          <cell r="U660">
            <v>238.61798200000001</v>
          </cell>
          <cell r="V660">
            <v>0.77443609022556303</v>
          </cell>
        </row>
        <row r="661">
          <cell r="A661" t="str">
            <v>039505</v>
          </cell>
          <cell r="B661">
            <v>561</v>
          </cell>
          <cell r="C661">
            <v>25.138960000000001</v>
          </cell>
          <cell r="D661">
            <v>0.19931271477663201</v>
          </cell>
          <cell r="E661">
            <v>23.278673000000001</v>
          </cell>
          <cell r="F661">
            <v>0.19759450171821299</v>
          </cell>
          <cell r="G661">
            <v>99.947284999999994</v>
          </cell>
          <cell r="H661">
            <v>0.28076256499133401</v>
          </cell>
          <cell r="I661">
            <v>99.947284999999994</v>
          </cell>
          <cell r="J661">
            <v>0.28076256499133401</v>
          </cell>
          <cell r="K661">
            <v>83.519282000000004</v>
          </cell>
          <cell r="L661">
            <v>0.41622574955908198</v>
          </cell>
          <cell r="M661">
            <v>65.171486999999999</v>
          </cell>
          <cell r="N661">
            <v>0.41269841269841201</v>
          </cell>
          <cell r="O661">
            <v>612.15224499999999</v>
          </cell>
          <cell r="P661">
            <v>0.60655737704918</v>
          </cell>
          <cell r="Q661">
            <v>14.183363</v>
          </cell>
          <cell r="R661">
            <v>2.5500910746812301E-2</v>
          </cell>
          <cell r="S661">
            <v>1802.0926260000001</v>
          </cell>
          <cell r="T661">
            <v>1.4498141263940501</v>
          </cell>
          <cell r="U661">
            <v>110.726765</v>
          </cell>
          <cell r="V661">
            <v>0.51115241635687703</v>
          </cell>
        </row>
        <row r="662">
          <cell r="A662" t="str">
            <v>039601</v>
          </cell>
          <cell r="B662">
            <v>2007</v>
          </cell>
          <cell r="C662">
            <v>324.262248</v>
          </cell>
          <cell r="D662">
            <v>1.21466431095406</v>
          </cell>
          <cell r="E662">
            <v>323.38344499999999</v>
          </cell>
          <cell r="F662">
            <v>1.2120141342756099</v>
          </cell>
          <cell r="G662">
            <v>1115.874343</v>
          </cell>
          <cell r="H662">
            <v>3.0008956560680602</v>
          </cell>
          <cell r="I662">
            <v>900.73443399999996</v>
          </cell>
          <cell r="J662">
            <v>2.3806538289296899</v>
          </cell>
          <cell r="K662">
            <v>3586.4087079999999</v>
          </cell>
          <cell r="L662">
            <v>2.9504242965609602</v>
          </cell>
          <cell r="M662">
            <v>619.80183799999998</v>
          </cell>
          <cell r="N662">
            <v>2.00267976775346</v>
          </cell>
          <cell r="O662">
            <v>1316.1941099999999</v>
          </cell>
          <cell r="P662">
            <v>5.9324686940965998</v>
          </cell>
          <cell r="Q662">
            <v>1232.701341</v>
          </cell>
          <cell r="R662">
            <v>5.7195885509838904</v>
          </cell>
          <cell r="S662">
            <v>294.51666499999999</v>
          </cell>
          <cell r="T662">
            <v>1.5813211845102499</v>
          </cell>
          <cell r="U662">
            <v>247.76218600000001</v>
          </cell>
          <cell r="V662">
            <v>1.29794988610478</v>
          </cell>
        </row>
        <row r="663">
          <cell r="A663" t="str">
            <v>039602</v>
          </cell>
          <cell r="B663">
            <v>3328.4</v>
          </cell>
          <cell r="C663">
            <v>176.58350200000001</v>
          </cell>
          <cell r="D663">
            <v>0.83318518518518503</v>
          </cell>
          <cell r="E663">
            <v>176.30419900000001</v>
          </cell>
          <cell r="F663">
            <v>0.83288888888888801</v>
          </cell>
          <cell r="G663">
            <v>461.77263099999999</v>
          </cell>
          <cell r="H663">
            <v>1.4081024724456299</v>
          </cell>
          <cell r="I663">
            <v>278.63012900000001</v>
          </cell>
          <cell r="J663">
            <v>1.3413762287756901</v>
          </cell>
          <cell r="K663">
            <v>1057.532563</v>
          </cell>
          <cell r="L663">
            <v>1.5728328865058001</v>
          </cell>
          <cell r="M663">
            <v>308.31386099999997</v>
          </cell>
          <cell r="N663">
            <v>1.0908549299970201</v>
          </cell>
          <cell r="O663">
            <v>1857.395092</v>
          </cell>
          <cell r="P663">
            <v>5.19091751621872</v>
          </cell>
          <cell r="Q663">
            <v>1080.1638390000001</v>
          </cell>
          <cell r="R663">
            <v>3.9650911337658301</v>
          </cell>
          <cell r="S663">
            <v>120.06185000000001</v>
          </cell>
          <cell r="T663">
            <v>0.59529553679131397</v>
          </cell>
          <cell r="U663">
            <v>109.052447</v>
          </cell>
          <cell r="V663">
            <v>0.58624849215922703</v>
          </cell>
        </row>
        <row r="664">
          <cell r="A664" t="str">
            <v>039701</v>
          </cell>
          <cell r="B664">
            <v>554.20000000000005</v>
          </cell>
          <cell r="C664">
            <v>1845.0310529999999</v>
          </cell>
          <cell r="D664">
            <v>1.7889087656529501</v>
          </cell>
          <cell r="E664">
            <v>177.101293</v>
          </cell>
          <cell r="F664">
            <v>1.0626118067978501</v>
          </cell>
          <cell r="G664">
            <v>1616.211487</v>
          </cell>
          <cell r="H664">
            <v>1.58243727598566</v>
          </cell>
          <cell r="I664">
            <v>163.81922499999999</v>
          </cell>
          <cell r="J664">
            <v>0.87634408602150504</v>
          </cell>
          <cell r="K664">
            <v>1660.229585</v>
          </cell>
          <cell r="L664">
            <v>3.0377697841726601</v>
          </cell>
          <cell r="M664">
            <v>163.71519699999999</v>
          </cell>
          <cell r="N664">
            <v>1.60791366906474</v>
          </cell>
          <cell r="O664">
            <v>144.932692</v>
          </cell>
          <cell r="P664">
            <v>1.01645338208409</v>
          </cell>
          <cell r="Q664">
            <v>127.38031599999999</v>
          </cell>
          <cell r="R664">
            <v>0.99268738574040205</v>
          </cell>
          <cell r="S664">
            <v>435.454566</v>
          </cell>
          <cell r="T664">
            <v>2.1633393829401002</v>
          </cell>
          <cell r="U664">
            <v>239.455716</v>
          </cell>
          <cell r="V664">
            <v>1.9183303085299399</v>
          </cell>
        </row>
        <row r="665">
          <cell r="A665" t="str">
            <v>039702</v>
          </cell>
          <cell r="B665">
            <v>674.2</v>
          </cell>
          <cell r="C665">
            <v>94.687931000000006</v>
          </cell>
          <cell r="D665">
            <v>0.438235294117647</v>
          </cell>
          <cell r="E665">
            <v>78.783863999999994</v>
          </cell>
          <cell r="F665">
            <v>0.43235294117647</v>
          </cell>
          <cell r="G665">
            <v>686.97268399999996</v>
          </cell>
          <cell r="H665">
            <v>1.1767304860088299</v>
          </cell>
          <cell r="I665">
            <v>125.734701</v>
          </cell>
          <cell r="J665">
            <v>0.85861561119292995</v>
          </cell>
          <cell r="K665">
            <v>541.27296999999999</v>
          </cell>
          <cell r="L665">
            <v>1.2976539589442799</v>
          </cell>
          <cell r="M665">
            <v>182.18000900000001</v>
          </cell>
          <cell r="N665">
            <v>0.97067448680351898</v>
          </cell>
          <cell r="O665">
            <v>464.534268</v>
          </cell>
          <cell r="P665">
            <v>1.46130500758725</v>
          </cell>
          <cell r="Q665">
            <v>229.214339</v>
          </cell>
          <cell r="R665">
            <v>1.12898330804248</v>
          </cell>
          <cell r="S665">
            <v>537.35876699999994</v>
          </cell>
          <cell r="T665">
            <v>1.3233979135618399</v>
          </cell>
          <cell r="U665">
            <v>201.316641</v>
          </cell>
          <cell r="V665">
            <v>0.68703427719821097</v>
          </cell>
        </row>
        <row r="666">
          <cell r="A666" t="str">
            <v>039801</v>
          </cell>
          <cell r="B666">
            <v>1277.875</v>
          </cell>
          <cell r="C666">
            <v>22.304949000000001</v>
          </cell>
          <cell r="D666">
            <v>0.106780982073265</v>
          </cell>
          <cell r="E666">
            <v>22.304949000000001</v>
          </cell>
          <cell r="F666">
            <v>0.106780982073265</v>
          </cell>
          <cell r="G666">
            <v>31.764149</v>
          </cell>
          <cell r="H666">
            <v>8.1775700934579407E-2</v>
          </cell>
          <cell r="I666">
            <v>10.243479000000001</v>
          </cell>
          <cell r="J666">
            <v>6.6199376947040395E-2</v>
          </cell>
          <cell r="K666">
            <v>156.91519600000001</v>
          </cell>
          <cell r="L666">
            <v>0.23244929797191799</v>
          </cell>
          <cell r="M666">
            <v>23.122997000000002</v>
          </cell>
          <cell r="N666">
            <v>0.18330733229329099</v>
          </cell>
          <cell r="O666">
            <v>116.88305800000001</v>
          </cell>
          <cell r="P666">
            <v>0.97720125786163503</v>
          </cell>
          <cell r="Q666">
            <v>116.88305800000001</v>
          </cell>
          <cell r="R666">
            <v>0.97720125786163503</v>
          </cell>
          <cell r="S666">
            <v>373.50362699999999</v>
          </cell>
          <cell r="T666">
            <v>1.75394321766561</v>
          </cell>
          <cell r="U666">
            <v>370.61435299999999</v>
          </cell>
          <cell r="V666">
            <v>1.7397476340694</v>
          </cell>
        </row>
        <row r="667">
          <cell r="A667" t="str">
            <v>039802</v>
          </cell>
          <cell r="B667">
            <v>1182.777777</v>
          </cell>
          <cell r="C667">
            <v>25.177520000000001</v>
          </cell>
          <cell r="D667">
            <v>7.2058823529411703E-2</v>
          </cell>
          <cell r="E667">
            <v>14.007104</v>
          </cell>
          <cell r="F667">
            <v>4.7058823529411702E-2</v>
          </cell>
          <cell r="G667">
            <v>32.699210000000001</v>
          </cell>
          <cell r="H667">
            <v>0.71086142322097301</v>
          </cell>
          <cell r="I667">
            <v>32.699210000000001</v>
          </cell>
          <cell r="J667">
            <v>0.71086142322097301</v>
          </cell>
          <cell r="K667">
            <v>81.119314000000003</v>
          </cell>
          <cell r="L667">
            <v>0.249246987951807</v>
          </cell>
          <cell r="M667">
            <v>78.860541999999995</v>
          </cell>
          <cell r="N667">
            <v>0.248493975903614</v>
          </cell>
          <cell r="O667">
            <v>14.471558999999999</v>
          </cell>
          <cell r="P667">
            <v>3.9245283018867899E-2</v>
          </cell>
          <cell r="Q667">
            <v>14.155559</v>
          </cell>
          <cell r="R667">
            <v>3.7735849056603703E-2</v>
          </cell>
          <cell r="S667">
            <v>292.30916500000001</v>
          </cell>
          <cell r="T667">
            <v>1.10287443267776</v>
          </cell>
          <cell r="U667">
            <v>289.348298</v>
          </cell>
          <cell r="V667">
            <v>1.09379727685325</v>
          </cell>
        </row>
        <row r="668">
          <cell r="A668" t="str">
            <v>039803</v>
          </cell>
          <cell r="B668">
            <v>1332.375</v>
          </cell>
          <cell r="C668">
            <v>17.969947999999999</v>
          </cell>
          <cell r="D668">
            <v>9.5131086142322005E-2</v>
          </cell>
          <cell r="E668">
            <v>17.969947999999999</v>
          </cell>
          <cell r="F668">
            <v>9.5131086142322005E-2</v>
          </cell>
          <cell r="G668">
            <v>34.335306000000003</v>
          </cell>
          <cell r="H668">
            <v>5.7721139430284799E-2</v>
          </cell>
          <cell r="I668">
            <v>11.069784</v>
          </cell>
          <cell r="J668">
            <v>5.1724137931034399E-2</v>
          </cell>
          <cell r="K668">
            <v>137.326043</v>
          </cell>
          <cell r="L668">
            <v>0.66541635408852196</v>
          </cell>
          <cell r="M668">
            <v>134.12614400000001</v>
          </cell>
          <cell r="N668">
            <v>0.66466616654163502</v>
          </cell>
          <cell r="O668">
            <v>66.961039999999997</v>
          </cell>
          <cell r="P668">
            <v>0.51347305389221498</v>
          </cell>
          <cell r="Q668">
            <v>66.961039999999997</v>
          </cell>
          <cell r="R668">
            <v>0.51347305389221498</v>
          </cell>
          <cell r="S668">
            <v>321.85739699999999</v>
          </cell>
          <cell r="T668">
            <v>1.18914845516201</v>
          </cell>
          <cell r="U668">
            <v>321.51263499999999</v>
          </cell>
          <cell r="V668">
            <v>1.18462697814619</v>
          </cell>
        </row>
        <row r="669">
          <cell r="A669" t="str">
            <v>040101</v>
          </cell>
          <cell r="B669">
            <v>515.6</v>
          </cell>
          <cell r="C669">
            <v>988.72769800000003</v>
          </cell>
          <cell r="D669">
            <v>3.49659863945578</v>
          </cell>
          <cell r="E669">
            <v>947.80786699999999</v>
          </cell>
          <cell r="F669">
            <v>3.38095238095238</v>
          </cell>
          <cell r="G669">
            <v>321.70662600000003</v>
          </cell>
          <cell r="H669">
            <v>1.32342657342657</v>
          </cell>
          <cell r="I669">
            <v>98.235191999999998</v>
          </cell>
          <cell r="J669">
            <v>0.74825174825174801</v>
          </cell>
          <cell r="K669">
            <v>423.24216300000001</v>
          </cell>
          <cell r="L669">
            <v>2.1684210526315701</v>
          </cell>
          <cell r="M669">
            <v>268.34283599999998</v>
          </cell>
          <cell r="N669">
            <v>1.6561403508771899</v>
          </cell>
          <cell r="O669">
            <v>433.54889400000002</v>
          </cell>
          <cell r="P669">
            <v>1.70157068062827</v>
          </cell>
          <cell r="Q669">
            <v>414.37428699999998</v>
          </cell>
          <cell r="R669">
            <v>1.6300174520069799</v>
          </cell>
          <cell r="S669">
            <v>615.14235399999995</v>
          </cell>
          <cell r="T669">
            <v>3.4727592267135301</v>
          </cell>
          <cell r="U669">
            <v>441.30913800000002</v>
          </cell>
          <cell r="V669">
            <v>2.5413005272407698</v>
          </cell>
        </row>
        <row r="670">
          <cell r="A670" t="str">
            <v>040102</v>
          </cell>
          <cell r="B670">
            <v>870.2</v>
          </cell>
          <cell r="C670">
            <v>1756.527335</v>
          </cell>
          <cell r="D670">
            <v>3.3356009070294701</v>
          </cell>
          <cell r="E670">
            <v>990.72379100000001</v>
          </cell>
          <cell r="F670">
            <v>2.1235827664398998</v>
          </cell>
          <cell r="G670">
            <v>1227.307155</v>
          </cell>
          <cell r="H670">
            <v>1.7736063708759899</v>
          </cell>
          <cell r="I670">
            <v>48.239041</v>
          </cell>
          <cell r="J670">
            <v>0.29237770193401502</v>
          </cell>
          <cell r="K670">
            <v>125.73010600000001</v>
          </cell>
          <cell r="L670">
            <v>0.21191294387170601</v>
          </cell>
          <cell r="M670">
            <v>25.654409999999999</v>
          </cell>
          <cell r="N670">
            <v>0.106529209621993</v>
          </cell>
          <cell r="O670">
            <v>683.43919800000003</v>
          </cell>
          <cell r="P670">
            <v>1.8675958188153301</v>
          </cell>
          <cell r="Q670">
            <v>304.27351900000002</v>
          </cell>
          <cell r="R670">
            <v>1.1219512195121899</v>
          </cell>
          <cell r="S670">
            <v>277.67632300000002</v>
          </cell>
          <cell r="T670">
            <v>1.3107476635513999</v>
          </cell>
          <cell r="U670">
            <v>269.99069300000002</v>
          </cell>
          <cell r="V670">
            <v>1.2745327102803701</v>
          </cell>
        </row>
        <row r="671">
          <cell r="A671" t="str">
            <v>040201</v>
          </cell>
          <cell r="B671">
            <v>906.2</v>
          </cell>
          <cell r="C671">
            <v>131.29683499999999</v>
          </cell>
          <cell r="D671">
            <v>0.40264026402640202</v>
          </cell>
          <cell r="E671">
            <v>129.87013200000001</v>
          </cell>
          <cell r="F671">
            <v>0.39823982398239799</v>
          </cell>
          <cell r="G671">
            <v>364.06787200000002</v>
          </cell>
          <cell r="H671">
            <v>0.85745856353591099</v>
          </cell>
          <cell r="I671">
            <v>29.091511000000001</v>
          </cell>
          <cell r="J671">
            <v>0.243093922651933</v>
          </cell>
          <cell r="K671">
            <v>162.02507299999999</v>
          </cell>
          <cell r="L671">
            <v>0.43267108167770402</v>
          </cell>
          <cell r="M671">
            <v>30.984970000000001</v>
          </cell>
          <cell r="N671">
            <v>0.35320088300220698</v>
          </cell>
          <cell r="O671">
            <v>25.281734</v>
          </cell>
          <cell r="P671">
            <v>0.113561190738699</v>
          </cell>
          <cell r="Q671">
            <v>13.634325</v>
          </cell>
          <cell r="R671">
            <v>0.10915104740904</v>
          </cell>
          <cell r="S671">
            <v>1359.8221229999999</v>
          </cell>
          <cell r="T671">
            <v>0.82632743362831795</v>
          </cell>
          <cell r="U671">
            <v>27.794985</v>
          </cell>
          <cell r="V671">
            <v>0.130530973451327</v>
          </cell>
        </row>
        <row r="672">
          <cell r="A672" t="str">
            <v>040202</v>
          </cell>
          <cell r="B672">
            <v>1941.6</v>
          </cell>
          <cell r="C672">
            <v>41.155020999999998</v>
          </cell>
          <cell r="D672">
            <v>0.239229599594526</v>
          </cell>
          <cell r="E672">
            <v>40.343153999999998</v>
          </cell>
          <cell r="F672">
            <v>0.23720223010643601</v>
          </cell>
          <cell r="G672">
            <v>2659.1367770000002</v>
          </cell>
          <cell r="H672">
            <v>3.34773767158108</v>
          </cell>
          <cell r="I672">
            <v>245.72066799999999</v>
          </cell>
          <cell r="J672">
            <v>1.3756990340620201</v>
          </cell>
          <cell r="K672">
            <v>1548.414045</v>
          </cell>
          <cell r="L672">
            <v>0.96916752312435706</v>
          </cell>
          <cell r="M672">
            <v>71.082862000000006</v>
          </cell>
          <cell r="N672">
            <v>0.41572456320657702</v>
          </cell>
          <cell r="O672">
            <v>90.843525999999997</v>
          </cell>
          <cell r="P672">
            <v>0.45464025026068799</v>
          </cell>
          <cell r="Q672">
            <v>90.639354999999995</v>
          </cell>
          <cell r="R672">
            <v>0.453597497393117</v>
          </cell>
          <cell r="S672">
            <v>1453.706459</v>
          </cell>
          <cell r="T672">
            <v>1.8051470588235199</v>
          </cell>
          <cell r="U672">
            <v>232.284952</v>
          </cell>
          <cell r="V672">
            <v>0.685399159663865</v>
          </cell>
        </row>
        <row r="673">
          <cell r="A673" t="str">
            <v>040301</v>
          </cell>
          <cell r="B673">
            <v>707.57142799999997</v>
          </cell>
          <cell r="C673">
            <v>35.119413999999999</v>
          </cell>
          <cell r="D673">
            <v>6.5510597302504803E-2</v>
          </cell>
          <cell r="E673">
            <v>35.119413999999999</v>
          </cell>
          <cell r="F673">
            <v>6.5510597302504803E-2</v>
          </cell>
          <cell r="G673">
            <v>44.794621999999997</v>
          </cell>
          <cell r="H673">
            <v>0.14913957934990399</v>
          </cell>
          <cell r="I673">
            <v>43.100673999999998</v>
          </cell>
          <cell r="J673">
            <v>0.14531548757170101</v>
          </cell>
          <cell r="K673">
            <v>652.93697999999995</v>
          </cell>
          <cell r="L673">
            <v>0.64107485604606496</v>
          </cell>
          <cell r="M673">
            <v>652.93697999999995</v>
          </cell>
          <cell r="N673">
            <v>0.64107485604606496</v>
          </cell>
          <cell r="O673">
            <v>85.410064000000006</v>
          </cell>
          <cell r="P673">
            <v>1.10485436893203</v>
          </cell>
          <cell r="Q673">
            <v>85.149675999999999</v>
          </cell>
          <cell r="R673">
            <v>1.0873786407766901</v>
          </cell>
          <cell r="S673">
            <v>10.603783</v>
          </cell>
          <cell r="T673">
            <v>0.170386499727817</v>
          </cell>
          <cell r="U673">
            <v>10.603783</v>
          </cell>
          <cell r="V673">
            <v>0.170386499727817</v>
          </cell>
        </row>
        <row r="674">
          <cell r="A674" t="str">
            <v>040302</v>
          </cell>
          <cell r="B674">
            <v>1322.6666660000001</v>
          </cell>
          <cell r="C674">
            <v>368.729219</v>
          </cell>
          <cell r="D674">
            <v>0.79688605803255397</v>
          </cell>
          <cell r="E674">
            <v>241.30640099999999</v>
          </cell>
          <cell r="F674">
            <v>0.71762208067940503</v>
          </cell>
          <cell r="G674">
            <v>275.42353900000001</v>
          </cell>
          <cell r="H674">
            <v>1.33668341708542</v>
          </cell>
          <cell r="I674">
            <v>71.229984000000002</v>
          </cell>
          <cell r="J674">
            <v>0.60875807609475896</v>
          </cell>
          <cell r="K674">
            <v>767.832178</v>
          </cell>
          <cell r="L674">
            <v>0.37906137184115501</v>
          </cell>
          <cell r="M674">
            <v>170.45859200000001</v>
          </cell>
          <cell r="N674">
            <v>0.202166064981949</v>
          </cell>
          <cell r="O674">
            <v>209.124381</v>
          </cell>
          <cell r="P674">
            <v>0.48640705363703102</v>
          </cell>
          <cell r="Q674">
            <v>66.504384000000002</v>
          </cell>
          <cell r="R674">
            <v>0.35709037472446697</v>
          </cell>
          <cell r="S674">
            <v>224.53129100000001</v>
          </cell>
          <cell r="T674">
            <v>2.4525000000000001</v>
          </cell>
          <cell r="U674">
            <v>224.53129100000001</v>
          </cell>
          <cell r="V674">
            <v>2.4525000000000001</v>
          </cell>
        </row>
        <row r="675">
          <cell r="A675" t="str">
            <v>040303</v>
          </cell>
          <cell r="B675">
            <v>1370.5</v>
          </cell>
          <cell r="C675">
            <v>174.652829</v>
          </cell>
          <cell r="D675">
            <v>0.16978417266186999</v>
          </cell>
          <cell r="E675">
            <v>10.674497000000001</v>
          </cell>
          <cell r="F675">
            <v>4.5323741007194197E-2</v>
          </cell>
          <cell r="G675">
            <v>267.78625299999999</v>
          </cell>
          <cell r="H675">
            <v>0.88414192614047704</v>
          </cell>
          <cell r="I675">
            <v>254.98326499999999</v>
          </cell>
          <cell r="J675">
            <v>0.87617668356263501</v>
          </cell>
          <cell r="K675">
            <v>3093.4267930000001</v>
          </cell>
          <cell r="L675">
            <v>2.3703159441586998</v>
          </cell>
          <cell r="M675">
            <v>246.530933</v>
          </cell>
          <cell r="N675">
            <v>0.77663482733284295</v>
          </cell>
          <cell r="O675">
            <v>274.41091299999999</v>
          </cell>
          <cell r="P675">
            <v>1.0362962962962901</v>
          </cell>
          <cell r="Q675">
            <v>268.94061699999997</v>
          </cell>
          <cell r="R675">
            <v>1.0274074074074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</row>
        <row r="676">
          <cell r="A676" t="str">
            <v>040401</v>
          </cell>
          <cell r="B676">
            <v>1511.8</v>
          </cell>
          <cell r="C676">
            <v>1245.657545</v>
          </cell>
          <cell r="D676">
            <v>1.2261208576997999</v>
          </cell>
          <cell r="E676">
            <v>93.936811000000006</v>
          </cell>
          <cell r="F676">
            <v>0.27095516569200701</v>
          </cell>
          <cell r="G676">
            <v>558.99962700000003</v>
          </cell>
          <cell r="H676">
            <v>1.9682436811406301</v>
          </cell>
          <cell r="I676">
            <v>558.36289199999999</v>
          </cell>
          <cell r="J676">
            <v>1.9669475048606599</v>
          </cell>
          <cell r="K676">
            <v>167.88277199999999</v>
          </cell>
          <cell r="L676">
            <v>0.131953428201811</v>
          </cell>
          <cell r="M676">
            <v>3.9846590000000002</v>
          </cell>
          <cell r="N676">
            <v>3.8809831824062002E-2</v>
          </cell>
          <cell r="O676">
            <v>4975.4824429999999</v>
          </cell>
          <cell r="P676">
            <v>4.16797153024911</v>
          </cell>
          <cell r="Q676">
            <v>301.33789999999999</v>
          </cell>
          <cell r="R676">
            <v>3.0754448398576502</v>
          </cell>
          <cell r="S676">
            <v>340.95894399999997</v>
          </cell>
          <cell r="T676">
            <v>2.17169069462647</v>
          </cell>
          <cell r="U676">
            <v>329.19525900000002</v>
          </cell>
          <cell r="V676">
            <v>2.1120576671035298</v>
          </cell>
        </row>
        <row r="677">
          <cell r="A677" t="str">
            <v>040402</v>
          </cell>
          <cell r="B677">
            <v>645.33333300000004</v>
          </cell>
          <cell r="C677">
            <v>1315.3525770000001</v>
          </cell>
          <cell r="D677">
            <v>1.2484756097560901</v>
          </cell>
          <cell r="E677">
            <v>189.28755100000001</v>
          </cell>
          <cell r="F677">
            <v>0.48323170731707299</v>
          </cell>
          <cell r="G677">
            <v>499.12523800000002</v>
          </cell>
          <cell r="H677">
            <v>1.16413373860182</v>
          </cell>
          <cell r="I677">
            <v>465.21291300000001</v>
          </cell>
          <cell r="J677">
            <v>1.14437689969604</v>
          </cell>
          <cell r="K677">
            <v>209.78514200000001</v>
          </cell>
          <cell r="L677">
            <v>0.168195718654434</v>
          </cell>
          <cell r="M677">
            <v>13.189424000000001</v>
          </cell>
          <cell r="N677">
            <v>8.4097859327217098E-2</v>
          </cell>
          <cell r="O677">
            <v>4800.7909959999997</v>
          </cell>
          <cell r="P677">
            <v>3.43408360128617</v>
          </cell>
          <cell r="Q677">
            <v>272.36497800000001</v>
          </cell>
          <cell r="R677">
            <v>2.3569131832797399</v>
          </cell>
          <cell r="S677">
            <v>49.500025999999998</v>
          </cell>
          <cell r="T677">
            <v>0.32006369426751502</v>
          </cell>
          <cell r="U677">
            <v>49.500025999999998</v>
          </cell>
          <cell r="V677">
            <v>0.32006369426751502</v>
          </cell>
        </row>
        <row r="678">
          <cell r="A678" t="str">
            <v>040403</v>
          </cell>
          <cell r="B678">
            <v>762.33333300000004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168.46428499999999</v>
          </cell>
          <cell r="L678">
            <v>0.14935064935064901</v>
          </cell>
          <cell r="M678">
            <v>52.313636000000002</v>
          </cell>
          <cell r="N678">
            <v>0.128571428571428</v>
          </cell>
          <cell r="O678">
            <v>4696.0974349999997</v>
          </cell>
          <cell r="P678">
            <v>3.2745358090185599</v>
          </cell>
          <cell r="Q678">
            <v>335.76304099999999</v>
          </cell>
          <cell r="R678">
            <v>2.2307692307692299</v>
          </cell>
          <cell r="S678">
            <v>276.09705000000002</v>
          </cell>
          <cell r="T678">
            <v>0.19134993446920001</v>
          </cell>
          <cell r="U678">
            <v>17.409261000000001</v>
          </cell>
          <cell r="V678">
            <v>7.4705111402359095E-2</v>
          </cell>
        </row>
        <row r="679">
          <cell r="A679" t="str">
            <v>040501</v>
          </cell>
          <cell r="B679">
            <v>610.55555500000003</v>
          </cell>
          <cell r="C679">
            <v>449.27634599999999</v>
          </cell>
          <cell r="D679">
            <v>0.78491171749598698</v>
          </cell>
          <cell r="E679">
            <v>211.466872</v>
          </cell>
          <cell r="F679">
            <v>0.56019261637239104</v>
          </cell>
          <cell r="G679">
            <v>15.671525000000001</v>
          </cell>
          <cell r="H679">
            <v>0.170454545454545</v>
          </cell>
          <cell r="I679">
            <v>15.362482</v>
          </cell>
          <cell r="J679">
            <v>0.168831168831168</v>
          </cell>
          <cell r="K679">
            <v>451.56682999999998</v>
          </cell>
          <cell r="L679">
            <v>0.83278688524590105</v>
          </cell>
          <cell r="M679">
            <v>176.53453500000001</v>
          </cell>
          <cell r="N679">
            <v>0.76393442622950802</v>
          </cell>
          <cell r="O679">
            <v>219.11378099999999</v>
          </cell>
          <cell r="P679">
            <v>1.7720465890182999</v>
          </cell>
          <cell r="Q679">
            <v>217.81344899999999</v>
          </cell>
          <cell r="R679">
            <v>1.7620632279534101</v>
          </cell>
          <cell r="S679">
            <v>205.94025199999999</v>
          </cell>
          <cell r="T679">
            <v>0.50588235294117601</v>
          </cell>
          <cell r="U679">
            <v>205.94025199999999</v>
          </cell>
          <cell r="V679">
            <v>0.50588235294117601</v>
          </cell>
        </row>
        <row r="680">
          <cell r="A680" t="str">
            <v>040502</v>
          </cell>
          <cell r="B680">
            <v>1053.4000000000001</v>
          </cell>
          <cell r="C680">
            <v>464.01636000000002</v>
          </cell>
          <cell r="D680">
            <v>0.87950664136622303</v>
          </cell>
          <cell r="E680">
            <v>101.854466</v>
          </cell>
          <cell r="F680">
            <v>0.68311195445920303</v>
          </cell>
          <cell r="G680">
            <v>59.061706999999998</v>
          </cell>
          <cell r="H680">
            <v>0.71889838556505203</v>
          </cell>
          <cell r="I680">
            <v>57.492654000000002</v>
          </cell>
          <cell r="J680">
            <v>0.71604938271604901</v>
          </cell>
          <cell r="K680">
            <v>64.852345999999997</v>
          </cell>
          <cell r="L680">
            <v>0.52997145575642202</v>
          </cell>
          <cell r="M680">
            <v>58.229511000000002</v>
          </cell>
          <cell r="N680">
            <v>0.52426260704091299</v>
          </cell>
          <cell r="O680">
            <v>6.4056649999999999</v>
          </cell>
          <cell r="P680">
            <v>8.1439393939393895E-2</v>
          </cell>
          <cell r="Q680">
            <v>5.3525559999999999</v>
          </cell>
          <cell r="R680">
            <v>7.67045454545454E-2</v>
          </cell>
          <cell r="S680">
            <v>319.04363599999999</v>
          </cell>
          <cell r="T680">
            <v>0.63912630579297203</v>
          </cell>
          <cell r="U680">
            <v>293.31593800000002</v>
          </cell>
          <cell r="V680">
            <v>0.552706552706552</v>
          </cell>
        </row>
        <row r="681">
          <cell r="A681" t="str">
            <v>040503</v>
          </cell>
          <cell r="B681">
            <v>464.77777700000001</v>
          </cell>
          <cell r="C681">
            <v>573.29156599999999</v>
          </cell>
          <cell r="D681">
            <v>2.03640256959314</v>
          </cell>
          <cell r="E681">
            <v>29.895067999999998</v>
          </cell>
          <cell r="F681">
            <v>0.115631691648822</v>
          </cell>
          <cell r="G681">
            <v>104.353404</v>
          </cell>
          <cell r="H681">
            <v>0.53319057815845805</v>
          </cell>
          <cell r="I681">
            <v>104.353404</v>
          </cell>
          <cell r="J681">
            <v>0.53319057815845805</v>
          </cell>
          <cell r="K681">
            <v>461.76584200000002</v>
          </cell>
          <cell r="L681">
            <v>0.92903225806451595</v>
          </cell>
          <cell r="M681">
            <v>62.936810000000001</v>
          </cell>
          <cell r="N681">
            <v>0.52473118279569797</v>
          </cell>
          <cell r="O681">
            <v>68.255662999999998</v>
          </cell>
          <cell r="P681">
            <v>0.70779220779220697</v>
          </cell>
          <cell r="Q681">
            <v>67.059775999999999</v>
          </cell>
          <cell r="R681">
            <v>0.70346320346320301</v>
          </cell>
          <cell r="S681">
            <v>298.50136400000002</v>
          </cell>
          <cell r="T681">
            <v>1.4202586206896499</v>
          </cell>
          <cell r="U681">
            <v>218.89805999999999</v>
          </cell>
          <cell r="V681">
            <v>1.01508620689655</v>
          </cell>
        </row>
        <row r="682">
          <cell r="A682" t="str">
            <v>040601</v>
          </cell>
          <cell r="B682">
            <v>690.2</v>
          </cell>
          <cell r="C682">
            <v>1666.7706599999999</v>
          </cell>
          <cell r="D682">
            <v>4.2909604519773996</v>
          </cell>
          <cell r="E682">
            <v>404.49507799999998</v>
          </cell>
          <cell r="F682">
            <v>3.3771186440677901</v>
          </cell>
          <cell r="G682">
            <v>511.85424799999998</v>
          </cell>
          <cell r="H682">
            <v>0.77489177489177397</v>
          </cell>
          <cell r="I682">
            <v>120.437566</v>
          </cell>
          <cell r="J682">
            <v>0.40115440115440099</v>
          </cell>
          <cell r="K682">
            <v>3044.0087079999998</v>
          </cell>
          <cell r="L682">
            <v>3.3304221251819501</v>
          </cell>
          <cell r="M682">
            <v>291.66154699999998</v>
          </cell>
          <cell r="N682">
            <v>2.0116448326055298</v>
          </cell>
          <cell r="O682">
            <v>573.79371300000003</v>
          </cell>
          <cell r="P682">
            <v>0.93567251461988299</v>
          </cell>
          <cell r="Q682">
            <v>116.774951</v>
          </cell>
          <cell r="R682">
            <v>0.63888888888888795</v>
          </cell>
          <cell r="S682">
            <v>5307.507388</v>
          </cell>
          <cell r="T682">
            <v>6.0736377025036798</v>
          </cell>
          <cell r="U682">
            <v>267.58907699999997</v>
          </cell>
          <cell r="V682">
            <v>1.59499263622974</v>
          </cell>
        </row>
        <row r="683">
          <cell r="A683" t="str">
            <v>040602</v>
          </cell>
          <cell r="B683">
            <v>431.4</v>
          </cell>
          <cell r="C683">
            <v>2996.8531899999998</v>
          </cell>
          <cell r="D683">
            <v>2.6444954128440301</v>
          </cell>
          <cell r="E683">
            <v>280.10221100000001</v>
          </cell>
          <cell r="F683">
            <v>1.6857798165137601</v>
          </cell>
          <cell r="G683">
            <v>520.32768999999996</v>
          </cell>
          <cell r="H683">
            <v>1.30344827586206</v>
          </cell>
          <cell r="I683">
            <v>168.29789</v>
          </cell>
          <cell r="J683">
            <v>1.1126436781609099</v>
          </cell>
          <cell r="K683">
            <v>257.228857</v>
          </cell>
          <cell r="L683">
            <v>2.7199074074073999</v>
          </cell>
          <cell r="M683">
            <v>154.17384200000001</v>
          </cell>
          <cell r="N683">
            <v>2.1504629629629601</v>
          </cell>
          <cell r="O683">
            <v>184.218177</v>
          </cell>
          <cell r="P683">
            <v>1.19767441860465</v>
          </cell>
          <cell r="Q683">
            <v>72.851162000000002</v>
          </cell>
          <cell r="R683">
            <v>0.27441860465116202</v>
          </cell>
          <cell r="S683">
            <v>5281.6595509999997</v>
          </cell>
          <cell r="T683">
            <v>2.9292452830188598</v>
          </cell>
          <cell r="U683">
            <v>30.747876999999999</v>
          </cell>
          <cell r="V683">
            <v>0.28301886792452802</v>
          </cell>
        </row>
        <row r="684">
          <cell r="A684" t="str">
            <v>040701</v>
          </cell>
          <cell r="B684">
            <v>564.20000000000005</v>
          </cell>
          <cell r="C684">
            <v>9623.1534790000005</v>
          </cell>
          <cell r="D684">
            <v>3.2413793103448199</v>
          </cell>
          <cell r="E684">
            <v>143.091859</v>
          </cell>
          <cell r="F684">
            <v>1.1034482758620601</v>
          </cell>
          <cell r="G684">
            <v>1011.268691</v>
          </cell>
          <cell r="H684">
            <v>1.44603174603174</v>
          </cell>
          <cell r="I684">
            <v>354.968098</v>
          </cell>
          <cell r="J684">
            <v>1.15079365079365</v>
          </cell>
          <cell r="K684">
            <v>1434.349733</v>
          </cell>
          <cell r="L684">
            <v>6.2711323763955296</v>
          </cell>
          <cell r="M684">
            <v>228.07051999999999</v>
          </cell>
          <cell r="N684">
            <v>4.68261562998405</v>
          </cell>
          <cell r="O684">
            <v>1766.881995</v>
          </cell>
          <cell r="P684">
            <v>1.73675762439807</v>
          </cell>
          <cell r="Q684">
            <v>105.68485800000001</v>
          </cell>
          <cell r="R684">
            <v>0.73515248796147603</v>
          </cell>
          <cell r="S684">
            <v>146.22706299999999</v>
          </cell>
          <cell r="T684">
            <v>0.36977491961414699</v>
          </cell>
          <cell r="U684">
            <v>21.911360999999999</v>
          </cell>
          <cell r="V684">
            <v>0.23794212218649499</v>
          </cell>
        </row>
        <row r="685">
          <cell r="A685" t="str">
            <v>040702</v>
          </cell>
          <cell r="B685">
            <v>1493</v>
          </cell>
          <cell r="C685">
            <v>5298.0500140000004</v>
          </cell>
          <cell r="D685">
            <v>3.37889847378898</v>
          </cell>
          <cell r="E685">
            <v>184.21498099999999</v>
          </cell>
          <cell r="F685">
            <v>0.773722627737226</v>
          </cell>
          <cell r="G685">
            <v>659.73224500000003</v>
          </cell>
          <cell r="H685">
            <v>3.9760159893404299</v>
          </cell>
          <cell r="I685">
            <v>635.52452100000005</v>
          </cell>
          <cell r="J685">
            <v>3.9540306462358399</v>
          </cell>
          <cell r="K685">
            <v>786.44666099999995</v>
          </cell>
          <cell r="L685">
            <v>1.4032150033489601</v>
          </cell>
          <cell r="M685">
            <v>97.015839999999997</v>
          </cell>
          <cell r="N685">
            <v>0.27394507702612098</v>
          </cell>
          <cell r="O685">
            <v>2026.1639439999999</v>
          </cell>
          <cell r="P685">
            <v>1.84744623655913</v>
          </cell>
          <cell r="Q685">
            <v>177.87372300000001</v>
          </cell>
          <cell r="R685">
            <v>0.86021505376343999</v>
          </cell>
          <cell r="S685">
            <v>381.45141100000001</v>
          </cell>
          <cell r="T685">
            <v>1.54742547425474</v>
          </cell>
          <cell r="U685">
            <v>358.76530000000002</v>
          </cell>
          <cell r="V685">
            <v>1.3075880758807501</v>
          </cell>
        </row>
        <row r="686">
          <cell r="A686" t="str">
            <v>040801</v>
          </cell>
          <cell r="B686">
            <v>1019.333333</v>
          </cell>
          <cell r="C686">
            <v>38.023539</v>
          </cell>
          <cell r="D686">
            <v>6.3229571984435698E-2</v>
          </cell>
          <cell r="E686">
            <v>34.415463000000003</v>
          </cell>
          <cell r="F686">
            <v>4.5719844357976602E-2</v>
          </cell>
          <cell r="G686">
            <v>133.72832500000001</v>
          </cell>
          <cell r="H686">
            <v>0.86594911937377606</v>
          </cell>
          <cell r="I686">
            <v>96.272169000000005</v>
          </cell>
          <cell r="J686">
            <v>0.84735812133072397</v>
          </cell>
          <cell r="K686">
            <v>506.56658399999998</v>
          </cell>
          <cell r="L686">
            <v>2.4950980392156801</v>
          </cell>
          <cell r="M686">
            <v>476.18444399999998</v>
          </cell>
          <cell r="N686">
            <v>2.4725490196078401</v>
          </cell>
          <cell r="O686">
            <v>1453.029933</v>
          </cell>
          <cell r="P686">
            <v>2.1227722772277202</v>
          </cell>
          <cell r="Q686">
            <v>307.67110500000001</v>
          </cell>
          <cell r="R686">
            <v>1.1178217821782099</v>
          </cell>
          <cell r="S686">
            <v>209.88417100000001</v>
          </cell>
          <cell r="T686">
            <v>1.6370808678500901</v>
          </cell>
          <cell r="U686">
            <v>209.88417100000001</v>
          </cell>
          <cell r="V686">
            <v>1.6370808678500901</v>
          </cell>
        </row>
        <row r="687">
          <cell r="A687" t="str">
            <v>040802</v>
          </cell>
          <cell r="B687">
            <v>1459.5</v>
          </cell>
          <cell r="C687">
            <v>35.511001</v>
          </cell>
          <cell r="D687">
            <v>0.16564417177914101</v>
          </cell>
          <cell r="E687">
            <v>35.511001</v>
          </cell>
          <cell r="F687">
            <v>0.16564417177914101</v>
          </cell>
          <cell r="G687">
            <v>98.576054999999997</v>
          </cell>
          <cell r="H687">
            <v>8.7431693989070997E-2</v>
          </cell>
          <cell r="I687">
            <v>16.547858999999999</v>
          </cell>
          <cell r="J687">
            <v>5.8060109289617398E-2</v>
          </cell>
          <cell r="K687">
            <v>1888.486255</v>
          </cell>
          <cell r="L687">
            <v>3.0595890410958901</v>
          </cell>
          <cell r="M687">
            <v>1415.166575</v>
          </cell>
          <cell r="N687">
            <v>2.8486301369863001</v>
          </cell>
          <cell r="O687">
            <v>2281.0998960000002</v>
          </cell>
          <cell r="P687">
            <v>2.1903780068728498</v>
          </cell>
          <cell r="Q687">
            <v>313.06169499999999</v>
          </cell>
          <cell r="R687">
            <v>1.1800687285223299</v>
          </cell>
          <cell r="S687">
            <v>28.745853</v>
          </cell>
          <cell r="T687">
            <v>0.197105444521019</v>
          </cell>
          <cell r="U687">
            <v>28.745853</v>
          </cell>
          <cell r="V687">
            <v>0.197105444521019</v>
          </cell>
        </row>
        <row r="688">
          <cell r="A688" t="str">
            <v>040901</v>
          </cell>
          <cell r="B688">
            <v>1033.4000000000001</v>
          </cell>
          <cell r="C688">
            <v>211.19159099999999</v>
          </cell>
          <cell r="D688">
            <v>1.13762376237623</v>
          </cell>
          <cell r="E688">
            <v>188.527669</v>
          </cell>
          <cell r="F688">
            <v>1.07524752475247</v>
          </cell>
          <cell r="G688">
            <v>1217.1816120000001</v>
          </cell>
          <cell r="H688">
            <v>2.0950141110065799</v>
          </cell>
          <cell r="I688">
            <v>289.78599300000002</v>
          </cell>
          <cell r="J688">
            <v>1.50517403574788</v>
          </cell>
          <cell r="K688">
            <v>1938.820082</v>
          </cell>
          <cell r="L688">
            <v>2.9389895138226798</v>
          </cell>
          <cell r="M688">
            <v>316.45521100000002</v>
          </cell>
          <cell r="N688">
            <v>1.3117254528122</v>
          </cell>
          <cell r="O688">
            <v>927.35749699999997</v>
          </cell>
          <cell r="P688">
            <v>2.7994157740993102</v>
          </cell>
          <cell r="Q688">
            <v>181.664151</v>
          </cell>
          <cell r="R688">
            <v>2.4099318403115801</v>
          </cell>
          <cell r="S688">
            <v>860.35076900000001</v>
          </cell>
          <cell r="T688">
            <v>1.7622789783889901</v>
          </cell>
          <cell r="U688">
            <v>451.67251099999999</v>
          </cell>
          <cell r="V688">
            <v>1.51178781925343</v>
          </cell>
        </row>
        <row r="689">
          <cell r="A689" t="str">
            <v>040902</v>
          </cell>
          <cell r="B689">
            <v>588</v>
          </cell>
          <cell r="C689">
            <v>1118.419249</v>
          </cell>
          <cell r="D689">
            <v>3.5514333895446799</v>
          </cell>
          <cell r="E689">
            <v>811.81136200000003</v>
          </cell>
          <cell r="F689">
            <v>2.6947723440134901</v>
          </cell>
          <cell r="G689">
            <v>781.76133600000003</v>
          </cell>
          <cell r="H689">
            <v>1.5322033898305001</v>
          </cell>
          <cell r="I689">
            <v>340.63911999999999</v>
          </cell>
          <cell r="J689">
            <v>0.97288135593220304</v>
          </cell>
          <cell r="K689">
            <v>1991.3858700000001</v>
          </cell>
          <cell r="L689">
            <v>3.2216582064297801</v>
          </cell>
          <cell r="M689">
            <v>1379.87256</v>
          </cell>
          <cell r="N689">
            <v>2.4010152284263899</v>
          </cell>
          <cell r="O689">
            <v>1762.8511390000001</v>
          </cell>
          <cell r="P689">
            <v>3.9675213675213601</v>
          </cell>
          <cell r="Q689">
            <v>596.38692300000002</v>
          </cell>
          <cell r="R689">
            <v>3.0649572649572598</v>
          </cell>
          <cell r="S689">
            <v>3828.9468999999999</v>
          </cell>
          <cell r="T689">
            <v>6.04819277108433</v>
          </cell>
          <cell r="U689">
            <v>826.88611500000002</v>
          </cell>
          <cell r="V689">
            <v>3.8898450946643699</v>
          </cell>
        </row>
        <row r="690">
          <cell r="A690" t="str">
            <v>040903</v>
          </cell>
          <cell r="B690">
            <v>338.2</v>
          </cell>
          <cell r="C690">
            <v>539.23245099999997</v>
          </cell>
          <cell r="D690">
            <v>1.3959390862944101</v>
          </cell>
          <cell r="E690">
            <v>108.948886</v>
          </cell>
          <cell r="F690">
            <v>0.75126903553299396</v>
          </cell>
          <cell r="G690">
            <v>1319.6012949999999</v>
          </cell>
          <cell r="H690">
            <v>1.39095744680851</v>
          </cell>
          <cell r="I690">
            <v>238.77828600000001</v>
          </cell>
          <cell r="J690">
            <v>0.555851063829787</v>
          </cell>
          <cell r="K690">
            <v>488.480052</v>
          </cell>
          <cell r="L690">
            <v>1.6356382978723401</v>
          </cell>
          <cell r="M690">
            <v>327.105141</v>
          </cell>
          <cell r="N690">
            <v>1.2819148936170199</v>
          </cell>
          <cell r="O690">
            <v>105.085886</v>
          </cell>
          <cell r="P690">
            <v>0.49731182795698903</v>
          </cell>
          <cell r="Q690">
            <v>36.797131999999998</v>
          </cell>
          <cell r="R690">
            <v>0.31182795698924698</v>
          </cell>
          <cell r="S690">
            <v>1544.8093679999999</v>
          </cell>
          <cell r="T690">
            <v>3.2837837837837802</v>
          </cell>
          <cell r="U690">
            <v>401.11351300000001</v>
          </cell>
          <cell r="V690">
            <v>2.7027027027027</v>
          </cell>
        </row>
        <row r="691">
          <cell r="A691" t="str">
            <v>041001</v>
          </cell>
          <cell r="B691">
            <v>1288.2222220000001</v>
          </cell>
          <cell r="C691">
            <v>161.54573300000001</v>
          </cell>
          <cell r="D691">
            <v>0.663297045101088</v>
          </cell>
          <cell r="E691">
            <v>161.54573300000001</v>
          </cell>
          <cell r="F691">
            <v>0.663297045101088</v>
          </cell>
          <cell r="G691">
            <v>335.90817500000003</v>
          </cell>
          <cell r="H691">
            <v>0.52214452214452201</v>
          </cell>
          <cell r="I691">
            <v>192.80736300000001</v>
          </cell>
          <cell r="J691">
            <v>0.43512043512043502</v>
          </cell>
          <cell r="K691">
            <v>587.58809199999996</v>
          </cell>
          <cell r="L691">
            <v>1.00856031128404</v>
          </cell>
          <cell r="M691">
            <v>553.49263199999996</v>
          </cell>
          <cell r="N691">
            <v>0.923735408560311</v>
          </cell>
          <cell r="O691">
            <v>317.70806099999999</v>
          </cell>
          <cell r="P691">
            <v>1.21317829457364</v>
          </cell>
          <cell r="Q691">
            <v>264.04251900000003</v>
          </cell>
          <cell r="R691">
            <v>1.1085271317829399</v>
          </cell>
          <cell r="S691">
            <v>35.194915999999999</v>
          </cell>
          <cell r="T691">
            <v>0.21826625386996901</v>
          </cell>
          <cell r="U691">
            <v>34.423102999999998</v>
          </cell>
          <cell r="V691">
            <v>0.21749226006191899</v>
          </cell>
        </row>
        <row r="692">
          <cell r="A692" t="str">
            <v>041002</v>
          </cell>
          <cell r="B692">
            <v>1177</v>
          </cell>
          <cell r="C692">
            <v>64.160723000000004</v>
          </cell>
          <cell r="D692">
            <v>0.29610829103214797</v>
          </cell>
          <cell r="E692">
            <v>55.353343000000002</v>
          </cell>
          <cell r="F692">
            <v>0.29272419627749502</v>
          </cell>
          <cell r="G692">
            <v>199.158916</v>
          </cell>
          <cell r="H692">
            <v>0.47203389830508402</v>
          </cell>
          <cell r="I692">
            <v>39.654538000000002</v>
          </cell>
          <cell r="J692">
            <v>0.21949152542372799</v>
          </cell>
          <cell r="K692">
            <v>289.31005599999997</v>
          </cell>
          <cell r="L692">
            <v>0.52255319148936097</v>
          </cell>
          <cell r="M692">
            <v>278.81948899999998</v>
          </cell>
          <cell r="N692">
            <v>0.47404255319148902</v>
          </cell>
          <cell r="O692">
            <v>81.817983999999996</v>
          </cell>
          <cell r="P692">
            <v>0.37329931972789099</v>
          </cell>
          <cell r="Q692">
            <v>49.031122000000003</v>
          </cell>
          <cell r="R692">
            <v>0.26955782312925097</v>
          </cell>
          <cell r="S692">
            <v>404.50085200000001</v>
          </cell>
          <cell r="T692">
            <v>0.31058020477815601</v>
          </cell>
          <cell r="U692">
            <v>20.031981999999999</v>
          </cell>
          <cell r="V692">
            <v>0.12030716723549401</v>
          </cell>
        </row>
        <row r="693">
          <cell r="A693" t="str">
            <v>041003</v>
          </cell>
          <cell r="B693">
            <v>1211.8</v>
          </cell>
          <cell r="C693">
            <v>362.81342699999999</v>
          </cell>
          <cell r="D693">
            <v>0.70486397361912601</v>
          </cell>
          <cell r="E693">
            <v>212.734253</v>
          </cell>
          <cell r="F693">
            <v>0.63891178895300904</v>
          </cell>
          <cell r="G693">
            <v>12.625465999999999</v>
          </cell>
          <cell r="H693">
            <v>9.7119341563786002E-2</v>
          </cell>
          <cell r="I693">
            <v>7.5406839999999997</v>
          </cell>
          <cell r="J693">
            <v>8.8888888888888795E-2</v>
          </cell>
          <cell r="K693">
            <v>522.42996600000004</v>
          </cell>
          <cell r="L693">
            <v>0.60346248969497096</v>
          </cell>
          <cell r="M693">
            <v>216.752047</v>
          </cell>
          <cell r="N693">
            <v>0.49464138499587701</v>
          </cell>
          <cell r="O693">
            <v>481.39052199999998</v>
          </cell>
          <cell r="P693">
            <v>1.0859504132231399</v>
          </cell>
          <cell r="Q693">
            <v>216.478994</v>
          </cell>
          <cell r="R693">
            <v>0.99173553719008201</v>
          </cell>
          <cell r="S693">
            <v>61.729607999999999</v>
          </cell>
          <cell r="T693">
            <v>5.2980132450331098E-2</v>
          </cell>
          <cell r="U693">
            <v>6.9279799999999998</v>
          </cell>
          <cell r="V693">
            <v>2.8973509933774799E-2</v>
          </cell>
        </row>
        <row r="694">
          <cell r="A694" t="str">
            <v>041101</v>
          </cell>
          <cell r="B694">
            <v>1892</v>
          </cell>
          <cell r="C694">
            <v>44.823815000000003</v>
          </cell>
          <cell r="D694">
            <v>0.23705285638013801</v>
          </cell>
          <cell r="E694">
            <v>41.121367999999997</v>
          </cell>
          <cell r="F694">
            <v>0.23117992525360301</v>
          </cell>
          <cell r="G694">
            <v>71.733959999999996</v>
          </cell>
          <cell r="H694">
            <v>0.29978925184404598</v>
          </cell>
          <cell r="I694">
            <v>43.843995999999997</v>
          </cell>
          <cell r="J694">
            <v>0.18335089567966201</v>
          </cell>
          <cell r="K694">
            <v>93.784659000000005</v>
          </cell>
          <cell r="L694">
            <v>1.0764364786505001</v>
          </cell>
          <cell r="M694">
            <v>75.645694000000006</v>
          </cell>
          <cell r="N694">
            <v>1.05113336847654</v>
          </cell>
          <cell r="O694">
            <v>158.735491</v>
          </cell>
          <cell r="P694">
            <v>1.5594736842105199</v>
          </cell>
          <cell r="Q694">
            <v>67.797534999999996</v>
          </cell>
          <cell r="R694">
            <v>0.43894736842105198</v>
          </cell>
          <cell r="S694">
            <v>98.298491999999996</v>
          </cell>
          <cell r="T694">
            <v>0.24312896405919601</v>
          </cell>
          <cell r="U694">
            <v>22.046448999999999</v>
          </cell>
          <cell r="V694">
            <v>0.15961945031712399</v>
          </cell>
        </row>
        <row r="695">
          <cell r="A695" t="str">
            <v>041102</v>
          </cell>
          <cell r="B695">
            <v>1594</v>
          </cell>
          <cell r="C695">
            <v>94.043413999999999</v>
          </cell>
          <cell r="D695">
            <v>0.73576309794988604</v>
          </cell>
          <cell r="E695">
            <v>94.043413999999999</v>
          </cell>
          <cell r="F695">
            <v>0.73576309794988604</v>
          </cell>
          <cell r="G695">
            <v>308.31403</v>
          </cell>
          <cell r="H695">
            <v>0.316308763784097</v>
          </cell>
          <cell r="I695">
            <v>6.8822760000000001</v>
          </cell>
          <cell r="J695">
            <v>5.3975623911781699E-2</v>
          </cell>
          <cell r="K695">
            <v>649.203531</v>
          </cell>
          <cell r="L695">
            <v>2.1097715736040601</v>
          </cell>
          <cell r="M695">
            <v>177.41345100000001</v>
          </cell>
          <cell r="N695">
            <v>1.42576142131979</v>
          </cell>
          <cell r="O695">
            <v>408.680904</v>
          </cell>
          <cell r="P695">
            <v>1.44045242847638</v>
          </cell>
          <cell r="Q695">
            <v>408.30877099999998</v>
          </cell>
          <cell r="R695">
            <v>1.4397870924817</v>
          </cell>
          <cell r="S695">
            <v>1712.383601</v>
          </cell>
          <cell r="T695">
            <v>1.7407903549899499</v>
          </cell>
          <cell r="U695">
            <v>16.349944000000001</v>
          </cell>
          <cell r="V695">
            <v>3.61687876758204E-2</v>
          </cell>
        </row>
        <row r="696">
          <cell r="A696" t="str">
            <v>041103</v>
          </cell>
          <cell r="B696">
            <v>643.625</v>
          </cell>
          <cell r="C696">
            <v>10.357151999999999</v>
          </cell>
          <cell r="D696">
            <v>3.7267080745341602E-2</v>
          </cell>
          <cell r="E696">
            <v>10.357151999999999</v>
          </cell>
          <cell r="F696">
            <v>3.7267080745341602E-2</v>
          </cell>
          <cell r="G696">
            <v>104.080493</v>
          </cell>
          <cell r="H696">
            <v>0.35303265940902001</v>
          </cell>
          <cell r="I696">
            <v>104.080493</v>
          </cell>
          <cell r="J696">
            <v>0.35303265940902001</v>
          </cell>
          <cell r="K696">
            <v>284.815811</v>
          </cell>
          <cell r="L696">
            <v>1.94245723172628</v>
          </cell>
          <cell r="M696">
            <v>208.45381</v>
          </cell>
          <cell r="N696">
            <v>1.8040435458786901</v>
          </cell>
          <cell r="O696">
            <v>12.151629</v>
          </cell>
          <cell r="P696">
            <v>0.119565217391304</v>
          </cell>
          <cell r="Q696">
            <v>6.3454959999999998</v>
          </cell>
          <cell r="R696">
            <v>6.9875776397515493E-2</v>
          </cell>
          <cell r="S696">
            <v>19.160222000000001</v>
          </cell>
          <cell r="T696">
            <v>0.119565217391304</v>
          </cell>
          <cell r="U696">
            <v>12.691744</v>
          </cell>
          <cell r="V696">
            <v>8.6956521739130405E-2</v>
          </cell>
        </row>
        <row r="697">
          <cell r="A697" t="str">
            <v>041104</v>
          </cell>
          <cell r="B697">
            <v>2141.4</v>
          </cell>
          <cell r="C697">
            <v>153.766718</v>
          </cell>
          <cell r="D697">
            <v>1.0245939675174001</v>
          </cell>
          <cell r="E697">
            <v>151.821417</v>
          </cell>
          <cell r="F697">
            <v>1.02366589327146</v>
          </cell>
          <cell r="G697">
            <v>795.590192</v>
          </cell>
          <cell r="H697">
            <v>1.2148148148148099</v>
          </cell>
          <cell r="I697">
            <v>34.48113</v>
          </cell>
          <cell r="J697">
            <v>0.28888888888888797</v>
          </cell>
          <cell r="K697">
            <v>64.385626999999999</v>
          </cell>
          <cell r="L697">
            <v>0.30737134909596597</v>
          </cell>
          <cell r="M697">
            <v>23.077777000000001</v>
          </cell>
          <cell r="N697">
            <v>0.25544738062123301</v>
          </cell>
          <cell r="O697">
            <v>16.915426</v>
          </cell>
          <cell r="P697">
            <v>0.13851193261581601</v>
          </cell>
          <cell r="Q697">
            <v>16.637794</v>
          </cell>
          <cell r="R697">
            <v>0.13757604117922301</v>
          </cell>
          <cell r="S697">
            <v>460.25730700000003</v>
          </cell>
          <cell r="T697">
            <v>1.23593898951382</v>
          </cell>
          <cell r="U697">
            <v>7.9404979999999998</v>
          </cell>
          <cell r="V697">
            <v>8.7702573879885601E-2</v>
          </cell>
        </row>
        <row r="698">
          <cell r="A698" t="str">
            <v>041201</v>
          </cell>
          <cell r="B698">
            <v>823.6</v>
          </cell>
          <cell r="C698">
            <v>12525.836788000001</v>
          </cell>
          <cell r="D698">
            <v>8.0241837968561001</v>
          </cell>
          <cell r="E698">
            <v>866.45761000000005</v>
          </cell>
          <cell r="F698">
            <v>5.0169286577992702</v>
          </cell>
          <cell r="G698">
            <v>2114.2200910000001</v>
          </cell>
          <cell r="H698">
            <v>1.34620024125452</v>
          </cell>
          <cell r="I698">
            <v>186.69073700000001</v>
          </cell>
          <cell r="J698">
            <v>0.650180940892641</v>
          </cell>
          <cell r="K698">
            <v>3142.5454549999999</v>
          </cell>
          <cell r="L698">
            <v>1.79131483715319</v>
          </cell>
          <cell r="M698">
            <v>399.40623199999999</v>
          </cell>
          <cell r="N698">
            <v>1.15560916767189</v>
          </cell>
          <cell r="O698">
            <v>642.077675</v>
          </cell>
          <cell r="P698">
            <v>0.54136253041362503</v>
          </cell>
          <cell r="Q698">
            <v>331.20306099999999</v>
          </cell>
          <cell r="R698">
            <v>0.44160583941605802</v>
          </cell>
          <cell r="S698">
            <v>307.64634100000001</v>
          </cell>
          <cell r="T698">
            <v>0.85080147965474695</v>
          </cell>
          <cell r="U698">
            <v>99.683352999999997</v>
          </cell>
          <cell r="V698">
            <v>0.493218249075215</v>
          </cell>
        </row>
        <row r="699">
          <cell r="A699" t="str">
            <v>041202</v>
          </cell>
          <cell r="B699">
            <v>774</v>
          </cell>
          <cell r="C699">
            <v>7607.6564369999996</v>
          </cell>
          <cell r="D699">
            <v>7.5778635778635701</v>
          </cell>
          <cell r="E699">
            <v>716.54250500000001</v>
          </cell>
          <cell r="F699">
            <v>2.7966537966537901</v>
          </cell>
          <cell r="G699">
            <v>2745.2150980000001</v>
          </cell>
          <cell r="H699">
            <v>1.4007731958762799</v>
          </cell>
          <cell r="I699">
            <v>139.19810899999999</v>
          </cell>
          <cell r="J699">
            <v>0.46778350515463901</v>
          </cell>
          <cell r="K699">
            <v>2599.3134009999999</v>
          </cell>
          <cell r="L699">
            <v>2.34278350515463</v>
          </cell>
          <cell r="M699">
            <v>420.54471599999999</v>
          </cell>
          <cell r="N699">
            <v>1.93170103092783</v>
          </cell>
          <cell r="O699">
            <v>416.49158999999997</v>
          </cell>
          <cell r="P699">
            <v>2.55368693402328</v>
          </cell>
          <cell r="Q699">
            <v>389.98197399999998</v>
          </cell>
          <cell r="R699">
            <v>2.5355756791720498</v>
          </cell>
          <cell r="S699">
            <v>683.88200900000004</v>
          </cell>
          <cell r="T699">
            <v>1.6940104166666601</v>
          </cell>
          <cell r="U699">
            <v>499.73274700000002</v>
          </cell>
          <cell r="V699">
            <v>1.484375</v>
          </cell>
        </row>
        <row r="700">
          <cell r="A700" t="str">
            <v>041301</v>
          </cell>
          <cell r="B700">
            <v>95.714285000000004</v>
          </cell>
          <cell r="C700">
            <v>150.64736600000001</v>
          </cell>
          <cell r="D700">
            <v>1.5044247787610601</v>
          </cell>
          <cell r="E700">
            <v>150.64736600000001</v>
          </cell>
          <cell r="F700">
            <v>1.5044247787610601</v>
          </cell>
          <cell r="G700">
            <v>496.76308399999999</v>
          </cell>
          <cell r="H700">
            <v>1</v>
          </cell>
          <cell r="I700">
            <v>496.76308399999999</v>
          </cell>
          <cell r="J700">
            <v>1</v>
          </cell>
          <cell r="K700">
            <v>684.31206199999997</v>
          </cell>
          <cell r="L700">
            <v>2.8190476190476099</v>
          </cell>
          <cell r="M700">
            <v>454.89777700000002</v>
          </cell>
          <cell r="N700">
            <v>1.8095238095238</v>
          </cell>
          <cell r="O700">
            <v>83.455673000000004</v>
          </cell>
          <cell r="P700">
            <v>0.44680851063829702</v>
          </cell>
          <cell r="Q700">
            <v>83.455673000000004</v>
          </cell>
          <cell r="R700">
            <v>0.44680851063829702</v>
          </cell>
          <cell r="S700">
            <v>525.13493000000005</v>
          </cell>
          <cell r="T700">
            <v>0.47945205479452002</v>
          </cell>
          <cell r="U700">
            <v>11.902054</v>
          </cell>
          <cell r="V700">
            <v>0.123287671232876</v>
          </cell>
        </row>
        <row r="701">
          <cell r="A701" t="str">
            <v>041302</v>
          </cell>
          <cell r="B701">
            <v>912.11111100000005</v>
          </cell>
          <cell r="C701">
            <v>558.450872</v>
          </cell>
          <cell r="D701">
            <v>2.1626794258373199</v>
          </cell>
          <cell r="E701">
            <v>557.31226600000002</v>
          </cell>
          <cell r="F701">
            <v>2.1617224880382699</v>
          </cell>
          <cell r="G701">
            <v>2.8435579999999998</v>
          </cell>
          <cell r="H701">
            <v>7.71513353115727E-2</v>
          </cell>
          <cell r="I701">
            <v>2.8435579999999998</v>
          </cell>
          <cell r="J701">
            <v>7.71513353115727E-2</v>
          </cell>
          <cell r="K701">
            <v>272.27223400000003</v>
          </cell>
          <cell r="L701">
            <v>1.0538116591928199</v>
          </cell>
          <cell r="M701">
            <v>261.87688700000001</v>
          </cell>
          <cell r="N701">
            <v>1.0246636771300399</v>
          </cell>
          <cell r="O701">
            <v>30.934470000000001</v>
          </cell>
          <cell r="P701">
            <v>0.245882352941176</v>
          </cell>
          <cell r="Q701">
            <v>27.086980000000001</v>
          </cell>
          <cell r="R701">
            <v>0.215294117647058</v>
          </cell>
          <cell r="S701">
            <v>50.484994999999998</v>
          </cell>
          <cell r="T701">
            <v>0.20443349753694501</v>
          </cell>
          <cell r="U701">
            <v>18.820053000000001</v>
          </cell>
          <cell r="V701">
            <v>0.151477832512315</v>
          </cell>
        </row>
        <row r="702">
          <cell r="A702" t="str">
            <v>041303</v>
          </cell>
          <cell r="B702">
            <v>898</v>
          </cell>
          <cell r="C702">
            <v>121.641176</v>
          </cell>
          <cell r="D702">
            <v>1.0914826498422701</v>
          </cell>
          <cell r="E702">
            <v>121.641176</v>
          </cell>
          <cell r="F702">
            <v>1.0914826498422701</v>
          </cell>
          <cell r="G702">
            <v>18.006824000000002</v>
          </cell>
          <cell r="H702">
            <v>0.199554069119286</v>
          </cell>
          <cell r="I702">
            <v>18.006824000000002</v>
          </cell>
          <cell r="J702">
            <v>0.199554069119286</v>
          </cell>
          <cell r="K702">
            <v>588.98584300000005</v>
          </cell>
          <cell r="L702">
            <v>2.0569196428571401</v>
          </cell>
          <cell r="M702">
            <v>433.30420299999997</v>
          </cell>
          <cell r="N702">
            <v>1.6953125</v>
          </cell>
          <cell r="O702">
            <v>15.968043</v>
          </cell>
          <cell r="P702">
            <v>0.210937499999999</v>
          </cell>
          <cell r="Q702">
            <v>15.77952</v>
          </cell>
          <cell r="R702">
            <v>0.20982142857142799</v>
          </cell>
          <cell r="S702">
            <v>481.26653199999998</v>
          </cell>
          <cell r="T702">
            <v>0.22031963470319599</v>
          </cell>
          <cell r="U702">
            <v>11.024884999999999</v>
          </cell>
          <cell r="V702">
            <v>9.0182648401826396E-2</v>
          </cell>
        </row>
        <row r="703">
          <cell r="A703" t="str">
            <v>041401</v>
          </cell>
          <cell r="B703">
            <v>880.8</v>
          </cell>
          <cell r="C703">
            <v>924.72453900000005</v>
          </cell>
          <cell r="D703">
            <v>1.7404063205417599</v>
          </cell>
          <cell r="E703">
            <v>217.05738600000001</v>
          </cell>
          <cell r="F703">
            <v>1.4593679458239199</v>
          </cell>
          <cell r="G703">
            <v>147.80903799999999</v>
          </cell>
          <cell r="H703">
            <v>0.59818388195232597</v>
          </cell>
          <cell r="I703">
            <v>89.585037999999997</v>
          </cell>
          <cell r="J703">
            <v>0.50624290578887599</v>
          </cell>
          <cell r="K703">
            <v>311.99130700000001</v>
          </cell>
          <cell r="L703">
            <v>0.75791855203619896</v>
          </cell>
          <cell r="M703">
            <v>72.494248999999996</v>
          </cell>
          <cell r="N703">
            <v>0.48303167420814402</v>
          </cell>
          <cell r="O703">
            <v>341.84276499999999</v>
          </cell>
          <cell r="P703">
            <v>1.41022727272727</v>
          </cell>
          <cell r="Q703">
            <v>106.18778399999999</v>
          </cell>
          <cell r="R703">
            <v>0.92272727272727195</v>
          </cell>
          <cell r="S703">
            <v>446.54488300000003</v>
          </cell>
          <cell r="T703">
            <v>0.95532646048109904</v>
          </cell>
          <cell r="U703">
            <v>107.56449000000001</v>
          </cell>
          <cell r="V703">
            <v>0.80756013745704402</v>
          </cell>
        </row>
        <row r="704">
          <cell r="A704" t="str">
            <v>041402</v>
          </cell>
          <cell r="B704">
            <v>1472.2</v>
          </cell>
          <cell r="C704">
            <v>267.62129399999998</v>
          </cell>
          <cell r="D704">
            <v>1.4923384410392999</v>
          </cell>
          <cell r="E704">
            <v>251.69543100000001</v>
          </cell>
          <cell r="F704">
            <v>1.36042638241172</v>
          </cell>
          <cell r="G704">
            <v>184.48109600000001</v>
          </cell>
          <cell r="H704">
            <v>0.420348058902275</v>
          </cell>
          <cell r="I704">
            <v>73.677439000000007</v>
          </cell>
          <cell r="J704">
            <v>0.35676037483266299</v>
          </cell>
          <cell r="K704">
            <v>162.96365900000001</v>
          </cell>
          <cell r="L704">
            <v>1.19047619047619</v>
          </cell>
          <cell r="M704">
            <v>144.29005100000001</v>
          </cell>
          <cell r="N704">
            <v>1.1589537223340001</v>
          </cell>
          <cell r="O704">
            <v>43.166688000000001</v>
          </cell>
          <cell r="P704">
            <v>0.24983164983164899</v>
          </cell>
          <cell r="Q704">
            <v>42.583075000000001</v>
          </cell>
          <cell r="R704">
            <v>0.249158249158249</v>
          </cell>
          <cell r="S704">
            <v>332.379819</v>
          </cell>
          <cell r="T704">
            <v>1.1741007194244599</v>
          </cell>
          <cell r="U704">
            <v>305.025959</v>
          </cell>
          <cell r="V704">
            <v>1.1230215827338099</v>
          </cell>
        </row>
        <row r="705">
          <cell r="A705" t="str">
            <v>041501</v>
          </cell>
          <cell r="B705">
            <v>20.666665999999999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1681.445238</v>
          </cell>
          <cell r="L705">
            <v>3.4285714285714199</v>
          </cell>
          <cell r="M705">
            <v>182.75</v>
          </cell>
          <cell r="N705">
            <v>1</v>
          </cell>
          <cell r="O705">
            <v>674.16666599999996</v>
          </cell>
          <cell r="P705">
            <v>2</v>
          </cell>
          <cell r="Q705">
            <v>674.16666599999996</v>
          </cell>
          <cell r="R705">
            <v>2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</row>
        <row r="706">
          <cell r="A706" t="str">
            <v>041502</v>
          </cell>
          <cell r="B706">
            <v>1475.4</v>
          </cell>
          <cell r="C706">
            <v>907.28744800000004</v>
          </cell>
          <cell r="D706">
            <v>1.26995940460081</v>
          </cell>
          <cell r="E706">
            <v>48.211962999999997</v>
          </cell>
          <cell r="F706">
            <v>0.27604871447902501</v>
          </cell>
          <cell r="G706">
            <v>64.707066999999995</v>
          </cell>
          <cell r="H706">
            <v>0.225457007447528</v>
          </cell>
          <cell r="I706">
            <v>21.605447999999999</v>
          </cell>
          <cell r="J706">
            <v>0.20311442112389899</v>
          </cell>
          <cell r="K706">
            <v>1336.7959530000001</v>
          </cell>
          <cell r="L706">
            <v>2.0939824205544202</v>
          </cell>
          <cell r="M706">
            <v>23.042956</v>
          </cell>
          <cell r="N706">
            <v>0.32724814063556401</v>
          </cell>
          <cell r="O706">
            <v>707.83125099999995</v>
          </cell>
          <cell r="P706">
            <v>2.1323430114787301</v>
          </cell>
          <cell r="Q706">
            <v>671.85183400000005</v>
          </cell>
          <cell r="R706">
            <v>2.0783254557731201</v>
          </cell>
          <cell r="S706">
            <v>71.813793000000004</v>
          </cell>
          <cell r="T706">
            <v>0.292749658002735</v>
          </cell>
          <cell r="U706">
            <v>50.990059000000002</v>
          </cell>
          <cell r="V706">
            <v>0.26538987688098398</v>
          </cell>
        </row>
        <row r="707">
          <cell r="A707" t="str">
            <v>041503</v>
          </cell>
          <cell r="B707">
            <v>1071.2222220000001</v>
          </cell>
          <cell r="C707">
            <v>1232.94319</v>
          </cell>
          <cell r="D707">
            <v>1.3531073446327599</v>
          </cell>
          <cell r="E707">
            <v>225.470091</v>
          </cell>
          <cell r="F707">
            <v>0.96327683615819204</v>
          </cell>
          <cell r="G707">
            <v>187.56984700000001</v>
          </cell>
          <cell r="H707">
            <v>0.70774976657329502</v>
          </cell>
          <cell r="I707">
            <v>173.61753100000001</v>
          </cell>
          <cell r="J707">
            <v>0.67320261437908402</v>
          </cell>
          <cell r="K707">
            <v>1224.9969510000001</v>
          </cell>
          <cell r="L707">
            <v>2.8115671641790998</v>
          </cell>
          <cell r="M707">
            <v>179.120475</v>
          </cell>
          <cell r="N707">
            <v>1.78731343283582</v>
          </cell>
          <cell r="O707">
            <v>367.108948</v>
          </cell>
          <cell r="P707">
            <v>1.45191409897292</v>
          </cell>
          <cell r="Q707">
            <v>367.108948</v>
          </cell>
          <cell r="R707">
            <v>1.45191409897292</v>
          </cell>
          <cell r="S707">
            <v>377.86595599999998</v>
          </cell>
          <cell r="T707">
            <v>2.0805555555555499</v>
          </cell>
          <cell r="U707">
            <v>248.16834800000001</v>
          </cell>
          <cell r="V707">
            <v>1.0490740740740701</v>
          </cell>
        </row>
        <row r="708">
          <cell r="A708" t="str">
            <v>041601</v>
          </cell>
          <cell r="B708">
            <v>392.88888800000001</v>
          </cell>
          <cell r="C708">
            <v>28.119315</v>
          </cell>
          <cell r="D708">
            <v>1.19103773584905</v>
          </cell>
          <cell r="E708">
            <v>28.119315</v>
          </cell>
          <cell r="F708">
            <v>1.19103773584905</v>
          </cell>
          <cell r="G708">
            <v>17.850325000000002</v>
          </cell>
          <cell r="H708">
            <v>3.06603773584905E-2</v>
          </cell>
          <cell r="I708">
            <v>5.5793379999999999</v>
          </cell>
          <cell r="J708">
            <v>1.8867924528301799E-2</v>
          </cell>
          <cell r="K708">
            <v>281.563063</v>
          </cell>
          <cell r="L708">
            <v>1.5581947743467901</v>
          </cell>
          <cell r="M708">
            <v>222.07636500000001</v>
          </cell>
          <cell r="N708">
            <v>1.4228028503562899</v>
          </cell>
          <cell r="O708">
            <v>430.36007799999999</v>
          </cell>
          <cell r="P708">
            <v>1.28571428571428</v>
          </cell>
          <cell r="Q708">
            <v>419.99944399999998</v>
          </cell>
          <cell r="R708">
            <v>1.2833333333333301</v>
          </cell>
          <cell r="S708">
            <v>435.945245</v>
          </cell>
          <cell r="T708">
            <v>2.16838487972508</v>
          </cell>
          <cell r="U708">
            <v>330.842668</v>
          </cell>
          <cell r="V708">
            <v>1.50859106529209</v>
          </cell>
        </row>
        <row r="709">
          <cell r="A709" t="str">
            <v>041602</v>
          </cell>
          <cell r="B709">
            <v>562.6</v>
          </cell>
          <cell r="C709">
            <v>456.37323199999997</v>
          </cell>
          <cell r="D709">
            <v>1.79077429983525</v>
          </cell>
          <cell r="E709">
            <v>133.52552</v>
          </cell>
          <cell r="F709">
            <v>1.3756177924217401</v>
          </cell>
          <cell r="G709">
            <v>535.39988800000003</v>
          </cell>
          <cell r="H709">
            <v>1.4363636363636301</v>
          </cell>
          <cell r="I709">
            <v>399.00279699999999</v>
          </cell>
          <cell r="J709">
            <v>1.34710743801652</v>
          </cell>
          <cell r="K709">
            <v>304.10992099999999</v>
          </cell>
          <cell r="L709">
            <v>1.96488294314381</v>
          </cell>
          <cell r="M709">
            <v>289.62695000000002</v>
          </cell>
          <cell r="N709">
            <v>1.8996655518394601</v>
          </cell>
          <cell r="O709">
            <v>596.629279</v>
          </cell>
          <cell r="P709">
            <v>1.70608108108108</v>
          </cell>
          <cell r="Q709">
            <v>593.566779</v>
          </cell>
          <cell r="R709">
            <v>1.6875</v>
          </cell>
          <cell r="S709">
            <v>892.51228600000002</v>
          </cell>
          <cell r="T709">
            <v>3.2822384428223801</v>
          </cell>
          <cell r="U709">
            <v>744.60012099999994</v>
          </cell>
          <cell r="V709">
            <v>3.08029197080291</v>
          </cell>
        </row>
        <row r="710">
          <cell r="A710" t="str">
            <v>041603</v>
          </cell>
          <cell r="B710">
            <v>411.4</v>
          </cell>
          <cell r="C710">
            <v>4497.744017</v>
          </cell>
          <cell r="D710">
            <v>2.7988980716253402</v>
          </cell>
          <cell r="E710">
            <v>69.849653000000004</v>
          </cell>
          <cell r="F710">
            <v>1.2892561983471</v>
          </cell>
          <cell r="G710">
            <v>297.01342599999998</v>
          </cell>
          <cell r="H710">
            <v>0.87052341597796101</v>
          </cell>
          <cell r="I710">
            <v>181.82530299999999</v>
          </cell>
          <cell r="J710">
            <v>0.69421487603305698</v>
          </cell>
          <cell r="K710">
            <v>801.29341499999998</v>
          </cell>
          <cell r="L710">
            <v>1.03867403314917</v>
          </cell>
          <cell r="M710">
            <v>79.957595999999995</v>
          </cell>
          <cell r="N710">
            <v>0.53314917127071804</v>
          </cell>
          <cell r="O710">
            <v>191.92137500000001</v>
          </cell>
          <cell r="P710">
            <v>1.2908587257617701</v>
          </cell>
          <cell r="Q710">
            <v>103.276223</v>
          </cell>
          <cell r="R710">
            <v>1.2188365650969499</v>
          </cell>
          <cell r="S710">
            <v>808.59196699999995</v>
          </cell>
          <cell r="T710">
            <v>1.7088815789473599</v>
          </cell>
          <cell r="U710">
            <v>411.958552</v>
          </cell>
          <cell r="V710">
            <v>1.2565789473684199</v>
          </cell>
        </row>
        <row r="711">
          <cell r="A711" t="str">
            <v>041604</v>
          </cell>
          <cell r="B711">
            <v>850.8</v>
          </cell>
          <cell r="C711">
            <v>3965.55384</v>
          </cell>
          <cell r="D711">
            <v>1.7647754137115801</v>
          </cell>
          <cell r="E711">
            <v>189.85319899999999</v>
          </cell>
          <cell r="F711">
            <v>0.65130023640661905</v>
          </cell>
          <cell r="G711">
            <v>98.574444</v>
          </cell>
          <cell r="H711">
            <v>0.41578327444051799</v>
          </cell>
          <cell r="I711">
            <v>77.585552000000007</v>
          </cell>
          <cell r="J711">
            <v>0.406360424028268</v>
          </cell>
          <cell r="K711">
            <v>562.05465900000002</v>
          </cell>
          <cell r="L711">
            <v>1.85781990521327</v>
          </cell>
          <cell r="M711">
            <v>73.730647000000005</v>
          </cell>
          <cell r="N711">
            <v>0.32819905213270101</v>
          </cell>
          <cell r="O711">
            <v>179.148899</v>
          </cell>
          <cell r="P711">
            <v>0.79016786570743403</v>
          </cell>
          <cell r="Q711">
            <v>99.798879999999997</v>
          </cell>
          <cell r="R711">
            <v>0.63309352517985595</v>
          </cell>
          <cell r="S711">
            <v>273.525916</v>
          </cell>
          <cell r="T711">
            <v>1.03632236095346</v>
          </cell>
          <cell r="U711">
            <v>176.89107000000001</v>
          </cell>
          <cell r="V711">
            <v>1.0011350737797899</v>
          </cell>
        </row>
        <row r="712">
          <cell r="A712" t="str">
            <v>041701</v>
          </cell>
          <cell r="B712">
            <v>1215.4000000000001</v>
          </cell>
          <cell r="C712">
            <v>407.260988</v>
          </cell>
          <cell r="D712">
            <v>0.70880913539967305</v>
          </cell>
          <cell r="E712">
            <v>62.451428</v>
          </cell>
          <cell r="F712">
            <v>0.63213703099510599</v>
          </cell>
          <cell r="G712">
            <v>256.55595899999997</v>
          </cell>
          <cell r="H712">
            <v>0.26938775510203999</v>
          </cell>
          <cell r="I712">
            <v>16.216488999999999</v>
          </cell>
          <cell r="J712">
            <v>8.8163265306122396E-2</v>
          </cell>
          <cell r="K712">
            <v>308.78959600000002</v>
          </cell>
          <cell r="L712">
            <v>0.74019607843137203</v>
          </cell>
          <cell r="M712">
            <v>57.588901999999997</v>
          </cell>
          <cell r="N712">
            <v>0.187908496732026</v>
          </cell>
          <cell r="O712">
            <v>181.86624</v>
          </cell>
          <cell r="P712">
            <v>1.40065952184666</v>
          </cell>
          <cell r="Q712">
            <v>144.873234</v>
          </cell>
          <cell r="R712">
            <v>1.3009068425391499</v>
          </cell>
          <cell r="S712">
            <v>112.844897</v>
          </cell>
          <cell r="T712">
            <v>0.51640033641715699</v>
          </cell>
          <cell r="U712">
            <v>50.288870000000003</v>
          </cell>
          <cell r="V712">
            <v>0.43818334735071401</v>
          </cell>
        </row>
        <row r="713">
          <cell r="A713" t="str">
            <v>041702</v>
          </cell>
          <cell r="B713">
            <v>821.8</v>
          </cell>
          <cell r="C713">
            <v>1923.020237</v>
          </cell>
          <cell r="D713">
            <v>3.98920086393088</v>
          </cell>
          <cell r="E713">
            <v>280.54977100000002</v>
          </cell>
          <cell r="F713">
            <v>1.1252699784017199</v>
          </cell>
          <cell r="G713">
            <v>411.08428199999997</v>
          </cell>
          <cell r="H713">
            <v>1.0043811610076601</v>
          </cell>
          <cell r="I713">
            <v>210.19879700000001</v>
          </cell>
          <cell r="J713">
            <v>0.67469879518072196</v>
          </cell>
          <cell r="K713">
            <v>543.66944000000001</v>
          </cell>
          <cell r="L713">
            <v>1.74917853231106</v>
          </cell>
          <cell r="M713">
            <v>196.20299299999999</v>
          </cell>
          <cell r="N713">
            <v>1.3044906900328499</v>
          </cell>
          <cell r="O713">
            <v>123.99548</v>
          </cell>
          <cell r="P713">
            <v>0.81119648737650896</v>
          </cell>
          <cell r="Q713">
            <v>75.401810999999995</v>
          </cell>
          <cell r="R713">
            <v>0.66520307354555397</v>
          </cell>
          <cell r="S713">
            <v>593.07819900000004</v>
          </cell>
          <cell r="T713">
            <v>1.21122112211221</v>
          </cell>
          <cell r="U713">
            <v>114.513458</v>
          </cell>
          <cell r="V713">
            <v>0.51705170517051702</v>
          </cell>
        </row>
        <row r="714">
          <cell r="A714" t="str">
            <v>041801</v>
          </cell>
          <cell r="B714">
            <v>524.88888799999995</v>
          </cell>
          <cell r="C714">
            <v>9182.0678869999992</v>
          </cell>
          <cell r="D714">
            <v>2.5122873345935699</v>
          </cell>
          <cell r="E714">
            <v>93.964106999999998</v>
          </cell>
          <cell r="F714">
            <v>0.48204158790170099</v>
          </cell>
          <cell r="G714">
            <v>83.188242000000002</v>
          </cell>
          <cell r="H714">
            <v>0.59505703422053202</v>
          </cell>
          <cell r="I714">
            <v>83.188242000000002</v>
          </cell>
          <cell r="J714">
            <v>0.59505703422053202</v>
          </cell>
          <cell r="K714">
            <v>2675.6022480000001</v>
          </cell>
          <cell r="L714">
            <v>2.7642585551330701</v>
          </cell>
          <cell r="M714">
            <v>1041.4619130000001</v>
          </cell>
          <cell r="N714">
            <v>1.4543726235741401</v>
          </cell>
          <cell r="O714">
            <v>1110.8016909999999</v>
          </cell>
          <cell r="P714">
            <v>2.9386973180076601</v>
          </cell>
          <cell r="Q714">
            <v>302.45913100000001</v>
          </cell>
          <cell r="R714">
            <v>2.41379310344827</v>
          </cell>
          <cell r="S714">
            <v>347.80491599999999</v>
          </cell>
          <cell r="T714">
            <v>1.5823754789272</v>
          </cell>
          <cell r="U714">
            <v>261.30450100000002</v>
          </cell>
          <cell r="V714">
            <v>1.34291187739463</v>
          </cell>
        </row>
        <row r="715">
          <cell r="A715" t="str">
            <v>041802</v>
          </cell>
          <cell r="B715">
            <v>640.6</v>
          </cell>
          <cell r="C715">
            <v>14146.490705</v>
          </cell>
          <cell r="D715">
            <v>4.0583717357910896</v>
          </cell>
          <cell r="E715">
            <v>161.22224299999999</v>
          </cell>
          <cell r="F715">
            <v>1.4838709677419299</v>
          </cell>
          <cell r="G715">
            <v>310.750179</v>
          </cell>
          <cell r="H715">
            <v>0.98145285935085003</v>
          </cell>
          <cell r="I715">
            <v>93.444462999999999</v>
          </cell>
          <cell r="J715">
            <v>0.48531684698608901</v>
          </cell>
          <cell r="K715">
            <v>645.35252100000002</v>
          </cell>
          <cell r="L715">
            <v>1.1669266770670801</v>
          </cell>
          <cell r="M715">
            <v>94.487258999999995</v>
          </cell>
          <cell r="N715">
            <v>0.85959438377535102</v>
          </cell>
          <cell r="O715">
            <v>399.016324</v>
          </cell>
          <cell r="P715">
            <v>0.70551181102362204</v>
          </cell>
          <cell r="Q715">
            <v>66.340157000000005</v>
          </cell>
          <cell r="R715">
            <v>0.51968503937007804</v>
          </cell>
          <cell r="S715">
            <v>306.79573299999998</v>
          </cell>
          <cell r="T715">
            <v>1.4658187599364001</v>
          </cell>
          <cell r="U715">
            <v>217.18391600000001</v>
          </cell>
          <cell r="V715">
            <v>1.29729729729729</v>
          </cell>
        </row>
        <row r="716">
          <cell r="A716" t="str">
            <v>041901</v>
          </cell>
          <cell r="B716">
            <v>841.4</v>
          </cell>
          <cell r="C716">
            <v>2065.72291</v>
          </cell>
          <cell r="D716">
            <v>2.2822580645161201</v>
          </cell>
          <cell r="E716">
            <v>115.549933</v>
          </cell>
          <cell r="F716">
            <v>1.3928571428571399</v>
          </cell>
          <cell r="G716">
            <v>434.05330300000003</v>
          </cell>
          <cell r="H716">
            <v>0.95842956120092304</v>
          </cell>
          <cell r="I716">
            <v>174.37580299999999</v>
          </cell>
          <cell r="J716">
            <v>0.64203233256351</v>
          </cell>
          <cell r="K716">
            <v>4874.8932109999996</v>
          </cell>
          <cell r="L716">
            <v>1.6643192488262899</v>
          </cell>
          <cell r="M716">
            <v>119.08597399999999</v>
          </cell>
          <cell r="N716">
            <v>0.607981220657276</v>
          </cell>
          <cell r="O716">
            <v>840.98016099999995</v>
          </cell>
          <cell r="P716">
            <v>1.74457215836526</v>
          </cell>
          <cell r="Q716">
            <v>261.61885899999999</v>
          </cell>
          <cell r="R716">
            <v>1.4227330779054901</v>
          </cell>
          <cell r="S716">
            <v>47.490411999999999</v>
          </cell>
          <cell r="T716">
            <v>0.200477326968973</v>
          </cell>
          <cell r="U716">
            <v>40.836992000000002</v>
          </cell>
          <cell r="V716">
            <v>0.18496420047732601</v>
          </cell>
        </row>
        <row r="717">
          <cell r="A717" t="str">
            <v>041902</v>
          </cell>
          <cell r="B717">
            <v>587.4</v>
          </cell>
          <cell r="C717">
            <v>3201.7569950000002</v>
          </cell>
          <cell r="D717">
            <v>2.26677852348993</v>
          </cell>
          <cell r="E717">
            <v>179.277995</v>
          </cell>
          <cell r="F717">
            <v>0.82550335570469702</v>
          </cell>
          <cell r="G717">
            <v>983.686643</v>
          </cell>
          <cell r="H717">
            <v>1.1503378378378299</v>
          </cell>
          <cell r="I717">
            <v>209.051593</v>
          </cell>
          <cell r="J717">
            <v>0.72128378378378299</v>
          </cell>
          <cell r="K717">
            <v>4397.0748860000003</v>
          </cell>
          <cell r="L717">
            <v>1.7932203389830501</v>
          </cell>
          <cell r="M717">
            <v>192.81675100000001</v>
          </cell>
          <cell r="N717">
            <v>0.80847457627118602</v>
          </cell>
          <cell r="O717">
            <v>1543.8287089999999</v>
          </cell>
          <cell r="P717">
            <v>0.909246575342465</v>
          </cell>
          <cell r="Q717">
            <v>125.870119</v>
          </cell>
          <cell r="R717">
            <v>0.60616438356164304</v>
          </cell>
          <cell r="S717">
            <v>432.86460799999998</v>
          </cell>
          <cell r="T717">
            <v>1.7147826086956499</v>
          </cell>
          <cell r="U717">
            <v>404.921246</v>
          </cell>
          <cell r="V717">
            <v>1.6956521739130399</v>
          </cell>
        </row>
        <row r="718">
          <cell r="A718" t="str">
            <v>042001</v>
          </cell>
          <cell r="B718">
            <v>749.4</v>
          </cell>
          <cell r="C718">
            <v>1729.3685230000001</v>
          </cell>
          <cell r="D718">
            <v>1.1329787234042501</v>
          </cell>
          <cell r="E718">
            <v>126.57509400000001</v>
          </cell>
          <cell r="F718">
            <v>0.66755319148936099</v>
          </cell>
          <cell r="G718">
            <v>256.47051199999999</v>
          </cell>
          <cell r="H718">
            <v>1.09428950863213</v>
          </cell>
          <cell r="I718">
            <v>98.453283999999996</v>
          </cell>
          <cell r="J718">
            <v>0.57104913678618796</v>
          </cell>
          <cell r="K718">
            <v>390.68975399999999</v>
          </cell>
          <cell r="L718">
            <v>1.20933333333333</v>
          </cell>
          <cell r="M718">
            <v>159.28399899999999</v>
          </cell>
          <cell r="N718">
            <v>0.82266666666666599</v>
          </cell>
          <cell r="O718">
            <v>626.00698199999999</v>
          </cell>
          <cell r="P718">
            <v>0.66800535475234202</v>
          </cell>
          <cell r="Q718">
            <v>84.876840000000001</v>
          </cell>
          <cell r="R718">
            <v>0.527443105756358</v>
          </cell>
          <cell r="S718">
            <v>89.375591999999997</v>
          </cell>
          <cell r="T718">
            <v>0.51140939597315405</v>
          </cell>
          <cell r="U718">
            <v>72.298097999999996</v>
          </cell>
          <cell r="V718">
            <v>0.49798657718120798</v>
          </cell>
        </row>
        <row r="719">
          <cell r="A719" t="str">
            <v>042002</v>
          </cell>
          <cell r="B719">
            <v>1039.8</v>
          </cell>
          <cell r="C719">
            <v>4081.9846649999999</v>
          </cell>
          <cell r="D719">
            <v>2.87996127783155</v>
          </cell>
          <cell r="E719">
            <v>127.79336000000001</v>
          </cell>
          <cell r="F719">
            <v>0.34849951597289403</v>
          </cell>
          <cell r="G719">
            <v>1409.1329659999999</v>
          </cell>
          <cell r="H719">
            <v>2.0992217898832601</v>
          </cell>
          <cell r="I719">
            <v>276.59962200000001</v>
          </cell>
          <cell r="J719">
            <v>1.2529182879377401</v>
          </cell>
          <cell r="K719">
            <v>1393.080854</v>
          </cell>
          <cell r="L719">
            <v>2.8717201166180701</v>
          </cell>
          <cell r="M719">
            <v>212.061532</v>
          </cell>
          <cell r="N719">
            <v>1.22060252672497</v>
          </cell>
          <cell r="O719">
            <v>2414.2513570000001</v>
          </cell>
          <cell r="P719">
            <v>1.59747817652764</v>
          </cell>
          <cell r="Q719">
            <v>164.78999300000001</v>
          </cell>
          <cell r="R719">
            <v>0.87875848690591596</v>
          </cell>
          <cell r="S719">
            <v>649.764501</v>
          </cell>
          <cell r="T719">
            <v>1.36920222634508</v>
          </cell>
          <cell r="U719">
            <v>468.63744500000001</v>
          </cell>
          <cell r="V719">
            <v>1.0686456400742099</v>
          </cell>
        </row>
        <row r="720">
          <cell r="A720" t="str">
            <v>042101</v>
          </cell>
          <cell r="B720">
            <v>737.8</v>
          </cell>
          <cell r="C720">
            <v>3303.0662339999999</v>
          </cell>
          <cell r="D720">
            <v>4.1010781671159</v>
          </cell>
          <cell r="E720">
            <v>171.12073799999999</v>
          </cell>
          <cell r="F720">
            <v>2.0363881401617201</v>
          </cell>
          <cell r="G720">
            <v>409.89789100000002</v>
          </cell>
          <cell r="H720">
            <v>1.13513513513513</v>
          </cell>
          <cell r="I720">
            <v>132.843053</v>
          </cell>
          <cell r="J720">
            <v>0.92162162162162098</v>
          </cell>
          <cell r="K720">
            <v>3293.1426219999998</v>
          </cell>
          <cell r="L720">
            <v>2.2564102564102502</v>
          </cell>
          <cell r="M720">
            <v>397.84991000000002</v>
          </cell>
          <cell r="N720">
            <v>1.39541160593792</v>
          </cell>
          <cell r="O720">
            <v>349.60101100000003</v>
          </cell>
          <cell r="P720">
            <v>0.75168690958164597</v>
          </cell>
          <cell r="Q720">
            <v>114.80314799999999</v>
          </cell>
          <cell r="R720">
            <v>0.66396761133603199</v>
          </cell>
          <cell r="S720">
            <v>172.47993</v>
          </cell>
          <cell r="T720">
            <v>1.0482758620689601</v>
          </cell>
          <cell r="U720">
            <v>163.972275</v>
          </cell>
          <cell r="V720">
            <v>1.04413793103448</v>
          </cell>
        </row>
        <row r="721">
          <cell r="A721" t="str">
            <v>042102</v>
          </cell>
          <cell r="B721">
            <v>1910.6</v>
          </cell>
          <cell r="C721">
            <v>1747.2119540000001</v>
          </cell>
          <cell r="D721">
            <v>1.66770347330222</v>
          </cell>
          <cell r="E721">
            <v>89.791649000000007</v>
          </cell>
          <cell r="F721">
            <v>0.598237428719543</v>
          </cell>
          <cell r="G721">
            <v>423.30155100000002</v>
          </cell>
          <cell r="H721">
            <v>0.54407929055816295</v>
          </cell>
          <cell r="I721">
            <v>70.705305999999993</v>
          </cell>
          <cell r="J721">
            <v>0.39540949400104303</v>
          </cell>
          <cell r="K721">
            <v>958.50064299999997</v>
          </cell>
          <cell r="L721">
            <v>2.60313315926892</v>
          </cell>
          <cell r="M721">
            <v>186.789556</v>
          </cell>
          <cell r="N721">
            <v>0.94621409921670996</v>
          </cell>
          <cell r="O721">
            <v>240.94505799999999</v>
          </cell>
          <cell r="P721">
            <v>1.7911857292759701</v>
          </cell>
          <cell r="Q721">
            <v>219.14734100000001</v>
          </cell>
          <cell r="R721">
            <v>1.7187827911857201</v>
          </cell>
          <cell r="S721">
            <v>197.56612699999999</v>
          </cell>
          <cell r="T721">
            <v>1.0837751855779401</v>
          </cell>
          <cell r="U721">
            <v>99.910763000000003</v>
          </cell>
          <cell r="V721">
            <v>0.71898197242841899</v>
          </cell>
        </row>
        <row r="722">
          <cell r="A722" t="str">
            <v>042201</v>
          </cell>
          <cell r="B722">
            <v>106.4</v>
          </cell>
          <cell r="C722">
            <v>1198.4717860000001</v>
          </cell>
          <cell r="D722">
            <v>5.8411214953270996</v>
          </cell>
          <cell r="E722">
            <v>396.48654599999998</v>
          </cell>
          <cell r="F722">
            <v>3.9626168224298999</v>
          </cell>
          <cell r="G722">
            <v>147.07395299999999</v>
          </cell>
          <cell r="H722">
            <v>1.0277777777777699</v>
          </cell>
          <cell r="I722">
            <v>16.876943000000001</v>
          </cell>
          <cell r="J722">
            <v>0.203703703703703</v>
          </cell>
          <cell r="K722">
            <v>1169.050778</v>
          </cell>
          <cell r="L722">
            <v>3.8317757009345699</v>
          </cell>
          <cell r="M722">
            <v>833.856853</v>
          </cell>
          <cell r="N722">
            <v>3.0186915887850398</v>
          </cell>
          <cell r="O722">
            <v>123.26132</v>
          </cell>
          <cell r="P722">
            <v>1.1981132075471601</v>
          </cell>
          <cell r="Q722">
            <v>12.936792000000001</v>
          </cell>
          <cell r="R722">
            <v>0.179245283018867</v>
          </cell>
          <cell r="S722">
            <v>178.803044</v>
          </cell>
          <cell r="T722">
            <v>1.0096153846153799</v>
          </cell>
          <cell r="U722">
            <v>6.5131410000000001</v>
          </cell>
          <cell r="V722">
            <v>1.9230769230769201E-2</v>
          </cell>
        </row>
        <row r="723">
          <cell r="A723" t="str">
            <v>042202</v>
          </cell>
          <cell r="B723">
            <v>689.77777700000001</v>
          </cell>
          <cell r="C723">
            <v>1964.413779</v>
          </cell>
          <cell r="D723">
            <v>3.2217453505007101</v>
          </cell>
          <cell r="E723">
            <v>309.13935099999998</v>
          </cell>
          <cell r="F723">
            <v>1.47496423462088</v>
          </cell>
          <cell r="G723">
            <v>82.139600999999999</v>
          </cell>
          <cell r="H723">
            <v>0.37229437229437201</v>
          </cell>
          <cell r="I723">
            <v>39.088152999999998</v>
          </cell>
          <cell r="J723">
            <v>0.22510822510822501</v>
          </cell>
          <cell r="K723">
            <v>652.48024699999996</v>
          </cell>
          <cell r="L723">
            <v>2.3469387755101998</v>
          </cell>
          <cell r="M723">
            <v>652.48024699999996</v>
          </cell>
          <cell r="N723">
            <v>2.3469387755101998</v>
          </cell>
          <cell r="O723">
            <v>385.04120399999999</v>
          </cell>
          <cell r="P723">
            <v>2.1851311953352699</v>
          </cell>
          <cell r="Q723">
            <v>336.61516</v>
          </cell>
          <cell r="R723">
            <v>2.0714285714285698</v>
          </cell>
          <cell r="S723">
            <v>520.93716400000005</v>
          </cell>
          <cell r="T723">
            <v>1.19472913616398</v>
          </cell>
          <cell r="U723">
            <v>30.744070000000001</v>
          </cell>
          <cell r="V723">
            <v>0.14202049780380599</v>
          </cell>
        </row>
        <row r="724">
          <cell r="A724" t="str">
            <v>042301</v>
          </cell>
          <cell r="B724">
            <v>1931.2222220000001</v>
          </cell>
          <cell r="C724">
            <v>414.36744599999997</v>
          </cell>
          <cell r="D724">
            <v>3.0093951849676999</v>
          </cell>
          <cell r="E724">
            <v>414.36744599999997</v>
          </cell>
          <cell r="F724">
            <v>3.0093951849676999</v>
          </cell>
          <cell r="G724">
            <v>4235.9401420000004</v>
          </cell>
          <cell r="H724">
            <v>9.6409660938225699</v>
          </cell>
          <cell r="I724">
            <v>1985.566926</v>
          </cell>
          <cell r="J724">
            <v>7.9814212726428204</v>
          </cell>
          <cell r="K724">
            <v>3117.1135260000001</v>
          </cell>
          <cell r="L724">
            <v>3.3851162790697602</v>
          </cell>
          <cell r="M724">
            <v>671.70553399999994</v>
          </cell>
          <cell r="N724">
            <v>1.9888372093023201</v>
          </cell>
          <cell r="O724">
            <v>3140.2427360000001</v>
          </cell>
          <cell r="P724">
            <v>7.3466068424004396</v>
          </cell>
          <cell r="Q724">
            <v>780.15487900000005</v>
          </cell>
          <cell r="R724">
            <v>4.2019068984856904</v>
          </cell>
          <cell r="S724">
            <v>2110.199638</v>
          </cell>
          <cell r="T724">
            <v>2.3565316600114001</v>
          </cell>
          <cell r="U724">
            <v>419.43316199999998</v>
          </cell>
          <cell r="V724">
            <v>0.938961779806046</v>
          </cell>
        </row>
        <row r="725">
          <cell r="A725" t="str">
            <v>042302</v>
          </cell>
          <cell r="B725">
            <v>714</v>
          </cell>
          <cell r="C725">
            <v>387.34215799999998</v>
          </cell>
          <cell r="D725">
            <v>1.8870292887029201</v>
          </cell>
          <cell r="E725">
            <v>374.22324400000002</v>
          </cell>
          <cell r="F725">
            <v>1.7866108786610799</v>
          </cell>
          <cell r="G725">
            <v>1674.902662</v>
          </cell>
          <cell r="H725">
            <v>3.4520166898469999</v>
          </cell>
          <cell r="I725">
            <v>1365.587047</v>
          </cell>
          <cell r="J725">
            <v>3.3018080667593801</v>
          </cell>
          <cell r="K725">
            <v>1400.812099</v>
          </cell>
          <cell r="L725">
            <v>2.0737134909596602</v>
          </cell>
          <cell r="M725">
            <v>209.84819100000001</v>
          </cell>
          <cell r="N725">
            <v>1.5146036161335099</v>
          </cell>
          <cell r="O725">
            <v>1522.175823</v>
          </cell>
          <cell r="P725">
            <v>4.33615819209039</v>
          </cell>
          <cell r="Q725">
            <v>679.92598799999996</v>
          </cell>
          <cell r="R725">
            <v>3.3135593220338899</v>
          </cell>
          <cell r="S725">
            <v>1029.8664060000001</v>
          </cell>
          <cell r="T725">
            <v>4.0933521923620901</v>
          </cell>
          <cell r="U725">
            <v>897.50254500000005</v>
          </cell>
          <cell r="V725">
            <v>3.0848656294200798</v>
          </cell>
        </row>
        <row r="726">
          <cell r="A726" t="str">
            <v>042303</v>
          </cell>
          <cell r="B726">
            <v>1062.4000000000001</v>
          </cell>
          <cell r="C726">
            <v>372.69120800000002</v>
          </cell>
          <cell r="D726">
            <v>2.5581613508442702</v>
          </cell>
          <cell r="E726">
            <v>372.59667100000001</v>
          </cell>
          <cell r="F726">
            <v>2.5572232645403301</v>
          </cell>
          <cell r="G726">
            <v>586.69848300000001</v>
          </cell>
          <cell r="H726">
            <v>3.0752587017873898</v>
          </cell>
          <cell r="I726">
            <v>568.63873100000001</v>
          </cell>
          <cell r="J726">
            <v>3.0677328316086498</v>
          </cell>
          <cell r="K726">
            <v>1588.5605880000001</v>
          </cell>
          <cell r="L726">
            <v>3.95582706766917</v>
          </cell>
          <cell r="M726">
            <v>516.08388100000002</v>
          </cell>
          <cell r="N726">
            <v>2.3195488721804498</v>
          </cell>
          <cell r="O726">
            <v>271.97479499999997</v>
          </cell>
          <cell r="P726">
            <v>1.40018832391713</v>
          </cell>
          <cell r="Q726">
            <v>210.34048899999999</v>
          </cell>
          <cell r="R726">
            <v>1.32391713747645</v>
          </cell>
          <cell r="S726">
            <v>154.795458</v>
          </cell>
          <cell r="T726">
            <v>0.92431409649952601</v>
          </cell>
          <cell r="U726">
            <v>90.634609999999995</v>
          </cell>
          <cell r="V726">
            <v>0.58372753074739803</v>
          </cell>
        </row>
        <row r="727">
          <cell r="A727" t="str">
            <v>042304</v>
          </cell>
          <cell r="B727">
            <v>240.25</v>
          </cell>
          <cell r="C727">
            <v>165.67531099999999</v>
          </cell>
          <cell r="D727">
            <v>1.3203125</v>
          </cell>
          <cell r="E727">
            <v>165.67531099999999</v>
          </cell>
          <cell r="F727">
            <v>1.3203125</v>
          </cell>
          <cell r="G727">
            <v>1837.729971</v>
          </cell>
          <cell r="H727">
            <v>4.4308300395256897</v>
          </cell>
          <cell r="I727">
            <v>626.08395800000005</v>
          </cell>
          <cell r="J727">
            <v>3.4229249011857701</v>
          </cell>
          <cell r="K727">
            <v>3638.2475319999999</v>
          </cell>
          <cell r="L727">
            <v>2.024</v>
          </cell>
          <cell r="M727">
            <v>378.640199</v>
          </cell>
          <cell r="N727">
            <v>1.08</v>
          </cell>
          <cell r="O727">
            <v>3172.5110300000001</v>
          </cell>
          <cell r="P727">
            <v>2.2463768115942</v>
          </cell>
          <cell r="Q727">
            <v>152.687198</v>
          </cell>
          <cell r="R727">
            <v>0.31400966183574802</v>
          </cell>
          <cell r="S727">
            <v>593.31253300000003</v>
          </cell>
          <cell r="T727">
            <v>0.97154471544715404</v>
          </cell>
          <cell r="U727">
            <v>593.31253300000003</v>
          </cell>
          <cell r="V727">
            <v>0.97154471544715404</v>
          </cell>
        </row>
        <row r="728">
          <cell r="A728" t="str">
            <v>042401</v>
          </cell>
          <cell r="B728">
            <v>742.2</v>
          </cell>
          <cell r="C728">
            <v>198.400094</v>
          </cell>
          <cell r="D728">
            <v>1.20871862615587</v>
          </cell>
          <cell r="E728">
            <v>196.15615299999999</v>
          </cell>
          <cell r="F728">
            <v>1.2060766182298499</v>
          </cell>
          <cell r="G728">
            <v>980.64300200000002</v>
          </cell>
          <cell r="H728">
            <v>2.0828877005347501</v>
          </cell>
          <cell r="I728">
            <v>428.06199299999997</v>
          </cell>
          <cell r="J728">
            <v>1.5</v>
          </cell>
          <cell r="K728">
            <v>2410.6331100000002</v>
          </cell>
          <cell r="L728">
            <v>2.9572763684913199</v>
          </cell>
          <cell r="M728">
            <v>199.735603</v>
          </cell>
          <cell r="N728">
            <v>1.4566088117489899</v>
          </cell>
          <cell r="O728">
            <v>917.49751800000001</v>
          </cell>
          <cell r="P728">
            <v>2.4330175913396399</v>
          </cell>
          <cell r="Q728">
            <v>249.13606200000001</v>
          </cell>
          <cell r="R728">
            <v>1.2963464140730701</v>
          </cell>
          <cell r="S728">
            <v>1037.9682210000001</v>
          </cell>
          <cell r="T728">
            <v>3.54874651810584</v>
          </cell>
          <cell r="U728">
            <v>434.55800799999997</v>
          </cell>
          <cell r="V728">
            <v>1.8272980501392699</v>
          </cell>
        </row>
        <row r="729">
          <cell r="A729" t="str">
            <v>042402</v>
          </cell>
          <cell r="B729">
            <v>621.22222199999999</v>
          </cell>
          <cell r="C729">
            <v>151.234544</v>
          </cell>
          <cell r="D729">
            <v>0.66022544283413798</v>
          </cell>
          <cell r="E729">
            <v>151.234544</v>
          </cell>
          <cell r="F729">
            <v>0.66022544283413798</v>
          </cell>
          <cell r="G729">
            <v>282.90828599999998</v>
          </cell>
          <cell r="H729">
            <v>2.40031897926634</v>
          </cell>
          <cell r="I729">
            <v>261.94242000000003</v>
          </cell>
          <cell r="J729">
            <v>2.3923444976076498</v>
          </cell>
          <cell r="K729">
            <v>2161.6994140000002</v>
          </cell>
          <cell r="L729">
            <v>2.64856230031948</v>
          </cell>
          <cell r="M729">
            <v>162.87372199999999</v>
          </cell>
          <cell r="N729">
            <v>1.4760383386581399</v>
          </cell>
          <cell r="O729">
            <v>1914.845853</v>
          </cell>
          <cell r="P729">
            <v>2.5573505654280999</v>
          </cell>
          <cell r="Q729">
            <v>150.46642399999999</v>
          </cell>
          <cell r="R729">
            <v>1.2746365105008</v>
          </cell>
          <cell r="S729">
            <v>697.15913399999999</v>
          </cell>
          <cell r="T729">
            <v>3.6394779771615</v>
          </cell>
          <cell r="U729">
            <v>498.08493700000002</v>
          </cell>
          <cell r="V729">
            <v>3.50244698205546</v>
          </cell>
        </row>
        <row r="730">
          <cell r="A730" t="str">
            <v>042501</v>
          </cell>
          <cell r="B730">
            <v>1966.6</v>
          </cell>
          <cell r="C730">
            <v>2769.8822340000002</v>
          </cell>
          <cell r="D730">
            <v>2.5215646940822398</v>
          </cell>
          <cell r="E730">
            <v>119.223429</v>
          </cell>
          <cell r="F730">
            <v>1.2321965897692999</v>
          </cell>
          <cell r="G730">
            <v>500.43040300000001</v>
          </cell>
          <cell r="H730">
            <v>1.2377833753148599</v>
          </cell>
          <cell r="I730">
            <v>90.097481999999999</v>
          </cell>
          <cell r="J730">
            <v>0.63979848866498701</v>
          </cell>
          <cell r="K730">
            <v>424.55865299999999</v>
          </cell>
          <cell r="L730">
            <v>0.94726166328600403</v>
          </cell>
          <cell r="M730">
            <v>100.530552</v>
          </cell>
          <cell r="N730">
            <v>0.54208924949290005</v>
          </cell>
          <cell r="O730">
            <v>1256.119467</v>
          </cell>
          <cell r="P730">
            <v>2.0788934426229502</v>
          </cell>
          <cell r="Q730">
            <v>381.55204900000001</v>
          </cell>
          <cell r="R730">
            <v>1.6629098360655701</v>
          </cell>
          <cell r="S730">
            <v>1157.787763</v>
          </cell>
          <cell r="T730">
            <v>3.79948186528497</v>
          </cell>
          <cell r="U730">
            <v>1086.8048269999999</v>
          </cell>
          <cell r="V730">
            <v>3.51917098445595</v>
          </cell>
        </row>
        <row r="731">
          <cell r="A731" t="str">
            <v>042502</v>
          </cell>
          <cell r="B731">
            <v>2116.4</v>
          </cell>
          <cell r="C731">
            <v>5547.672141</v>
          </cell>
          <cell r="D731">
            <v>3.2462616822429902</v>
          </cell>
          <cell r="E731">
            <v>113.12957299999999</v>
          </cell>
          <cell r="F731">
            <v>0.77710280373831697</v>
          </cell>
          <cell r="G731">
            <v>106.970264</v>
          </cell>
          <cell r="H731">
            <v>0.54266855256954205</v>
          </cell>
          <cell r="I731">
            <v>101.098141</v>
          </cell>
          <cell r="J731">
            <v>0.53418198962753405</v>
          </cell>
          <cell r="K731">
            <v>1991.6694849999999</v>
          </cell>
          <cell r="L731">
            <v>1.1295947219604101</v>
          </cell>
          <cell r="M731">
            <v>71.384613000000002</v>
          </cell>
          <cell r="N731">
            <v>0.44674835061262902</v>
          </cell>
          <cell r="O731">
            <v>851.39172499999995</v>
          </cell>
          <cell r="P731">
            <v>1.74393146120894</v>
          </cell>
          <cell r="Q731">
            <v>307.85133999999999</v>
          </cell>
          <cell r="R731">
            <v>1.60732984293193</v>
          </cell>
          <cell r="S731">
            <v>618.635223</v>
          </cell>
          <cell r="T731">
            <v>3.8813155386081899</v>
          </cell>
          <cell r="U731">
            <v>591.93090199999995</v>
          </cell>
          <cell r="V731">
            <v>3.7907530981887501</v>
          </cell>
        </row>
        <row r="732">
          <cell r="A732" t="str">
            <v>042601</v>
          </cell>
          <cell r="B732">
            <v>793</v>
          </cell>
          <cell r="C732">
            <v>3797.1054210000002</v>
          </cell>
          <cell r="D732">
            <v>2.5667915106117301</v>
          </cell>
          <cell r="E732">
            <v>293.97313000000003</v>
          </cell>
          <cell r="F732">
            <v>1.5156054931335801</v>
          </cell>
          <cell r="G732">
            <v>547.49247800000001</v>
          </cell>
          <cell r="H732">
            <v>0.97345132743362806</v>
          </cell>
          <cell r="I732">
            <v>192.47701000000001</v>
          </cell>
          <cell r="J732">
            <v>0.73704171934260398</v>
          </cell>
          <cell r="K732">
            <v>4857.3039129999997</v>
          </cell>
          <cell r="L732">
            <v>2.7588383838383801</v>
          </cell>
          <cell r="M732">
            <v>151.20380800000001</v>
          </cell>
          <cell r="N732">
            <v>0.62247474747474696</v>
          </cell>
          <cell r="O732">
            <v>277.55155999999999</v>
          </cell>
          <cell r="P732">
            <v>1.76962025316455</v>
          </cell>
          <cell r="Q732">
            <v>193.71926099999999</v>
          </cell>
          <cell r="R732">
            <v>1.6531645569620199</v>
          </cell>
          <cell r="S732">
            <v>702.10069499999997</v>
          </cell>
          <cell r="T732">
            <v>4.3628318584070698</v>
          </cell>
          <cell r="U732">
            <v>556.25632099999996</v>
          </cell>
          <cell r="V732">
            <v>3.6839443742098599</v>
          </cell>
        </row>
        <row r="733">
          <cell r="A733" t="str">
            <v>042602</v>
          </cell>
          <cell r="B733">
            <v>1616</v>
          </cell>
          <cell r="C733">
            <v>6864.5140250000004</v>
          </cell>
          <cell r="D733">
            <v>6.0886153846153803</v>
          </cell>
          <cell r="E733">
            <v>962.867839</v>
          </cell>
          <cell r="F733">
            <v>2.2818461538461499</v>
          </cell>
          <cell r="G733">
            <v>415.95042799999999</v>
          </cell>
          <cell r="H733">
            <v>0.61090458488228006</v>
          </cell>
          <cell r="I733">
            <v>96.877073999999993</v>
          </cell>
          <cell r="J733">
            <v>0.51982651796778101</v>
          </cell>
          <cell r="K733">
            <v>2613.3814750000001</v>
          </cell>
          <cell r="L733">
            <v>2.2984520123838998</v>
          </cell>
          <cell r="M733">
            <v>329.92598500000003</v>
          </cell>
          <cell r="N733">
            <v>1.6495356037151701</v>
          </cell>
          <cell r="O733">
            <v>434.65477099999998</v>
          </cell>
          <cell r="P733">
            <v>1.3302411873840401</v>
          </cell>
          <cell r="Q733">
            <v>99.334744999999998</v>
          </cell>
          <cell r="R733">
            <v>0.95980210265924504</v>
          </cell>
          <cell r="S733">
            <v>560.73544600000002</v>
          </cell>
          <cell r="T733">
            <v>2.92728402734617</v>
          </cell>
          <cell r="U733">
            <v>541.69615699999997</v>
          </cell>
          <cell r="V733">
            <v>2.9005593536357899</v>
          </cell>
        </row>
        <row r="734">
          <cell r="A734" t="str">
            <v>042701</v>
          </cell>
          <cell r="B734">
            <v>875.6</v>
          </cell>
          <cell r="C734">
            <v>1502.704794</v>
          </cell>
          <cell r="D734">
            <v>2.08437856328392</v>
          </cell>
          <cell r="E734">
            <v>22.207604</v>
          </cell>
          <cell r="F734">
            <v>0.75940706955530202</v>
          </cell>
          <cell r="G734">
            <v>67.245647000000005</v>
          </cell>
          <cell r="H734">
            <v>0.191999999999999</v>
          </cell>
          <cell r="I734">
            <v>56.865937000000002</v>
          </cell>
          <cell r="J734">
            <v>0.186285714285714</v>
          </cell>
          <cell r="K734">
            <v>522.66886399999999</v>
          </cell>
          <cell r="L734">
            <v>0.51720183486238502</v>
          </cell>
          <cell r="M734">
            <v>117.72909</v>
          </cell>
          <cell r="N734">
            <v>0.432339449541284</v>
          </cell>
          <cell r="O734">
            <v>572.750134</v>
          </cell>
          <cell r="P734">
            <v>3.0988505747126398</v>
          </cell>
          <cell r="Q734">
            <v>452.64317999999997</v>
          </cell>
          <cell r="R734">
            <v>3.0287356321839001</v>
          </cell>
          <cell r="S734">
            <v>217.16693000000001</v>
          </cell>
          <cell r="T734">
            <v>0.355203619909502</v>
          </cell>
          <cell r="U734">
            <v>20.815026</v>
          </cell>
          <cell r="V734">
            <v>0.23190045248868699</v>
          </cell>
        </row>
        <row r="735">
          <cell r="A735" t="str">
            <v>042702</v>
          </cell>
          <cell r="B735">
            <v>914.55555500000003</v>
          </cell>
          <cell r="C735">
            <v>14.571863</v>
          </cell>
          <cell r="D735">
            <v>6.6298342541436406E-2</v>
          </cell>
          <cell r="E735">
            <v>13.363381</v>
          </cell>
          <cell r="F735">
            <v>6.2615101289134403E-2</v>
          </cell>
          <cell r="G735">
            <v>118.73863799999999</v>
          </cell>
          <cell r="H735">
            <v>0.31614135625596901</v>
          </cell>
          <cell r="I735">
            <v>10.497312000000001</v>
          </cell>
          <cell r="J735">
            <v>8.4049665711556795E-2</v>
          </cell>
          <cell r="K735">
            <v>1066.7969129999999</v>
          </cell>
          <cell r="L735">
            <v>1.1111111111111101</v>
          </cell>
          <cell r="M735">
            <v>63.353687000000001</v>
          </cell>
          <cell r="N735">
            <v>8.0896686159843995E-2</v>
          </cell>
          <cell r="O735">
            <v>321.077876</v>
          </cell>
          <cell r="P735">
            <v>1.5535714285714199</v>
          </cell>
          <cell r="Q735">
            <v>240.05729099999999</v>
          </cell>
          <cell r="R735">
            <v>1.5287698412698401</v>
          </cell>
          <cell r="S735">
            <v>84.336214999999996</v>
          </cell>
          <cell r="T735">
            <v>0.42828077314343799</v>
          </cell>
          <cell r="U735">
            <v>84.336214999999996</v>
          </cell>
          <cell r="V735">
            <v>0.42828077314343799</v>
          </cell>
        </row>
        <row r="736">
          <cell r="A736" t="str">
            <v>042703</v>
          </cell>
          <cell r="B736">
            <v>1147.8</v>
          </cell>
          <cell r="C736">
            <v>265.62391200000002</v>
          </cell>
          <cell r="D736">
            <v>0.273437499999999</v>
          </cell>
          <cell r="E736">
            <v>87.997844000000001</v>
          </cell>
          <cell r="F736">
            <v>0.19878472222222199</v>
          </cell>
          <cell r="G736">
            <v>830.80801199999996</v>
          </cell>
          <cell r="H736">
            <v>1.15711805555555</v>
          </cell>
          <cell r="I736">
            <v>177.837345</v>
          </cell>
          <cell r="J736">
            <v>0.77256944444444398</v>
          </cell>
          <cell r="K736">
            <v>335.28433100000001</v>
          </cell>
          <cell r="L736">
            <v>0.76649305555555503</v>
          </cell>
          <cell r="M736">
            <v>328.16374400000001</v>
          </cell>
          <cell r="N736">
            <v>0.76388888888888795</v>
          </cell>
          <cell r="O736">
            <v>760.45188900000005</v>
          </cell>
          <cell r="P736">
            <v>2.4982547993019102</v>
          </cell>
          <cell r="Q736">
            <v>645.97354499999994</v>
          </cell>
          <cell r="R736">
            <v>2.2164048865619499</v>
          </cell>
          <cell r="S736">
            <v>738.85400100000004</v>
          </cell>
          <cell r="T736">
            <v>0.75021987686895297</v>
          </cell>
          <cell r="U736">
            <v>82.166152999999994</v>
          </cell>
          <cell r="V736">
            <v>0.32453825857519703</v>
          </cell>
        </row>
        <row r="737">
          <cell r="A737" t="str">
            <v>042901</v>
          </cell>
          <cell r="B737">
            <v>392.8</v>
          </cell>
          <cell r="C737">
            <v>762.85533399999997</v>
          </cell>
          <cell r="D737">
            <v>1.5501285347043701</v>
          </cell>
          <cell r="E737">
            <v>83.375786000000005</v>
          </cell>
          <cell r="F737">
            <v>1.18766066838046</v>
          </cell>
          <cell r="G737">
            <v>193.29142200000001</v>
          </cell>
          <cell r="H737">
            <v>0.93401015228426298</v>
          </cell>
          <cell r="I737">
            <v>193.19268299999999</v>
          </cell>
          <cell r="J737">
            <v>0.93147208121827396</v>
          </cell>
          <cell r="K737">
            <v>286.12917599999997</v>
          </cell>
          <cell r="L737">
            <v>1.7913486005089001</v>
          </cell>
          <cell r="M737">
            <v>140.711365</v>
          </cell>
          <cell r="N737">
            <v>0.77099236641221303</v>
          </cell>
          <cell r="O737">
            <v>239.47156000000001</v>
          </cell>
          <cell r="P737">
            <v>1.4101265822784801</v>
          </cell>
          <cell r="Q737">
            <v>238.40194</v>
          </cell>
          <cell r="R737">
            <v>1.3848101265822701</v>
          </cell>
          <cell r="S737">
            <v>53.447327000000001</v>
          </cell>
          <cell r="T737">
            <v>0.17048346055979599</v>
          </cell>
          <cell r="U737">
            <v>20.317557000000001</v>
          </cell>
          <cell r="V737">
            <v>4.8346055979643698E-2</v>
          </cell>
        </row>
        <row r="738">
          <cell r="A738" t="str">
            <v>042902</v>
          </cell>
          <cell r="B738">
            <v>1456.6</v>
          </cell>
          <cell r="C738">
            <v>1889.533079</v>
          </cell>
          <cell r="D738">
            <v>1.34447476125511</v>
          </cell>
          <cell r="E738">
            <v>88.320890000000006</v>
          </cell>
          <cell r="F738">
            <v>0.59276944065484305</v>
          </cell>
          <cell r="G738">
            <v>69.127222000000003</v>
          </cell>
          <cell r="H738">
            <v>0.392197125256673</v>
          </cell>
          <cell r="I738">
            <v>68.363015000000004</v>
          </cell>
          <cell r="J738">
            <v>0.39151266255988998</v>
          </cell>
          <cell r="K738">
            <v>276.206434</v>
          </cell>
          <cell r="L738">
            <v>1.62697866483138</v>
          </cell>
          <cell r="M738">
            <v>15.806813</v>
          </cell>
          <cell r="N738">
            <v>0.115622849277357</v>
          </cell>
          <cell r="O738">
            <v>641.79625299999998</v>
          </cell>
          <cell r="P738">
            <v>1.1539518900343599</v>
          </cell>
          <cell r="Q738">
            <v>641.05563500000005</v>
          </cell>
          <cell r="R738">
            <v>1.1429553264604799</v>
          </cell>
          <cell r="S738">
            <v>14.700816</v>
          </cell>
          <cell r="T738">
            <v>0.17334254143646399</v>
          </cell>
          <cell r="U738">
            <v>14.461383</v>
          </cell>
          <cell r="V738">
            <v>0.17265193370165699</v>
          </cell>
        </row>
        <row r="739">
          <cell r="A739" t="str">
            <v>043301</v>
          </cell>
          <cell r="B739">
            <v>1756</v>
          </cell>
          <cell r="C739">
            <v>69.022745999999998</v>
          </cell>
          <cell r="D739">
            <v>5.2391799544419103E-2</v>
          </cell>
          <cell r="E739">
            <v>6.581575</v>
          </cell>
          <cell r="F739">
            <v>3.0751708428246E-2</v>
          </cell>
          <cell r="G739">
            <v>153.653839</v>
          </cell>
          <cell r="H739">
            <v>1.0022727272727201</v>
          </cell>
          <cell r="I739">
            <v>153.653839</v>
          </cell>
          <cell r="J739">
            <v>1.0022727272727201</v>
          </cell>
          <cell r="K739">
            <v>36.969194999999999</v>
          </cell>
          <cell r="L739">
            <v>1.0380681818181801</v>
          </cell>
          <cell r="M739">
            <v>36.969194999999999</v>
          </cell>
          <cell r="N739">
            <v>1.0380681818181801</v>
          </cell>
          <cell r="O739">
            <v>229.291988</v>
          </cell>
          <cell r="P739">
            <v>0.28213879408418602</v>
          </cell>
          <cell r="Q739">
            <v>225.819254</v>
          </cell>
          <cell r="R739">
            <v>0.25767918088737202</v>
          </cell>
          <cell r="S739">
            <v>560.98988399999996</v>
          </cell>
          <cell r="T739">
            <v>2.1394285714285699</v>
          </cell>
          <cell r="U739">
            <v>39.878342000000004</v>
          </cell>
          <cell r="V739">
            <v>1.01485714285714</v>
          </cell>
        </row>
        <row r="740">
          <cell r="A740" t="str">
            <v>043302</v>
          </cell>
          <cell r="B740">
            <v>2572.4444440000002</v>
          </cell>
          <cell r="C740">
            <v>523.886619</v>
          </cell>
          <cell r="D740">
            <v>1.4114406779661</v>
          </cell>
          <cell r="E740">
            <v>8.6639440000000008</v>
          </cell>
          <cell r="F740">
            <v>9.4915254237288096E-2</v>
          </cell>
          <cell r="G740">
            <v>36.654221</v>
          </cell>
          <cell r="H740">
            <v>0.16168118137069201</v>
          </cell>
          <cell r="I740">
            <v>36.494410999999999</v>
          </cell>
          <cell r="J740">
            <v>0.161302536917834</v>
          </cell>
          <cell r="K740">
            <v>101.648495</v>
          </cell>
          <cell r="L740">
            <v>0.62282031842304697</v>
          </cell>
          <cell r="M740">
            <v>88.724361000000002</v>
          </cell>
          <cell r="N740">
            <v>0.61410159211523796</v>
          </cell>
          <cell r="O740">
            <v>72.34442</v>
          </cell>
          <cell r="P740">
            <v>0.387917933130699</v>
          </cell>
          <cell r="Q740">
            <v>72.284333000000004</v>
          </cell>
          <cell r="R740">
            <v>0.38715805471124598</v>
          </cell>
          <cell r="S740">
            <v>48.276462000000002</v>
          </cell>
          <cell r="T740">
            <v>0.38352490421455898</v>
          </cell>
          <cell r="U740">
            <v>48.276462000000002</v>
          </cell>
          <cell r="V740">
            <v>0.38352490421455898</v>
          </cell>
        </row>
        <row r="741">
          <cell r="A741" t="str">
            <v>043303</v>
          </cell>
          <cell r="B741">
            <v>203.875</v>
          </cell>
          <cell r="C741">
            <v>492.43712499999998</v>
          </cell>
          <cell r="D741">
            <v>3.7443609022556301</v>
          </cell>
          <cell r="E741">
            <v>492.43712499999998</v>
          </cell>
          <cell r="F741">
            <v>3.7443609022556301</v>
          </cell>
          <cell r="G741">
            <v>124.627747</v>
          </cell>
          <cell r="H741">
            <v>2.1409090909090902</v>
          </cell>
          <cell r="I741">
            <v>123.106758</v>
          </cell>
          <cell r="J741">
            <v>2.13636363636363</v>
          </cell>
          <cell r="K741">
            <v>2249.6467750000002</v>
          </cell>
          <cell r="L741">
            <v>1.07075471698113</v>
          </cell>
          <cell r="M741">
            <v>11.128301</v>
          </cell>
          <cell r="N741">
            <v>5.6603773584905599E-2</v>
          </cell>
          <cell r="O741">
            <v>128.61155600000001</v>
          </cell>
          <cell r="P741">
            <v>1.06603773584905</v>
          </cell>
          <cell r="Q741">
            <v>128.61155600000001</v>
          </cell>
          <cell r="R741">
            <v>1.06603773584905</v>
          </cell>
          <cell r="S741">
            <v>3958.1324629999999</v>
          </cell>
          <cell r="T741">
            <v>2.1232227488151598</v>
          </cell>
          <cell r="U741">
            <v>18.666903000000001</v>
          </cell>
          <cell r="V741">
            <v>4.2654028436018898E-2</v>
          </cell>
        </row>
        <row r="742">
          <cell r="A742" t="str">
            <v>043304</v>
          </cell>
          <cell r="B742">
            <v>260.33333299999998</v>
          </cell>
          <cell r="C742">
            <v>3126.9697580000002</v>
          </cell>
          <cell r="D742">
            <v>2.0421455938697299</v>
          </cell>
          <cell r="E742">
            <v>184.77941000000001</v>
          </cell>
          <cell r="F742">
            <v>1.0383141762452099</v>
          </cell>
          <cell r="G742">
            <v>98.033355999999998</v>
          </cell>
          <cell r="H742">
            <v>0.217557251908396</v>
          </cell>
          <cell r="I742">
            <v>97.772112000000007</v>
          </cell>
          <cell r="J742">
            <v>0.213740458015267</v>
          </cell>
          <cell r="K742">
            <v>588.37642500000004</v>
          </cell>
          <cell r="L742">
            <v>2.3003802281368801</v>
          </cell>
          <cell r="M742">
            <v>272.321799</v>
          </cell>
          <cell r="N742">
            <v>2.0798479087452399</v>
          </cell>
          <cell r="O742">
            <v>253.15683200000001</v>
          </cell>
          <cell r="P742">
            <v>0.66283524904214497</v>
          </cell>
          <cell r="Q742">
            <v>253.15683200000001</v>
          </cell>
          <cell r="R742">
            <v>0.66283524904214497</v>
          </cell>
          <cell r="S742">
            <v>517.56457399999999</v>
          </cell>
          <cell r="T742">
            <v>1.2745098039215601</v>
          </cell>
          <cell r="U742">
            <v>38.239083999999998</v>
          </cell>
          <cell r="V742">
            <v>0.14117647058823499</v>
          </cell>
        </row>
        <row r="743">
          <cell r="A743" t="str">
            <v>043501</v>
          </cell>
          <cell r="B743">
            <v>1070.8</v>
          </cell>
          <cell r="C743">
            <v>51.972746000000001</v>
          </cell>
          <cell r="D743">
            <v>0.41953488372093001</v>
          </cell>
          <cell r="E743">
            <v>37.277518000000001</v>
          </cell>
          <cell r="F743">
            <v>0.4</v>
          </cell>
          <cell r="G743">
            <v>1146.355577</v>
          </cell>
          <cell r="H743">
            <v>3.1055555555555499</v>
          </cell>
          <cell r="I743">
            <v>1073.4801339999999</v>
          </cell>
          <cell r="J743">
            <v>2.9064814814814799</v>
          </cell>
          <cell r="K743">
            <v>211.44163499999999</v>
          </cell>
          <cell r="L743">
            <v>0.69702602230483202</v>
          </cell>
          <cell r="M743">
            <v>124.82126700000001</v>
          </cell>
          <cell r="N743">
            <v>0.53345724907063097</v>
          </cell>
          <cell r="O743">
            <v>339.333912</v>
          </cell>
          <cell r="P743">
            <v>1.30197554092191</v>
          </cell>
          <cell r="Q743">
            <v>276.593571</v>
          </cell>
          <cell r="R743">
            <v>0.92662276575728997</v>
          </cell>
          <cell r="S743">
            <v>1480.2747159999999</v>
          </cell>
          <cell r="T743">
            <v>1.96132075471698</v>
          </cell>
          <cell r="U743">
            <v>60.163632</v>
          </cell>
          <cell r="V743">
            <v>0.44716981132075401</v>
          </cell>
        </row>
        <row r="744">
          <cell r="A744" t="str">
            <v>043502</v>
          </cell>
          <cell r="B744">
            <v>669.22222199999999</v>
          </cell>
          <cell r="C744">
            <v>97.308605999999997</v>
          </cell>
          <cell r="D744">
            <v>0.50225563909774396</v>
          </cell>
          <cell r="E744">
            <v>49.527870999999998</v>
          </cell>
          <cell r="F744">
            <v>0.48571428571428499</v>
          </cell>
          <cell r="G744">
            <v>865.48543700000005</v>
          </cell>
          <cell r="H744">
            <v>2.31240657698056</v>
          </cell>
          <cell r="I744">
            <v>865.48543700000005</v>
          </cell>
          <cell r="J744">
            <v>2.31240657698056</v>
          </cell>
          <cell r="K744">
            <v>68.730198000000001</v>
          </cell>
          <cell r="L744">
            <v>0.15223880597014899</v>
          </cell>
          <cell r="M744">
            <v>37.173482</v>
          </cell>
          <cell r="N744">
            <v>0.13731343283582001</v>
          </cell>
          <cell r="O744">
            <v>74.497915000000006</v>
          </cell>
          <cell r="P744">
            <v>0.32291666666666602</v>
          </cell>
          <cell r="Q744">
            <v>63.424751000000001</v>
          </cell>
          <cell r="R744">
            <v>0.29464285714285698</v>
          </cell>
          <cell r="S744">
            <v>8.8863669999999999</v>
          </cell>
          <cell r="T744">
            <v>6.2686567164179099E-2</v>
          </cell>
          <cell r="U744">
            <v>6.6315169999999997</v>
          </cell>
          <cell r="V744">
            <v>4.6268656716417902E-2</v>
          </cell>
        </row>
        <row r="745">
          <cell r="A745" t="str">
            <v>043503</v>
          </cell>
          <cell r="B745">
            <v>175.2</v>
          </cell>
          <cell r="C745">
            <v>393.959945</v>
          </cell>
          <cell r="D745">
            <v>2.4343434343434298</v>
          </cell>
          <cell r="E745">
            <v>392.00131299999998</v>
          </cell>
          <cell r="F745">
            <v>2.4242424242424199</v>
          </cell>
          <cell r="G745">
            <v>1191.125796</v>
          </cell>
          <cell r="H745">
            <v>1.7360406091370499</v>
          </cell>
          <cell r="I745">
            <v>1030.387436</v>
          </cell>
          <cell r="J745">
            <v>1.6548223350253799</v>
          </cell>
          <cell r="K745">
            <v>437.72678500000001</v>
          </cell>
          <cell r="L745">
            <v>0.78571428571428503</v>
          </cell>
          <cell r="M745">
            <v>318.23792500000002</v>
          </cell>
          <cell r="N745">
            <v>0.64285714285714202</v>
          </cell>
          <cell r="O745">
            <v>92.994328999999993</v>
          </cell>
          <cell r="P745">
            <v>0.42783505154639101</v>
          </cell>
          <cell r="Q745">
            <v>90.294758999999999</v>
          </cell>
          <cell r="R745">
            <v>0.41752577319587603</v>
          </cell>
          <cell r="S745">
            <v>273.472982</v>
          </cell>
          <cell r="T745">
            <v>0.69473684210526299</v>
          </cell>
          <cell r="U745">
            <v>163.47149099999999</v>
          </cell>
          <cell r="V745">
            <v>0.46842105263157802</v>
          </cell>
        </row>
        <row r="746">
          <cell r="A746" t="str">
            <v>043601</v>
          </cell>
          <cell r="B746">
            <v>383</v>
          </cell>
          <cell r="C746">
            <v>3310.7263090000001</v>
          </cell>
          <cell r="D746">
            <v>3.87596899224806</v>
          </cell>
          <cell r="E746">
            <v>536.50999899999999</v>
          </cell>
          <cell r="F746">
            <v>2.7157622739018001</v>
          </cell>
          <cell r="G746">
            <v>825.17627700000003</v>
          </cell>
          <cell r="H746">
            <v>1.75578406169665</v>
          </cell>
          <cell r="I746">
            <v>404.19579599999997</v>
          </cell>
          <cell r="J746">
            <v>1.33676092544987</v>
          </cell>
          <cell r="K746">
            <v>457.29835400000002</v>
          </cell>
          <cell r="L746">
            <v>0.51688311688311595</v>
          </cell>
          <cell r="M746">
            <v>68.958268000000004</v>
          </cell>
          <cell r="N746">
            <v>0.36883116883116801</v>
          </cell>
          <cell r="O746">
            <v>1056.452362</v>
          </cell>
          <cell r="P746">
            <v>2.1732283464566899</v>
          </cell>
          <cell r="Q746">
            <v>65.524978000000004</v>
          </cell>
          <cell r="R746">
            <v>1.0393700787401501</v>
          </cell>
          <cell r="S746">
            <v>3594.6923579999998</v>
          </cell>
          <cell r="T746">
            <v>3.0375335120643401</v>
          </cell>
          <cell r="U746">
            <v>541.30169699999999</v>
          </cell>
          <cell r="V746">
            <v>2.0294906166219802</v>
          </cell>
        </row>
        <row r="747">
          <cell r="A747" t="str">
            <v>043602</v>
          </cell>
          <cell r="B747">
            <v>1519.6</v>
          </cell>
          <cell r="C747">
            <v>1096.242025</v>
          </cell>
          <cell r="D747">
            <v>1.48696219035202</v>
          </cell>
          <cell r="E747">
            <v>137.29585299999999</v>
          </cell>
          <cell r="F747">
            <v>0.84354628422425004</v>
          </cell>
          <cell r="G747">
            <v>1492.26612</v>
          </cell>
          <cell r="H747">
            <v>3.7295350360183299</v>
          </cell>
          <cell r="I747">
            <v>549.76770899999997</v>
          </cell>
          <cell r="J747">
            <v>2.4368041912246201</v>
          </cell>
          <cell r="K747">
            <v>1344.1490040000001</v>
          </cell>
          <cell r="L747">
            <v>1.39238845144356</v>
          </cell>
          <cell r="M747">
            <v>156.28196600000001</v>
          </cell>
          <cell r="N747">
            <v>0.797244094488188</v>
          </cell>
          <cell r="O747">
            <v>540.33618300000001</v>
          </cell>
          <cell r="P747">
            <v>2.3784676354029002</v>
          </cell>
          <cell r="Q747">
            <v>336.18241899999998</v>
          </cell>
          <cell r="R747">
            <v>2.07661822985468</v>
          </cell>
          <cell r="S747">
            <v>3261.9137310000001</v>
          </cell>
          <cell r="T747">
            <v>3.77318212141427</v>
          </cell>
          <cell r="U747">
            <v>426.879842</v>
          </cell>
          <cell r="V747">
            <v>2.09539693128752</v>
          </cell>
        </row>
        <row r="748">
          <cell r="A748" t="str">
            <v>043701</v>
          </cell>
          <cell r="B748">
            <v>516.20000000000005</v>
          </cell>
          <cell r="C748">
            <v>371.62866000000002</v>
          </cell>
          <cell r="D748">
            <v>1.76007677543186</v>
          </cell>
          <cell r="E748">
            <v>365.92331799999999</v>
          </cell>
          <cell r="F748">
            <v>1.73320537428023</v>
          </cell>
          <cell r="G748">
            <v>10.720340999999999</v>
          </cell>
          <cell r="H748">
            <v>0.10038610038610001</v>
          </cell>
          <cell r="I748">
            <v>10.174739000000001</v>
          </cell>
          <cell r="J748">
            <v>9.8455598455598398E-2</v>
          </cell>
          <cell r="K748">
            <v>526.20739600000002</v>
          </cell>
          <cell r="L748">
            <v>2.4360465116279002</v>
          </cell>
          <cell r="M748">
            <v>77.718700999999996</v>
          </cell>
          <cell r="N748">
            <v>0.31782945736434098</v>
          </cell>
          <cell r="O748">
            <v>1798.613574</v>
          </cell>
          <cell r="P748">
            <v>3.3828125</v>
          </cell>
          <cell r="Q748">
            <v>238.91263000000001</v>
          </cell>
          <cell r="R748">
            <v>2.365234375</v>
          </cell>
          <cell r="S748">
            <v>171.99043399999999</v>
          </cell>
          <cell r="T748">
            <v>1.97081712062256</v>
          </cell>
          <cell r="U748">
            <v>160.29818399999999</v>
          </cell>
          <cell r="V748">
            <v>1.93579766536964</v>
          </cell>
        </row>
        <row r="749">
          <cell r="A749" t="str">
            <v>043901</v>
          </cell>
          <cell r="B749">
            <v>320</v>
          </cell>
          <cell r="C749">
            <v>1529.456238</v>
          </cell>
          <cell r="D749">
            <v>1.9126984126984099</v>
          </cell>
          <cell r="E749">
            <v>627.72400400000004</v>
          </cell>
          <cell r="F749">
            <v>1.65079365079365</v>
          </cell>
          <cell r="G749">
            <v>220.49016900000001</v>
          </cell>
          <cell r="H749">
            <v>1.3196721311475399</v>
          </cell>
          <cell r="I749">
            <v>216.53813199999999</v>
          </cell>
          <cell r="J749">
            <v>1.2923497267759501</v>
          </cell>
          <cell r="K749">
            <v>1036.401666</v>
          </cell>
          <cell r="L749">
            <v>1.2459459459459401</v>
          </cell>
          <cell r="M749">
            <v>259.74027000000001</v>
          </cell>
          <cell r="N749">
            <v>0.86756756756756703</v>
          </cell>
          <cell r="O749">
            <v>449.589899</v>
          </cell>
          <cell r="P749">
            <v>1.6141304347826</v>
          </cell>
          <cell r="Q749">
            <v>285.34990900000003</v>
          </cell>
          <cell r="R749">
            <v>1.44836956521739</v>
          </cell>
          <cell r="S749">
            <v>1060.1571160000001</v>
          </cell>
          <cell r="T749">
            <v>2.9783783783783702</v>
          </cell>
          <cell r="U749">
            <v>1026.0669809999999</v>
          </cell>
          <cell r="V749">
            <v>2.7918918918918898</v>
          </cell>
        </row>
        <row r="750">
          <cell r="A750" t="str">
            <v>043902</v>
          </cell>
          <cell r="B750">
            <v>297</v>
          </cell>
          <cell r="C750">
            <v>2692.090267</v>
          </cell>
          <cell r="D750">
            <v>3.0236686390532501</v>
          </cell>
          <cell r="E750">
            <v>245.65413000000001</v>
          </cell>
          <cell r="F750">
            <v>1.95266272189349</v>
          </cell>
          <cell r="G750">
            <v>314.301625</v>
          </cell>
          <cell r="H750">
            <v>1.7771084337349301</v>
          </cell>
          <cell r="I750">
            <v>196.91412299999999</v>
          </cell>
          <cell r="J750">
            <v>1.6566265060240899</v>
          </cell>
          <cell r="K750">
            <v>145.547676</v>
          </cell>
          <cell r="L750">
            <v>1.56969696969696</v>
          </cell>
          <cell r="M750">
            <v>126.24702000000001</v>
          </cell>
          <cell r="N750">
            <v>1.2787878787878699</v>
          </cell>
          <cell r="O750">
            <v>1482.505521</v>
          </cell>
          <cell r="P750">
            <v>2.2036474164133701</v>
          </cell>
          <cell r="Q750">
            <v>475.81296800000001</v>
          </cell>
          <cell r="R750">
            <v>2.02431610942249</v>
          </cell>
          <cell r="S750">
            <v>1064.478153</v>
          </cell>
          <cell r="T750">
            <v>3.4830769230769199</v>
          </cell>
          <cell r="U750">
            <v>973.41220499999997</v>
          </cell>
          <cell r="V750">
            <v>3.0707692307692298</v>
          </cell>
        </row>
        <row r="751">
          <cell r="A751" t="str">
            <v>044002</v>
          </cell>
          <cell r="B751">
            <v>292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92.036906000000002</v>
          </cell>
          <cell r="H751">
            <v>4.0712468193384199E-2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9.1760029999999997</v>
          </cell>
          <cell r="P751">
            <v>0.15706806282722499</v>
          </cell>
          <cell r="Q751">
            <v>9.1760029999999997</v>
          </cell>
          <cell r="R751">
            <v>0.15706806282722499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</row>
        <row r="752">
          <cell r="A752" t="str">
            <v>044007</v>
          </cell>
          <cell r="B752">
            <v>283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3.0297990000000001</v>
          </cell>
          <cell r="T752">
            <v>7.0671378091872704E-3</v>
          </cell>
          <cell r="U752">
            <v>3.0297990000000001</v>
          </cell>
          <cell r="V752">
            <v>7.0671378091872704E-3</v>
          </cell>
        </row>
        <row r="753">
          <cell r="A753" t="str">
            <v>044201</v>
          </cell>
          <cell r="B753">
            <v>1381.6</v>
          </cell>
          <cell r="C753">
            <v>2095.077597</v>
          </cell>
          <cell r="D753">
            <v>2.1003236245954602</v>
          </cell>
          <cell r="E753">
            <v>140.51631800000001</v>
          </cell>
          <cell r="F753">
            <v>0.62977346278317103</v>
          </cell>
          <cell r="G753">
            <v>233.330579</v>
          </cell>
          <cell r="H753">
            <v>1.19422572178477</v>
          </cell>
          <cell r="I753">
            <v>230.74746500000001</v>
          </cell>
          <cell r="J753">
            <v>1.1771653543306999</v>
          </cell>
          <cell r="K753">
            <v>740.10909700000002</v>
          </cell>
          <cell r="L753">
            <v>2.5296031229668099</v>
          </cell>
          <cell r="M753">
            <v>186.017382</v>
          </cell>
          <cell r="N753">
            <v>2.0943396226414999</v>
          </cell>
          <cell r="O753">
            <v>480.20201300000002</v>
          </cell>
          <cell r="P753">
            <v>2.1808510638297798</v>
          </cell>
          <cell r="Q753">
            <v>173.77619000000001</v>
          </cell>
          <cell r="R753">
            <v>1.7560790273556199</v>
          </cell>
          <cell r="S753">
            <v>1464.5017230000001</v>
          </cell>
          <cell r="T753">
            <v>1.6247464503042499</v>
          </cell>
          <cell r="U753">
            <v>209.85792699999999</v>
          </cell>
          <cell r="V753">
            <v>0.79614604462474603</v>
          </cell>
        </row>
        <row r="754">
          <cell r="A754" t="str">
            <v>044202</v>
          </cell>
          <cell r="B754">
            <v>990.8</v>
          </cell>
          <cell r="C754">
            <v>314.92941200000001</v>
          </cell>
          <cell r="D754">
            <v>1.4338689740420201</v>
          </cell>
          <cell r="E754">
            <v>290.76897100000002</v>
          </cell>
          <cell r="F754">
            <v>0.96044499381952997</v>
          </cell>
          <cell r="G754">
            <v>88.722254000000007</v>
          </cell>
          <cell r="H754">
            <v>0.59375</v>
          </cell>
          <cell r="I754">
            <v>86.902620999999996</v>
          </cell>
          <cell r="J754">
            <v>0.59</v>
          </cell>
          <cell r="K754">
            <v>447.50652000000002</v>
          </cell>
          <cell r="L754">
            <v>3.2312500000000002</v>
          </cell>
          <cell r="M754">
            <v>329.71654100000001</v>
          </cell>
          <cell r="N754">
            <v>3.1549999999999998</v>
          </cell>
          <cell r="O754">
            <v>188.205241</v>
          </cell>
          <cell r="P754">
            <v>1.9182083739045701</v>
          </cell>
          <cell r="Q754">
            <v>184.71330699999999</v>
          </cell>
          <cell r="R754">
            <v>1.9045764362219999</v>
          </cell>
          <cell r="S754">
            <v>3028.7046319999999</v>
          </cell>
          <cell r="T754">
            <v>5.26811594202898</v>
          </cell>
          <cell r="U754">
            <v>1237.247507</v>
          </cell>
          <cell r="V754">
            <v>4.5441370223978899</v>
          </cell>
        </row>
        <row r="755">
          <cell r="A755" t="str">
            <v>044301</v>
          </cell>
          <cell r="B755">
            <v>1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29.3</v>
          </cell>
          <cell r="L755">
            <v>1</v>
          </cell>
          <cell r="M755">
            <v>29.3</v>
          </cell>
          <cell r="N755">
            <v>1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</row>
        <row r="756">
          <cell r="A756" t="str">
            <v>044801</v>
          </cell>
          <cell r="B756">
            <v>1159.4000000000001</v>
          </cell>
          <cell r="C756">
            <v>169.92128199999999</v>
          </cell>
          <cell r="D756">
            <v>0.79217391304347795</v>
          </cell>
          <cell r="E756">
            <v>67.387494000000004</v>
          </cell>
          <cell r="F756">
            <v>0.29478260869565198</v>
          </cell>
          <cell r="G756">
            <v>241.452687</v>
          </cell>
          <cell r="H756">
            <v>1.2368881118881101</v>
          </cell>
          <cell r="I756">
            <v>226.88736700000001</v>
          </cell>
          <cell r="J756">
            <v>1.13986013986013</v>
          </cell>
          <cell r="K756">
            <v>1528.8950050000001</v>
          </cell>
          <cell r="L756">
            <v>1.00871080139372</v>
          </cell>
          <cell r="M756">
            <v>68.739807999999996</v>
          </cell>
          <cell r="N756">
            <v>0.219512195121951</v>
          </cell>
          <cell r="O756">
            <v>861.63028699999995</v>
          </cell>
          <cell r="P756">
            <v>1.85664335664335</v>
          </cell>
          <cell r="Q756">
            <v>792.831322</v>
          </cell>
          <cell r="R756">
            <v>1.43793706293706</v>
          </cell>
          <cell r="S756">
            <v>207.08104800000001</v>
          </cell>
          <cell r="T756">
            <v>1.3476465730800899</v>
          </cell>
          <cell r="U756">
            <v>81.341920999999999</v>
          </cell>
          <cell r="V756">
            <v>1.0495458298926501</v>
          </cell>
        </row>
        <row r="757">
          <cell r="A757" t="str">
            <v>044802</v>
          </cell>
          <cell r="B757">
            <v>309.22222199999999</v>
          </cell>
          <cell r="C757">
            <v>102.65077599999999</v>
          </cell>
          <cell r="D757">
            <v>0.56074766355140104</v>
          </cell>
          <cell r="E757">
            <v>28.279523999999999</v>
          </cell>
          <cell r="F757">
            <v>0.31464174454828597</v>
          </cell>
          <cell r="G757">
            <v>283.56359200000003</v>
          </cell>
          <cell r="H757">
            <v>1.3596214511041</v>
          </cell>
          <cell r="I757">
            <v>283.56359200000003</v>
          </cell>
          <cell r="J757">
            <v>1.3596214511041</v>
          </cell>
          <cell r="K757">
            <v>3927.9720259999999</v>
          </cell>
          <cell r="L757">
            <v>3.2292993630573199</v>
          </cell>
          <cell r="M757">
            <v>227.543205</v>
          </cell>
          <cell r="N757">
            <v>1.1656050955413999</v>
          </cell>
          <cell r="O757">
            <v>374.23713700000002</v>
          </cell>
          <cell r="P757">
            <v>1.3376205787781299</v>
          </cell>
          <cell r="Q757">
            <v>325.230707</v>
          </cell>
          <cell r="R757">
            <v>1.0964630225080301</v>
          </cell>
          <cell r="S757">
            <v>11.93188</v>
          </cell>
          <cell r="T757">
            <v>7.3170731707316999E-2</v>
          </cell>
          <cell r="U757">
            <v>4.6618459999999997</v>
          </cell>
          <cell r="V757">
            <v>6.6202090592334395E-2</v>
          </cell>
        </row>
        <row r="758">
          <cell r="A758" t="str">
            <v>045101</v>
          </cell>
          <cell r="B758">
            <v>917.6</v>
          </cell>
          <cell r="C758">
            <v>2688.0006050000002</v>
          </cell>
          <cell r="D758">
            <v>1.26568758344459</v>
          </cell>
          <cell r="E758">
            <v>21.758299999999998</v>
          </cell>
          <cell r="F758">
            <v>9.34579439252336E-2</v>
          </cell>
          <cell r="G758">
            <v>32.478537000000003</v>
          </cell>
          <cell r="H758">
            <v>0.23076923076923</v>
          </cell>
          <cell r="I758">
            <v>29.017871</v>
          </cell>
          <cell r="J758">
            <v>0.207900207900207</v>
          </cell>
          <cell r="K758">
            <v>83.269732000000005</v>
          </cell>
          <cell r="L758">
            <v>0.31704781704781698</v>
          </cell>
          <cell r="M758">
            <v>31.136814999999999</v>
          </cell>
          <cell r="N758">
            <v>0.28274428274428198</v>
          </cell>
          <cell r="O758">
            <v>68.113760999999997</v>
          </cell>
          <cell r="P758">
            <v>0.352818371607515</v>
          </cell>
          <cell r="Q758">
            <v>54.806437000000003</v>
          </cell>
          <cell r="R758">
            <v>0.29749478079331898</v>
          </cell>
          <cell r="S758">
            <v>28.777481000000002</v>
          </cell>
          <cell r="T758">
            <v>9.40438871473354E-2</v>
          </cell>
          <cell r="U758">
            <v>18.268616999999999</v>
          </cell>
          <cell r="V758">
            <v>4.1797283176593501E-2</v>
          </cell>
        </row>
        <row r="759">
          <cell r="A759" t="str">
            <v>045102</v>
          </cell>
          <cell r="B759">
            <v>313</v>
          </cell>
          <cell r="C759">
            <v>172.35352499999999</v>
          </cell>
          <cell r="D759">
            <v>7.8125E-2</v>
          </cell>
          <cell r="E759">
            <v>1.5560970000000001</v>
          </cell>
          <cell r="F759">
            <v>1.5625E-2</v>
          </cell>
          <cell r="G759">
            <v>37.943069000000001</v>
          </cell>
          <cell r="H759">
            <v>1.0064516129032199</v>
          </cell>
          <cell r="I759">
            <v>0</v>
          </cell>
          <cell r="J759">
            <v>0</v>
          </cell>
          <cell r="K759">
            <v>44.217095999999998</v>
          </cell>
          <cell r="L759">
            <v>0.78709677419354795</v>
          </cell>
          <cell r="M759">
            <v>44.217095999999998</v>
          </cell>
          <cell r="N759">
            <v>0.78709677419354795</v>
          </cell>
          <cell r="O759">
            <v>0.46919300000000003</v>
          </cell>
          <cell r="P759">
            <v>3.2258064516129002E-3</v>
          </cell>
          <cell r="Q759">
            <v>0.46919300000000003</v>
          </cell>
          <cell r="R759">
            <v>3.2258064516129002E-3</v>
          </cell>
          <cell r="S759">
            <v>1.031655</v>
          </cell>
          <cell r="T759">
            <v>3.24675324675324E-3</v>
          </cell>
          <cell r="U759">
            <v>0</v>
          </cell>
          <cell r="V759">
            <v>0</v>
          </cell>
        </row>
        <row r="760">
          <cell r="A760" t="str">
            <v>045103</v>
          </cell>
          <cell r="B760">
            <v>1041</v>
          </cell>
          <cell r="C760">
            <v>614.79211199999997</v>
          </cell>
          <cell r="D760">
            <v>0.59802955665024604</v>
          </cell>
          <cell r="E760">
            <v>29.975905999999998</v>
          </cell>
          <cell r="F760">
            <v>0.188177339901477</v>
          </cell>
          <cell r="G760">
            <v>7.3615069999999996</v>
          </cell>
          <cell r="H760">
            <v>7.0088845014807499E-2</v>
          </cell>
          <cell r="I760">
            <v>7.3615069999999996</v>
          </cell>
          <cell r="J760">
            <v>7.0088845014807499E-2</v>
          </cell>
          <cell r="K760">
            <v>5.6952540000000003</v>
          </cell>
          <cell r="L760">
            <v>4.4334975369458102E-2</v>
          </cell>
          <cell r="M760">
            <v>5.6952540000000003</v>
          </cell>
          <cell r="N760">
            <v>4.4334975369458102E-2</v>
          </cell>
          <cell r="O760">
            <v>11.10895</v>
          </cell>
          <cell r="P760">
            <v>0.111549851924975</v>
          </cell>
          <cell r="Q760">
            <v>11.10895</v>
          </cell>
          <cell r="R760">
            <v>0.111549851924975</v>
          </cell>
          <cell r="S760">
            <v>229.673149</v>
          </cell>
          <cell r="T760">
            <v>0.30505415162454802</v>
          </cell>
          <cell r="U760">
            <v>169.87654900000001</v>
          </cell>
          <cell r="V760">
            <v>0.24819494584837501</v>
          </cell>
        </row>
        <row r="761">
          <cell r="A761" t="str">
            <v>045301</v>
          </cell>
          <cell r="B761">
            <v>1190.2</v>
          </cell>
          <cell r="C761">
            <v>2363.9627770000002</v>
          </cell>
          <cell r="D761">
            <v>6.5350877192982404</v>
          </cell>
          <cell r="E761">
            <v>943.79458099999999</v>
          </cell>
          <cell r="F761">
            <v>5.4283625730994096</v>
          </cell>
          <cell r="G761">
            <v>668.63689199999999</v>
          </cell>
          <cell r="H761">
            <v>2.94187779433681</v>
          </cell>
          <cell r="I761">
            <v>259.18679900000001</v>
          </cell>
          <cell r="J761">
            <v>1.72056631892697</v>
          </cell>
          <cell r="K761">
            <v>2313.0696149999999</v>
          </cell>
          <cell r="L761">
            <v>3.25150602409638</v>
          </cell>
          <cell r="M761">
            <v>150.59934699999999</v>
          </cell>
          <cell r="N761">
            <v>1.36295180722891</v>
          </cell>
          <cell r="O761">
            <v>2352.9822989999998</v>
          </cell>
          <cell r="P761">
            <v>5.7758224942616598</v>
          </cell>
          <cell r="Q761">
            <v>717.83470999999997</v>
          </cell>
          <cell r="R761">
            <v>4.2547819433817899</v>
          </cell>
          <cell r="S761">
            <v>5750.179999</v>
          </cell>
          <cell r="T761">
            <v>4.6527131782945697</v>
          </cell>
          <cell r="U761">
            <v>511.74014199999999</v>
          </cell>
          <cell r="V761">
            <v>2.3007751937984402</v>
          </cell>
        </row>
        <row r="762">
          <cell r="A762" t="str">
            <v>045302</v>
          </cell>
          <cell r="B762">
            <v>150.19999999999999</v>
          </cell>
          <cell r="C762">
            <v>49.816913</v>
          </cell>
          <cell r="D762">
            <v>0.144736842105263</v>
          </cell>
          <cell r="E762">
            <v>12.169186</v>
          </cell>
          <cell r="F762">
            <v>0.118421052631578</v>
          </cell>
          <cell r="G762">
            <v>293.02388300000001</v>
          </cell>
          <cell r="H762">
            <v>0.255033557046979</v>
          </cell>
          <cell r="I762">
            <v>6.4039400000000004</v>
          </cell>
          <cell r="J762">
            <v>9.3959731543624095E-2</v>
          </cell>
          <cell r="K762">
            <v>1100.026957</v>
          </cell>
          <cell r="L762">
            <v>1.23489932885906</v>
          </cell>
          <cell r="M762">
            <v>15.726957000000001</v>
          </cell>
          <cell r="N762">
            <v>0.23489932885906001</v>
          </cell>
          <cell r="O762">
            <v>2924.9906030000002</v>
          </cell>
          <cell r="P762">
            <v>4.8859060402684502</v>
          </cell>
          <cell r="Q762">
            <v>562.34809800000005</v>
          </cell>
          <cell r="R762">
            <v>2.7583892617449601</v>
          </cell>
          <cell r="S762">
            <v>4367.2533979999998</v>
          </cell>
          <cell r="T762">
            <v>6.1118421052631504</v>
          </cell>
          <cell r="U762">
            <v>1293.829056</v>
          </cell>
          <cell r="V762">
            <v>3.0328947368421</v>
          </cell>
        </row>
        <row r="763">
          <cell r="A763" t="str">
            <v>045402</v>
          </cell>
          <cell r="B763">
            <v>1401.6</v>
          </cell>
          <cell r="C763">
            <v>303.75381399999998</v>
          </cell>
          <cell r="D763">
            <v>0.84904323175053098</v>
          </cell>
          <cell r="E763">
            <v>177.618334</v>
          </cell>
          <cell r="F763">
            <v>0.76470588235294101</v>
          </cell>
          <cell r="G763">
            <v>46.908051999999998</v>
          </cell>
          <cell r="H763">
            <v>0.462686567164179</v>
          </cell>
          <cell r="I763">
            <v>34.809032999999999</v>
          </cell>
          <cell r="J763">
            <v>0.248045486851457</v>
          </cell>
          <cell r="K763">
            <v>213.44429700000001</v>
          </cell>
          <cell r="L763">
            <v>1.5826827537260399</v>
          </cell>
          <cell r="M763">
            <v>205.79074900000001</v>
          </cell>
          <cell r="N763">
            <v>1.5805535841022</v>
          </cell>
          <cell r="O763">
            <v>541.42399899999998</v>
          </cell>
          <cell r="P763">
            <v>3.1628571428571401</v>
          </cell>
          <cell r="Q763">
            <v>539.80657099999996</v>
          </cell>
          <cell r="R763">
            <v>3.1571428571428499</v>
          </cell>
          <cell r="S763">
            <v>396.936869</v>
          </cell>
          <cell r="T763">
            <v>1.45184648805213</v>
          </cell>
          <cell r="U763">
            <v>153.273437</v>
          </cell>
          <cell r="V763">
            <v>1.00362056480811</v>
          </cell>
        </row>
        <row r="764">
          <cell r="A764" t="str">
            <v>045404</v>
          </cell>
          <cell r="B764">
            <v>11.833333</v>
          </cell>
          <cell r="C764">
            <v>71.943083999999999</v>
          </cell>
          <cell r="D764">
            <v>0.16666666666666599</v>
          </cell>
          <cell r="E764">
            <v>21.613440000000001</v>
          </cell>
          <cell r="F764">
            <v>8.3333333333333301E-2</v>
          </cell>
          <cell r="G764">
            <v>60.613888000000003</v>
          </cell>
          <cell r="H764">
            <v>0.58333333333333304</v>
          </cell>
          <cell r="I764">
            <v>60.613888000000003</v>
          </cell>
          <cell r="J764">
            <v>0.58333333333333304</v>
          </cell>
          <cell r="K764">
            <v>9.341666</v>
          </cell>
          <cell r="L764">
            <v>8.3333333333333301E-2</v>
          </cell>
          <cell r="M764">
            <v>9.341666</v>
          </cell>
          <cell r="N764">
            <v>8.3333333333333301E-2</v>
          </cell>
          <cell r="O764">
            <v>60.037500000000001</v>
          </cell>
          <cell r="P764">
            <v>1.3333333333333299</v>
          </cell>
          <cell r="Q764">
            <v>60.037500000000001</v>
          </cell>
          <cell r="R764">
            <v>1.3333333333333299</v>
          </cell>
          <cell r="S764">
            <v>92.666666000000006</v>
          </cell>
          <cell r="T764">
            <v>1</v>
          </cell>
          <cell r="U764">
            <v>92.666666000000006</v>
          </cell>
          <cell r="V764">
            <v>1</v>
          </cell>
        </row>
        <row r="765">
          <cell r="A765" t="str">
            <v>045502</v>
          </cell>
          <cell r="B765">
            <v>490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756.01479400000005</v>
          </cell>
          <cell r="T765">
            <v>0.88775510204081598</v>
          </cell>
          <cell r="U765">
            <v>8.0848630000000004</v>
          </cell>
          <cell r="V765">
            <v>0.130612244897959</v>
          </cell>
        </row>
        <row r="766">
          <cell r="A766" t="str">
            <v>045701</v>
          </cell>
          <cell r="B766">
            <v>499.8</v>
          </cell>
          <cell r="C766">
            <v>454.27515799999998</v>
          </cell>
          <cell r="D766">
            <v>1.5636007827788601</v>
          </cell>
          <cell r="E766">
            <v>69.091858999999999</v>
          </cell>
          <cell r="F766">
            <v>0.58904109589040998</v>
          </cell>
          <cell r="G766">
            <v>189.68991399999999</v>
          </cell>
          <cell r="H766">
            <v>0.340637450199203</v>
          </cell>
          <cell r="I766">
            <v>20.835685999999999</v>
          </cell>
          <cell r="J766">
            <v>0.20517928286852499</v>
          </cell>
          <cell r="K766">
            <v>394.56719500000003</v>
          </cell>
          <cell r="L766">
            <v>0.87673956262425401</v>
          </cell>
          <cell r="M766">
            <v>63.552185999999999</v>
          </cell>
          <cell r="N766">
            <v>0.562624254473161</v>
          </cell>
          <cell r="O766">
            <v>90.484071</v>
          </cell>
          <cell r="P766">
            <v>0.29233870967741898</v>
          </cell>
          <cell r="Q766">
            <v>25.515892999999998</v>
          </cell>
          <cell r="R766">
            <v>0.125</v>
          </cell>
          <cell r="S766">
            <v>773.52231300000005</v>
          </cell>
          <cell r="T766">
            <v>2.2689938398357201</v>
          </cell>
          <cell r="U766">
            <v>655.85434599999996</v>
          </cell>
          <cell r="V766">
            <v>2.1724845995893198</v>
          </cell>
        </row>
        <row r="767">
          <cell r="A767" t="str">
            <v>045702</v>
          </cell>
          <cell r="B767">
            <v>464.6</v>
          </cell>
          <cell r="C767">
            <v>44.924669999999999</v>
          </cell>
          <cell r="D767">
            <v>0.58567774936061301</v>
          </cell>
          <cell r="E767">
            <v>38.946575000000003</v>
          </cell>
          <cell r="F767">
            <v>0.58312020460358005</v>
          </cell>
          <cell r="G767">
            <v>53.691442000000002</v>
          </cell>
          <cell r="H767">
            <v>0.32238193018480399</v>
          </cell>
          <cell r="I767">
            <v>23.48883</v>
          </cell>
          <cell r="J767">
            <v>0.24229979466119</v>
          </cell>
          <cell r="K767">
            <v>822.19745599999999</v>
          </cell>
          <cell r="L767">
            <v>0.352577319587628</v>
          </cell>
          <cell r="M767">
            <v>30.196425999999999</v>
          </cell>
          <cell r="N767">
            <v>0.117525773195876</v>
          </cell>
          <cell r="O767">
            <v>35.983953</v>
          </cell>
          <cell r="P767">
            <v>0.21946169772256699</v>
          </cell>
          <cell r="Q767">
            <v>4.9945469999999998</v>
          </cell>
          <cell r="R767">
            <v>5.1759834368530003E-2</v>
          </cell>
          <cell r="S767">
            <v>560.35279400000002</v>
          </cell>
          <cell r="T767">
            <v>0.291404612159329</v>
          </cell>
          <cell r="U767">
            <v>76.665442999999996</v>
          </cell>
          <cell r="V767">
            <v>0.138364779874213</v>
          </cell>
        </row>
        <row r="768">
          <cell r="A768" t="str">
            <v>046301</v>
          </cell>
          <cell r="B768">
            <v>358.25</v>
          </cell>
          <cell r="C768">
            <v>9.6790839999999996</v>
          </cell>
          <cell r="D768">
            <v>0.25474254742547398</v>
          </cell>
          <cell r="E768">
            <v>9.6790839999999996</v>
          </cell>
          <cell r="F768">
            <v>0.25474254742547398</v>
          </cell>
          <cell r="G768">
            <v>160.98320200000001</v>
          </cell>
          <cell r="H768">
            <v>0.93460490463215196</v>
          </cell>
          <cell r="I768">
            <v>160.98320200000001</v>
          </cell>
          <cell r="J768">
            <v>0.93460490463215196</v>
          </cell>
          <cell r="K768">
            <v>1973.3083779999999</v>
          </cell>
          <cell r="L768">
            <v>2.9780219780219701</v>
          </cell>
          <cell r="M768">
            <v>260.40201400000001</v>
          </cell>
          <cell r="N768">
            <v>2.0219780219780201</v>
          </cell>
          <cell r="O768">
            <v>1134.4017530000001</v>
          </cell>
          <cell r="P768">
            <v>1.62603878116343</v>
          </cell>
          <cell r="Q768">
            <v>36.554062000000002</v>
          </cell>
          <cell r="R768">
            <v>0.47368421052631499</v>
          </cell>
          <cell r="S768">
            <v>498.43941100000001</v>
          </cell>
          <cell r="T768">
            <v>2.0676470588235198</v>
          </cell>
          <cell r="U768">
            <v>145.26637199999999</v>
          </cell>
          <cell r="V768">
            <v>1.8764705882352899</v>
          </cell>
        </row>
        <row r="769">
          <cell r="A769" t="str">
            <v>046302</v>
          </cell>
          <cell r="B769">
            <v>1084.142857</v>
          </cell>
          <cell r="C769">
            <v>89.534459999999996</v>
          </cell>
          <cell r="D769">
            <v>0.27429609445958197</v>
          </cell>
          <cell r="E769">
            <v>89.534459999999996</v>
          </cell>
          <cell r="F769">
            <v>0.27429609445958197</v>
          </cell>
          <cell r="G769">
            <v>105.27472299999999</v>
          </cell>
          <cell r="H769">
            <v>0.63970588235294101</v>
          </cell>
          <cell r="I769">
            <v>105.27472299999999</v>
          </cell>
          <cell r="J769">
            <v>0.63970588235294101</v>
          </cell>
          <cell r="K769">
            <v>771.95667400000002</v>
          </cell>
          <cell r="L769">
            <v>1.6252302025782599</v>
          </cell>
          <cell r="M769">
            <v>394.26588299999997</v>
          </cell>
          <cell r="N769">
            <v>1.4696132596685001</v>
          </cell>
          <cell r="O769">
            <v>102.848377</v>
          </cell>
          <cell r="P769">
            <v>0.27618164967562497</v>
          </cell>
          <cell r="Q769">
            <v>41.928404999999998</v>
          </cell>
          <cell r="R769">
            <v>0.15384615384615299</v>
          </cell>
          <cell r="S769">
            <v>56.482165000000002</v>
          </cell>
          <cell r="T769">
            <v>0.25420560747663501</v>
          </cell>
          <cell r="U769">
            <v>56.482165000000002</v>
          </cell>
          <cell r="V769">
            <v>0.25420560747663501</v>
          </cell>
        </row>
        <row r="770">
          <cell r="A770" t="str">
            <v>046501</v>
          </cell>
          <cell r="B770">
            <v>740.8</v>
          </cell>
          <cell r="C770">
            <v>408.50787500000001</v>
          </cell>
          <cell r="D770">
            <v>3.0297157622738999</v>
          </cell>
          <cell r="E770">
            <v>408.41743600000001</v>
          </cell>
          <cell r="F770">
            <v>3.02842377260981</v>
          </cell>
          <cell r="G770">
            <v>447.77246300000002</v>
          </cell>
          <cell r="H770">
            <v>2.0361290322580601</v>
          </cell>
          <cell r="I770">
            <v>262.01616200000001</v>
          </cell>
          <cell r="J770">
            <v>1.9045161290322501</v>
          </cell>
          <cell r="K770">
            <v>237.74854199999999</v>
          </cell>
          <cell r="L770">
            <v>0.284061696658097</v>
          </cell>
          <cell r="M770">
            <v>100.047943</v>
          </cell>
          <cell r="N770">
            <v>0.20565552699228701</v>
          </cell>
          <cell r="O770">
            <v>29.794644999999999</v>
          </cell>
          <cell r="P770">
            <v>0.29489291598022999</v>
          </cell>
          <cell r="Q770">
            <v>29.682756000000001</v>
          </cell>
          <cell r="R770">
            <v>0.29324546952224001</v>
          </cell>
          <cell r="S770">
            <v>108.87067</v>
          </cell>
          <cell r="T770">
            <v>0.388311688311688</v>
          </cell>
          <cell r="U770">
            <v>38.561818000000002</v>
          </cell>
          <cell r="V770">
            <v>0.36623376623376602</v>
          </cell>
        </row>
        <row r="771">
          <cell r="A771" t="str">
            <v>046502</v>
          </cell>
          <cell r="B771">
            <v>554.125</v>
          </cell>
          <cell r="C771">
            <v>74.047381999999999</v>
          </cell>
          <cell r="D771">
            <v>0.96592844974446301</v>
          </cell>
          <cell r="E771">
            <v>73.909392999999994</v>
          </cell>
          <cell r="F771">
            <v>0.96252129471890902</v>
          </cell>
          <cell r="G771">
            <v>162.23270400000001</v>
          </cell>
          <cell r="H771">
            <v>1.0122164048865601</v>
          </cell>
          <cell r="I771">
            <v>138.43364199999999</v>
          </cell>
          <cell r="J771">
            <v>1.0034904013961601</v>
          </cell>
          <cell r="K771">
            <v>525.88096399999995</v>
          </cell>
          <cell r="L771">
            <v>0.19489981785063701</v>
          </cell>
          <cell r="M771">
            <v>4.0141159999999996</v>
          </cell>
          <cell r="N771">
            <v>2.00364298724954E-2</v>
          </cell>
          <cell r="O771">
            <v>39.652385000000002</v>
          </cell>
          <cell r="P771">
            <v>0.80343511450381599</v>
          </cell>
          <cell r="Q771">
            <v>39.652385000000002</v>
          </cell>
          <cell r="R771">
            <v>0.80343511450381599</v>
          </cell>
          <cell r="S771">
            <v>10.848336</v>
          </cell>
          <cell r="T771">
            <v>1.42566191446028E-2</v>
          </cell>
          <cell r="U771">
            <v>10.848336</v>
          </cell>
          <cell r="V771">
            <v>1.42566191446028E-2</v>
          </cell>
        </row>
        <row r="772">
          <cell r="A772" t="str">
            <v>046901</v>
          </cell>
          <cell r="B772">
            <v>451.88888800000001</v>
          </cell>
          <cell r="C772">
            <v>85.641188</v>
          </cell>
          <cell r="D772">
            <v>0.55119825708060999</v>
          </cell>
          <cell r="E772">
            <v>85.641188</v>
          </cell>
          <cell r="F772">
            <v>0.55119825708060999</v>
          </cell>
          <cell r="G772">
            <v>790.46615999999995</v>
          </cell>
          <cell r="H772">
            <v>3.0881057268722398</v>
          </cell>
          <cell r="I772">
            <v>777.23298499999999</v>
          </cell>
          <cell r="J772">
            <v>3.0638766519823699</v>
          </cell>
          <cell r="K772">
            <v>3811.5316400000002</v>
          </cell>
          <cell r="L772">
            <v>3.0750551876379602</v>
          </cell>
          <cell r="M772">
            <v>42.544553999999998</v>
          </cell>
          <cell r="N772">
            <v>0.39955849889624701</v>
          </cell>
          <cell r="O772">
            <v>1086.8566510000001</v>
          </cell>
          <cell r="P772">
            <v>6.1618625277161803</v>
          </cell>
          <cell r="Q772">
            <v>352.99881699999997</v>
          </cell>
          <cell r="R772">
            <v>3.0842572062084201</v>
          </cell>
          <cell r="S772">
            <v>758.80373599999996</v>
          </cell>
          <cell r="T772">
            <v>3.5134529147981999</v>
          </cell>
          <cell r="U772">
            <v>717.67006700000002</v>
          </cell>
          <cell r="V772">
            <v>2.8901345291479799</v>
          </cell>
        </row>
        <row r="773">
          <cell r="A773" t="str">
            <v>046902</v>
          </cell>
          <cell r="B773">
            <v>735.375</v>
          </cell>
          <cell r="C773">
            <v>141.15966900000001</v>
          </cell>
          <cell r="D773">
            <v>0.99468085106382897</v>
          </cell>
          <cell r="E773">
            <v>141.15966900000001</v>
          </cell>
          <cell r="F773">
            <v>0.99468085106382897</v>
          </cell>
          <cell r="G773">
            <v>226.47606400000001</v>
          </cell>
          <cell r="H773">
            <v>0.87284768211920505</v>
          </cell>
          <cell r="I773">
            <v>226.47606400000001</v>
          </cell>
          <cell r="J773">
            <v>0.87284768211920505</v>
          </cell>
          <cell r="K773">
            <v>2149.1007100000002</v>
          </cell>
          <cell r="L773">
            <v>4.1306666666666603</v>
          </cell>
          <cell r="M773">
            <v>416.96606600000001</v>
          </cell>
          <cell r="N773">
            <v>3.1266666666666598</v>
          </cell>
          <cell r="O773">
            <v>506.37023499999998</v>
          </cell>
          <cell r="P773">
            <v>3.7563587684069599</v>
          </cell>
          <cell r="Q773">
            <v>436.74790200000001</v>
          </cell>
          <cell r="R773">
            <v>3.73493975903614</v>
          </cell>
          <cell r="S773">
            <v>533.07539699999995</v>
          </cell>
          <cell r="T773">
            <v>1.7424023154848001</v>
          </cell>
          <cell r="U773">
            <v>54.038494</v>
          </cell>
          <cell r="V773">
            <v>0.60057887120115705</v>
          </cell>
        </row>
        <row r="774">
          <cell r="A774" t="str">
            <v>047301</v>
          </cell>
          <cell r="B774">
            <v>189.66666599999999</v>
          </cell>
          <cell r="C774">
            <v>1.9663139999999999</v>
          </cell>
          <cell r="D774">
            <v>1.23456790123456E-2</v>
          </cell>
          <cell r="E774">
            <v>1.9663139999999999</v>
          </cell>
          <cell r="F774">
            <v>1.23456790123456E-2</v>
          </cell>
          <cell r="G774">
            <v>541.37320399999999</v>
          </cell>
          <cell r="H774">
            <v>0.96363636363636296</v>
          </cell>
          <cell r="I774">
            <v>541.19027100000005</v>
          </cell>
          <cell r="J774">
            <v>0.95909090909090899</v>
          </cell>
          <cell r="K774">
            <v>1843.4393600000001</v>
          </cell>
          <cell r="L774">
            <v>1.9202127659574399</v>
          </cell>
          <cell r="M774">
            <v>33.225265</v>
          </cell>
          <cell r="N774">
            <v>0.82978723404255295</v>
          </cell>
          <cell r="O774">
            <v>30.340661999999998</v>
          </cell>
          <cell r="P774">
            <v>0.180722891566265</v>
          </cell>
          <cell r="Q774">
            <v>18.927309000000001</v>
          </cell>
          <cell r="R774">
            <v>0.12650602409638501</v>
          </cell>
          <cell r="S774">
            <v>78.366349</v>
          </cell>
          <cell r="T774">
            <v>1.0126582278481</v>
          </cell>
          <cell r="U774">
            <v>39.130589999999998</v>
          </cell>
          <cell r="V774">
            <v>0.272151898734177</v>
          </cell>
        </row>
        <row r="775">
          <cell r="A775" t="str">
            <v>047302</v>
          </cell>
          <cell r="B775">
            <v>354.875</v>
          </cell>
          <cell r="C775">
            <v>52.355763000000003</v>
          </cell>
          <cell r="D775">
            <v>0.26575342465753399</v>
          </cell>
          <cell r="E775">
            <v>52.355763000000003</v>
          </cell>
          <cell r="F775">
            <v>0.26575342465753399</v>
          </cell>
          <cell r="G775">
            <v>45.831263999999997</v>
          </cell>
          <cell r="H775">
            <v>0.54395604395604302</v>
          </cell>
          <cell r="I775">
            <v>45.831263999999997</v>
          </cell>
          <cell r="J775">
            <v>0.54395604395604302</v>
          </cell>
          <cell r="K775">
            <v>2290.4498610000001</v>
          </cell>
          <cell r="L775">
            <v>5.8836565096952897</v>
          </cell>
          <cell r="M775">
            <v>433.283795</v>
          </cell>
          <cell r="N775">
            <v>3.5235457063711899</v>
          </cell>
          <cell r="O775">
            <v>209.901768</v>
          </cell>
          <cell r="P775">
            <v>1.2877094972067</v>
          </cell>
          <cell r="Q775">
            <v>200.111964</v>
          </cell>
          <cell r="R775">
            <v>1.27932960893854</v>
          </cell>
          <cell r="S775">
            <v>72.729166000000006</v>
          </cell>
          <cell r="T775">
            <v>0.55654761904761896</v>
          </cell>
          <cell r="U775">
            <v>58.973958000000003</v>
          </cell>
          <cell r="V775">
            <v>0.53571428571428503</v>
          </cell>
        </row>
        <row r="776">
          <cell r="A776" t="str">
            <v>047501</v>
          </cell>
          <cell r="B776">
            <v>732.6</v>
          </cell>
          <cell r="C776">
            <v>1089.112899</v>
          </cell>
          <cell r="D776">
            <v>2.1058201058200998</v>
          </cell>
          <cell r="E776">
            <v>59.273727000000001</v>
          </cell>
          <cell r="F776">
            <v>0.67328042328042303</v>
          </cell>
          <cell r="G776">
            <v>28.455414000000001</v>
          </cell>
          <cell r="H776">
            <v>0.193121693121693</v>
          </cell>
          <cell r="I776">
            <v>26.666353000000001</v>
          </cell>
          <cell r="J776">
            <v>0.191798941798941</v>
          </cell>
          <cell r="K776">
            <v>532.92154500000004</v>
          </cell>
          <cell r="L776">
            <v>0.94039735099337696</v>
          </cell>
          <cell r="M776">
            <v>499.09295800000001</v>
          </cell>
          <cell r="N776">
            <v>0.91920529801324502</v>
          </cell>
          <cell r="O776">
            <v>61.810816000000003</v>
          </cell>
          <cell r="P776">
            <v>0.26622516556291298</v>
          </cell>
          <cell r="Q776">
            <v>55.701963999999997</v>
          </cell>
          <cell r="R776">
            <v>0.25165562913907202</v>
          </cell>
          <cell r="S776">
            <v>316.49269299999997</v>
          </cell>
          <cell r="T776">
            <v>1.2199687987519501</v>
          </cell>
          <cell r="U776">
            <v>300.98192899999998</v>
          </cell>
          <cell r="V776">
            <v>1.20748829953198</v>
          </cell>
        </row>
        <row r="777">
          <cell r="A777" t="str">
            <v>047502</v>
          </cell>
          <cell r="B777">
            <v>1889.4</v>
          </cell>
          <cell r="C777">
            <v>1920.66598</v>
          </cell>
          <cell r="D777">
            <v>2.9007128309572301</v>
          </cell>
          <cell r="E777">
            <v>246.786992</v>
          </cell>
          <cell r="F777">
            <v>0.43686354378818698</v>
          </cell>
          <cell r="G777">
            <v>162.83591100000001</v>
          </cell>
          <cell r="H777">
            <v>0.72583120204603502</v>
          </cell>
          <cell r="I777">
            <v>107.786759</v>
          </cell>
          <cell r="J777">
            <v>0.38363171355498699</v>
          </cell>
          <cell r="K777">
            <v>516.28181800000004</v>
          </cell>
          <cell r="L777">
            <v>1.3157084188911701</v>
          </cell>
          <cell r="M777">
            <v>261.55207899999999</v>
          </cell>
          <cell r="N777">
            <v>1.00051334702258</v>
          </cell>
          <cell r="O777">
            <v>153.80452</v>
          </cell>
          <cell r="P777">
            <v>0.84992264053635802</v>
          </cell>
          <cell r="Q777">
            <v>110.989874</v>
          </cell>
          <cell r="R777">
            <v>0.80608561113976196</v>
          </cell>
          <cell r="S777">
            <v>476.02385600000002</v>
          </cell>
          <cell r="T777">
            <v>3.9000609384521598</v>
          </cell>
          <cell r="U777">
            <v>450.11701099999999</v>
          </cell>
          <cell r="V777">
            <v>3.8671541742839701</v>
          </cell>
        </row>
        <row r="778">
          <cell r="A778" t="str">
            <v>047601</v>
          </cell>
          <cell r="B778">
            <v>221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1.8519620000000001</v>
          </cell>
          <cell r="H778">
            <v>1.7467248908296901E-2</v>
          </cell>
          <cell r="I778">
            <v>1.8519620000000001</v>
          </cell>
          <cell r="J778">
            <v>1.7467248908296901E-2</v>
          </cell>
          <cell r="K778">
            <v>346.54521599999998</v>
          </cell>
          <cell r="L778">
            <v>1.11210762331838</v>
          </cell>
          <cell r="M778">
            <v>346.54521599999998</v>
          </cell>
          <cell r="N778">
            <v>1.11210762331838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207.16856200000001</v>
          </cell>
          <cell r="T778">
            <v>0.62085308056872002</v>
          </cell>
          <cell r="U778">
            <v>207.16856200000001</v>
          </cell>
          <cell r="V778">
            <v>0.62085308056872002</v>
          </cell>
        </row>
        <row r="779">
          <cell r="A779" t="str">
            <v>047602</v>
          </cell>
          <cell r="B779">
            <v>40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3.9841660000000001</v>
          </cell>
          <cell r="T779">
            <v>2.5000000000000001E-2</v>
          </cell>
          <cell r="U779">
            <v>3.9841660000000001</v>
          </cell>
          <cell r="V779">
            <v>2.5000000000000001E-2</v>
          </cell>
        </row>
        <row r="780">
          <cell r="A780" t="str">
            <v>047901</v>
          </cell>
          <cell r="B780">
            <v>1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102</v>
          </cell>
          <cell r="P780">
            <v>1</v>
          </cell>
          <cell r="Q780">
            <v>102</v>
          </cell>
          <cell r="R780">
            <v>1</v>
          </cell>
          <cell r="S780">
            <v>145</v>
          </cell>
          <cell r="T780">
            <v>1</v>
          </cell>
          <cell r="U780">
            <v>145</v>
          </cell>
          <cell r="V780">
            <v>1</v>
          </cell>
        </row>
        <row r="781">
          <cell r="A781" t="str">
            <v>048001</v>
          </cell>
          <cell r="B781">
            <v>1256</v>
          </cell>
          <cell r="C781">
            <v>459.81295399999999</v>
          </cell>
          <cell r="D781">
            <v>2.83150470219435</v>
          </cell>
          <cell r="E781">
            <v>459.72884699999997</v>
          </cell>
          <cell r="F781">
            <v>2.8291536050156698</v>
          </cell>
          <cell r="G781">
            <v>497.97665799999999</v>
          </cell>
          <cell r="H781">
            <v>1.58445678033306</v>
          </cell>
          <cell r="I781">
            <v>275.872524</v>
          </cell>
          <cell r="J781">
            <v>1.24742268041237</v>
          </cell>
          <cell r="K781">
            <v>3870.3721059999998</v>
          </cell>
          <cell r="L781">
            <v>4.0325655281969803</v>
          </cell>
          <cell r="M781">
            <v>275.90894800000001</v>
          </cell>
          <cell r="N781">
            <v>1.9626687847498001</v>
          </cell>
          <cell r="O781">
            <v>706.70703300000002</v>
          </cell>
          <cell r="P781">
            <v>2.5482315112540102</v>
          </cell>
          <cell r="Q781">
            <v>323.887607</v>
          </cell>
          <cell r="R781">
            <v>1.68569131832797</v>
          </cell>
          <cell r="S781">
            <v>367.49193400000001</v>
          </cell>
          <cell r="T781">
            <v>1.37177419354838</v>
          </cell>
          <cell r="U781">
            <v>154.129381</v>
          </cell>
          <cell r="V781">
            <v>1.0661290322580601</v>
          </cell>
        </row>
        <row r="782">
          <cell r="A782" t="str">
            <v>048002</v>
          </cell>
          <cell r="B782">
            <v>1035.75</v>
          </cell>
          <cell r="C782">
            <v>53.103406999999997</v>
          </cell>
          <cell r="D782">
            <v>0.14871306005719701</v>
          </cell>
          <cell r="E782">
            <v>53.103406999999997</v>
          </cell>
          <cell r="F782">
            <v>0.14871306005719701</v>
          </cell>
          <cell r="G782">
            <v>1.1173709999999999</v>
          </cell>
          <cell r="H782">
            <v>3.8277511961722403E-2</v>
          </cell>
          <cell r="I782">
            <v>1.1173709999999999</v>
          </cell>
          <cell r="J782">
            <v>3.8277511961722403E-2</v>
          </cell>
          <cell r="K782">
            <v>520.933942</v>
          </cell>
          <cell r="L782">
            <v>1.1299326275264601</v>
          </cell>
          <cell r="M782">
            <v>29.965736</v>
          </cell>
          <cell r="N782">
            <v>0.116458132820019</v>
          </cell>
          <cell r="O782">
            <v>647.75790400000005</v>
          </cell>
          <cell r="P782">
            <v>1.7376573088092899</v>
          </cell>
          <cell r="Q782">
            <v>33.300595999999999</v>
          </cell>
          <cell r="R782">
            <v>0.61471442400774401</v>
          </cell>
          <cell r="S782">
            <v>704.83756400000004</v>
          </cell>
          <cell r="T782">
            <v>1.27734375</v>
          </cell>
          <cell r="U782">
            <v>75.224804000000006</v>
          </cell>
          <cell r="V782">
            <v>0.4716796875</v>
          </cell>
        </row>
        <row r="783">
          <cell r="A783" t="str">
            <v>048202</v>
          </cell>
          <cell r="B783">
            <v>1105.6666660000001</v>
          </cell>
          <cell r="C783">
            <v>1.748095</v>
          </cell>
          <cell r="D783">
            <v>1.1743450767841E-2</v>
          </cell>
          <cell r="E783">
            <v>0.83030000000000004</v>
          </cell>
          <cell r="F783">
            <v>1.0840108401084E-2</v>
          </cell>
          <cell r="G783">
            <v>18.335998</v>
          </cell>
          <cell r="H783">
            <v>4.4303797468354403E-2</v>
          </cell>
          <cell r="I783">
            <v>18.304237000000001</v>
          </cell>
          <cell r="J783">
            <v>4.33996383363471E-2</v>
          </cell>
          <cell r="K783">
            <v>3.3959600000000001</v>
          </cell>
          <cell r="L783">
            <v>3.1645569620253097E-2</v>
          </cell>
          <cell r="M783">
            <v>3.1905960000000002</v>
          </cell>
          <cell r="N783">
            <v>3.0741410488245899E-2</v>
          </cell>
          <cell r="O783">
            <v>6.0105029999999999</v>
          </cell>
          <cell r="P783">
            <v>6.1482820976491798E-2</v>
          </cell>
          <cell r="Q783">
            <v>5.9395870000000004</v>
          </cell>
          <cell r="R783">
            <v>6.0578661844484599E-2</v>
          </cell>
          <cell r="S783">
            <v>32.843127000000003</v>
          </cell>
          <cell r="T783">
            <v>0.16712079927338699</v>
          </cell>
          <cell r="U783">
            <v>32.843127000000003</v>
          </cell>
          <cell r="V783">
            <v>0.16712079927338699</v>
          </cell>
        </row>
        <row r="784">
          <cell r="A784" t="str">
            <v>048203</v>
          </cell>
          <cell r="B784">
            <v>1303.8</v>
          </cell>
          <cell r="C784">
            <v>67.831783000000001</v>
          </cell>
          <cell r="D784">
            <v>0.39983579638751998</v>
          </cell>
          <cell r="E784">
            <v>67.545911000000004</v>
          </cell>
          <cell r="F784">
            <v>0.39573070607553301</v>
          </cell>
          <cell r="G784">
            <v>866.35555399999998</v>
          </cell>
          <cell r="H784">
            <v>2.32794117647058</v>
          </cell>
          <cell r="I784">
            <v>408.60227600000002</v>
          </cell>
          <cell r="J784">
            <v>1.8875</v>
          </cell>
          <cell r="K784">
            <v>489.83064899999999</v>
          </cell>
          <cell r="L784">
            <v>3.60930576070901</v>
          </cell>
          <cell r="M784">
            <v>413.11633399999999</v>
          </cell>
          <cell r="N784">
            <v>3.1011816838995498</v>
          </cell>
          <cell r="O784">
            <v>514.21054900000001</v>
          </cell>
          <cell r="P784">
            <v>0.54783258594917705</v>
          </cell>
          <cell r="Q784">
            <v>11.64625</v>
          </cell>
          <cell r="R784">
            <v>0.13228699551569501</v>
          </cell>
          <cell r="S784">
            <v>186.51232899999999</v>
          </cell>
          <cell r="T784">
            <v>1.1681345076060801</v>
          </cell>
          <cell r="U784">
            <v>128.18445399999999</v>
          </cell>
          <cell r="V784">
            <v>0.69015212169735696</v>
          </cell>
        </row>
        <row r="785">
          <cell r="A785" t="str">
            <v>048204</v>
          </cell>
          <cell r="B785">
            <v>1055.777777</v>
          </cell>
          <cell r="C785">
            <v>127.18199</v>
          </cell>
          <cell r="D785">
            <v>1.15160075329566</v>
          </cell>
          <cell r="E785">
            <v>127.18199</v>
          </cell>
          <cell r="F785">
            <v>1.15160075329566</v>
          </cell>
          <cell r="G785">
            <v>186.25418099999999</v>
          </cell>
          <cell r="H785">
            <v>0.59847764034253004</v>
          </cell>
          <cell r="I785">
            <v>83.586511999999999</v>
          </cell>
          <cell r="J785">
            <v>0.46527117031398602</v>
          </cell>
          <cell r="K785">
            <v>2314.5319810000001</v>
          </cell>
          <cell r="L785">
            <v>3.4646946564885401</v>
          </cell>
          <cell r="M785">
            <v>482.630741</v>
          </cell>
          <cell r="N785">
            <v>2.5715648854961799</v>
          </cell>
          <cell r="O785">
            <v>202.004548</v>
          </cell>
          <cell r="P785">
            <v>0.61041465766634495</v>
          </cell>
          <cell r="Q785">
            <v>102.851141</v>
          </cell>
          <cell r="R785">
            <v>0.50916104146576602</v>
          </cell>
          <cell r="S785">
            <v>337.48114900000002</v>
          </cell>
          <cell r="T785">
            <v>1.3939114391143901</v>
          </cell>
          <cell r="U785">
            <v>186.18407099999999</v>
          </cell>
          <cell r="V785">
            <v>1.1494464944649401</v>
          </cell>
        </row>
        <row r="786">
          <cell r="A786" t="str">
            <v>048301</v>
          </cell>
          <cell r="B786">
            <v>2410.6</v>
          </cell>
          <cell r="C786">
            <v>309.75992400000001</v>
          </cell>
          <cell r="D786">
            <v>0.93839061190276596</v>
          </cell>
          <cell r="E786">
            <v>138.25888699999999</v>
          </cell>
          <cell r="F786">
            <v>0.73176865046102202</v>
          </cell>
          <cell r="G786">
            <v>3703.196848</v>
          </cell>
          <cell r="H786">
            <v>3.49120549120549</v>
          </cell>
          <cell r="I786">
            <v>349.82068600000002</v>
          </cell>
          <cell r="J786">
            <v>1.73487773487773</v>
          </cell>
          <cell r="K786">
            <v>827.59911199999999</v>
          </cell>
          <cell r="L786">
            <v>3.18614718614718</v>
          </cell>
          <cell r="M786">
            <v>108.983059</v>
          </cell>
          <cell r="N786">
            <v>1.3606060606060599</v>
          </cell>
          <cell r="O786">
            <v>185.79021599999999</v>
          </cell>
          <cell r="P786">
            <v>1.1569630212431099</v>
          </cell>
          <cell r="Q786">
            <v>136.648065</v>
          </cell>
          <cell r="R786">
            <v>0.87647521636506598</v>
          </cell>
          <cell r="S786">
            <v>1426.1794540000001</v>
          </cell>
          <cell r="T786">
            <v>1.75442834138486</v>
          </cell>
          <cell r="U786">
            <v>62.914774000000001</v>
          </cell>
          <cell r="V786">
            <v>0.36392914653784197</v>
          </cell>
        </row>
        <row r="787">
          <cell r="A787" t="str">
            <v>048302</v>
          </cell>
          <cell r="B787">
            <v>322.57142800000003</v>
          </cell>
          <cell r="C787">
            <v>39.303333000000002</v>
          </cell>
          <cell r="D787">
            <v>0.47692307692307601</v>
          </cell>
          <cell r="E787">
            <v>37.164444000000003</v>
          </cell>
          <cell r="F787">
            <v>0.47076923076923</v>
          </cell>
          <cell r="G787">
            <v>1006.322075</v>
          </cell>
          <cell r="H787">
            <v>1.4736842105263099</v>
          </cell>
          <cell r="I787">
            <v>12.999503000000001</v>
          </cell>
          <cell r="J787">
            <v>7.1207430340557196E-2</v>
          </cell>
          <cell r="K787">
            <v>956.24973999999997</v>
          </cell>
          <cell r="L787">
            <v>3.5527950310559002</v>
          </cell>
          <cell r="M787">
            <v>457.962422</v>
          </cell>
          <cell r="N787">
            <v>3.2484472049689401</v>
          </cell>
          <cell r="O787">
            <v>53.927987000000002</v>
          </cell>
          <cell r="P787">
            <v>0.679245283018867</v>
          </cell>
          <cell r="Q787">
            <v>53.927987000000002</v>
          </cell>
          <cell r="R787">
            <v>0.679245283018867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</row>
        <row r="788">
          <cell r="A788" t="str">
            <v>048401</v>
          </cell>
          <cell r="B788">
            <v>427.8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1.3894550000000001</v>
          </cell>
          <cell r="H788">
            <v>4.6189376443417996E-3</v>
          </cell>
          <cell r="I788">
            <v>1.3894550000000001</v>
          </cell>
          <cell r="J788">
            <v>4.6189376443417996E-3</v>
          </cell>
          <cell r="K788">
            <v>328.52059000000003</v>
          </cell>
          <cell r="L788">
            <v>1.0652680652680599</v>
          </cell>
          <cell r="M788">
            <v>328.52059000000003</v>
          </cell>
          <cell r="N788">
            <v>1.0652680652680599</v>
          </cell>
          <cell r="O788">
            <v>0.89117800000000003</v>
          </cell>
          <cell r="P788">
            <v>9.3676814988290294E-3</v>
          </cell>
          <cell r="Q788">
            <v>0.89117800000000003</v>
          </cell>
          <cell r="R788">
            <v>9.3676814988290294E-3</v>
          </cell>
          <cell r="S788">
            <v>12.103921</v>
          </cell>
          <cell r="T788">
            <v>9.64705882352941E-2</v>
          </cell>
          <cell r="U788">
            <v>11.972745</v>
          </cell>
          <cell r="V788">
            <v>9.41176470588235E-2</v>
          </cell>
        </row>
        <row r="789">
          <cell r="A789" t="str">
            <v>048402</v>
          </cell>
          <cell r="B789">
            <v>240.2</v>
          </cell>
          <cell r="C789">
            <v>1.623035</v>
          </cell>
          <cell r="D789">
            <v>7.9681274900398405E-3</v>
          </cell>
          <cell r="E789">
            <v>1.623035</v>
          </cell>
          <cell r="F789">
            <v>7.9681274900398405E-3</v>
          </cell>
          <cell r="G789">
            <v>0.92768499999999998</v>
          </cell>
          <cell r="H789">
            <v>8.2644628099173504E-3</v>
          </cell>
          <cell r="I789">
            <v>0.92768499999999998</v>
          </cell>
          <cell r="J789">
            <v>8.2644628099173504E-3</v>
          </cell>
          <cell r="K789">
            <v>373.33578399999999</v>
          </cell>
          <cell r="L789">
            <v>1.1470588235294099</v>
          </cell>
          <cell r="M789">
            <v>373.33578399999999</v>
          </cell>
          <cell r="N789">
            <v>1.1470588235294099</v>
          </cell>
          <cell r="O789">
            <v>1.195921</v>
          </cell>
          <cell r="P789">
            <v>8.4388185654008397E-3</v>
          </cell>
          <cell r="Q789">
            <v>1.195921</v>
          </cell>
          <cell r="R789">
            <v>8.4388185654008397E-3</v>
          </cell>
          <cell r="S789">
            <v>11.053934</v>
          </cell>
          <cell r="T789">
            <v>1.7167381974248899E-2</v>
          </cell>
          <cell r="U789">
            <v>11.053934</v>
          </cell>
          <cell r="V789">
            <v>1.7167381974248899E-2</v>
          </cell>
        </row>
        <row r="790">
          <cell r="A790" t="str">
            <v>048501</v>
          </cell>
          <cell r="B790">
            <v>751.4</v>
          </cell>
          <cell r="C790">
            <v>302.012834</v>
          </cell>
          <cell r="D790">
            <v>1.58639455782312</v>
          </cell>
          <cell r="E790">
            <v>301.480144</v>
          </cell>
          <cell r="F790">
            <v>1.5823129251700601</v>
          </cell>
          <cell r="G790">
            <v>486.29134199999999</v>
          </cell>
          <cell r="H790">
            <v>1.1710344827586201</v>
          </cell>
          <cell r="I790">
            <v>456.36928799999998</v>
          </cell>
          <cell r="J790">
            <v>1.11724137931034</v>
          </cell>
          <cell r="K790">
            <v>775.99636399999997</v>
          </cell>
          <cell r="L790">
            <v>2.2235939643346998</v>
          </cell>
          <cell r="M790">
            <v>253.974279</v>
          </cell>
          <cell r="N790">
            <v>1.69821673525377</v>
          </cell>
          <cell r="O790">
            <v>1613.481595</v>
          </cell>
          <cell r="P790">
            <v>2.8504801097393599</v>
          </cell>
          <cell r="Q790">
            <v>93.009715999999997</v>
          </cell>
          <cell r="R790">
            <v>0.72702331961591204</v>
          </cell>
          <cell r="S790">
            <v>2930.439351</v>
          </cell>
          <cell r="T790">
            <v>3.5506555423122701</v>
          </cell>
          <cell r="U790">
            <v>501.40619700000002</v>
          </cell>
          <cell r="V790">
            <v>2.4719904648390898</v>
          </cell>
        </row>
        <row r="791">
          <cell r="A791" t="str">
            <v>048502</v>
          </cell>
          <cell r="B791">
            <v>1641.1111109999999</v>
          </cell>
          <cell r="C791">
            <v>772.84821999999997</v>
          </cell>
          <cell r="D791">
            <v>2.6134831460674102</v>
          </cell>
          <cell r="E791">
            <v>772.84821999999997</v>
          </cell>
          <cell r="F791">
            <v>2.6134831460674102</v>
          </cell>
          <cell r="G791">
            <v>900.67951500000004</v>
          </cell>
          <cell r="H791">
            <v>3.5403409090908999</v>
          </cell>
          <cell r="I791">
            <v>657.33244200000001</v>
          </cell>
          <cell r="J791">
            <v>2.72215909090909</v>
          </cell>
          <cell r="K791">
            <v>3406.104366</v>
          </cell>
          <cell r="L791">
            <v>3.82437070938215</v>
          </cell>
          <cell r="M791">
            <v>645.34075099999995</v>
          </cell>
          <cell r="N791">
            <v>2.23684210526315</v>
          </cell>
          <cell r="O791">
            <v>1555.4243630000001</v>
          </cell>
          <cell r="P791">
            <v>2.8106235565819802</v>
          </cell>
          <cell r="Q791">
            <v>323.26096899999999</v>
          </cell>
          <cell r="R791">
            <v>1.6905311778290899</v>
          </cell>
          <cell r="S791">
            <v>1734.016666</v>
          </cell>
          <cell r="T791">
            <v>4.3294117647058803</v>
          </cell>
          <cell r="U791">
            <v>602.81994099999997</v>
          </cell>
          <cell r="V791">
            <v>2.4105882352941101</v>
          </cell>
        </row>
        <row r="792">
          <cell r="A792" t="str">
            <v>048601</v>
          </cell>
          <cell r="B792">
            <v>1715.8</v>
          </cell>
          <cell r="C792">
            <v>1479.4532830000001</v>
          </cell>
          <cell r="D792">
            <v>1.0707246376811499</v>
          </cell>
          <cell r="E792">
            <v>159.548214</v>
          </cell>
          <cell r="F792">
            <v>0.56811594202898497</v>
          </cell>
          <cell r="G792">
            <v>2051.7604839999999</v>
          </cell>
          <cell r="H792">
            <v>2.46833236490412</v>
          </cell>
          <cell r="I792">
            <v>70.317265000000006</v>
          </cell>
          <cell r="J792">
            <v>1.08483439860546</v>
          </cell>
          <cell r="K792">
            <v>267.045705</v>
          </cell>
          <cell r="L792">
            <v>0.51828206616366801</v>
          </cell>
          <cell r="M792">
            <v>60.417836999999999</v>
          </cell>
          <cell r="N792">
            <v>0.371445153801508</v>
          </cell>
          <cell r="O792">
            <v>2007.1697019999999</v>
          </cell>
          <cell r="P792">
            <v>2.1951650943396199</v>
          </cell>
          <cell r="Q792">
            <v>113.612686</v>
          </cell>
          <cell r="R792">
            <v>0.41509433962264097</v>
          </cell>
          <cell r="S792">
            <v>250.63346799999999</v>
          </cell>
          <cell r="T792">
            <v>1.0665110851808599</v>
          </cell>
          <cell r="U792">
            <v>176.02073999999999</v>
          </cell>
          <cell r="V792">
            <v>1.0425904317386201</v>
          </cell>
        </row>
        <row r="793">
          <cell r="A793" t="str">
            <v>048602</v>
          </cell>
          <cell r="B793">
            <v>1326.8</v>
          </cell>
          <cell r="C793">
            <v>1776.371116</v>
          </cell>
          <cell r="D793">
            <v>1.19879518072289</v>
          </cell>
          <cell r="E793">
            <v>174.08763200000001</v>
          </cell>
          <cell r="F793">
            <v>0.75828313253012003</v>
          </cell>
          <cell r="G793">
            <v>867.02824799999996</v>
          </cell>
          <cell r="H793">
            <v>2.3263157894736799</v>
          </cell>
          <cell r="I793">
            <v>345.15839199999999</v>
          </cell>
          <cell r="J793">
            <v>1.6962406015037499</v>
          </cell>
          <cell r="K793">
            <v>491.67709300000001</v>
          </cell>
          <cell r="L793">
            <v>1.48762190547636</v>
          </cell>
          <cell r="M793">
            <v>143.44807399999999</v>
          </cell>
          <cell r="N793">
            <v>1.152288072018</v>
          </cell>
          <cell r="O793">
            <v>1374.583408</v>
          </cell>
          <cell r="P793">
            <v>2.7532368621477499</v>
          </cell>
          <cell r="Q793">
            <v>269.53533800000002</v>
          </cell>
          <cell r="R793">
            <v>1.14318354912414</v>
          </cell>
          <cell r="S793">
            <v>867.021704</v>
          </cell>
          <cell r="T793">
            <v>2.9015037593984898</v>
          </cell>
          <cell r="U793">
            <v>418.80203</v>
          </cell>
          <cell r="V793">
            <v>2.4150375939849602</v>
          </cell>
        </row>
        <row r="794">
          <cell r="A794" t="str">
            <v>048701</v>
          </cell>
          <cell r="B794">
            <v>271.66666600000002</v>
          </cell>
          <cell r="C794">
            <v>87.327740000000006</v>
          </cell>
          <cell r="D794">
            <v>0.52650176678445204</v>
          </cell>
          <cell r="E794">
            <v>87.327740000000006</v>
          </cell>
          <cell r="F794">
            <v>0.52650176678445204</v>
          </cell>
          <cell r="G794">
            <v>180.23190299999999</v>
          </cell>
          <cell r="H794">
            <v>0.31182795698924698</v>
          </cell>
          <cell r="I794">
            <v>94.857927000000004</v>
          </cell>
          <cell r="J794">
            <v>0.24372759856630799</v>
          </cell>
          <cell r="K794">
            <v>674.52234199999998</v>
          </cell>
          <cell r="L794">
            <v>1.9565217391304299</v>
          </cell>
          <cell r="M794">
            <v>114.04679899999999</v>
          </cell>
          <cell r="N794">
            <v>1.4384057971014399</v>
          </cell>
          <cell r="O794">
            <v>139.39088100000001</v>
          </cell>
          <cell r="P794">
            <v>0.141304347826086</v>
          </cell>
          <cell r="Q794">
            <v>51.580012000000004</v>
          </cell>
          <cell r="R794">
            <v>0.11231884057971001</v>
          </cell>
          <cell r="S794">
            <v>25.591398999999999</v>
          </cell>
          <cell r="T794">
            <v>0.06</v>
          </cell>
          <cell r="U794">
            <v>15.519799000000001</v>
          </cell>
          <cell r="V794">
            <v>5.6000000000000001E-2</v>
          </cell>
        </row>
        <row r="795">
          <cell r="A795" t="str">
            <v>048702</v>
          </cell>
          <cell r="B795">
            <v>420.2</v>
          </cell>
          <cell r="C795">
            <v>859.57180600000004</v>
          </cell>
          <cell r="D795">
            <v>0.58424507658643299</v>
          </cell>
          <cell r="E795">
            <v>124.087835</v>
          </cell>
          <cell r="F795">
            <v>0.13566739606126901</v>
          </cell>
          <cell r="G795">
            <v>292.250811</v>
          </cell>
          <cell r="H795">
            <v>0.65090090090090003</v>
          </cell>
          <cell r="I795">
            <v>110.416392</v>
          </cell>
          <cell r="J795">
            <v>0.445945945945945</v>
          </cell>
          <cell r="K795">
            <v>1231.5811100000001</v>
          </cell>
          <cell r="L795">
            <v>2.1785714285714199</v>
          </cell>
          <cell r="M795">
            <v>211.88960299999999</v>
          </cell>
          <cell r="N795">
            <v>1.7761904761904701</v>
          </cell>
          <cell r="O795">
            <v>1979.9310359999999</v>
          </cell>
          <cell r="P795">
            <v>2.53061224489795</v>
          </cell>
          <cell r="Q795">
            <v>133.243707</v>
          </cell>
          <cell r="R795">
            <v>1.34183673469387</v>
          </cell>
          <cell r="S795">
            <v>1275.811297</v>
          </cell>
          <cell r="T795">
            <v>1.1701030927835001</v>
          </cell>
          <cell r="U795">
            <v>329.23453599999999</v>
          </cell>
          <cell r="V795">
            <v>0.79123711340206104</v>
          </cell>
        </row>
        <row r="796">
          <cell r="A796" t="str">
            <v>048801</v>
          </cell>
          <cell r="B796">
            <v>811.4</v>
          </cell>
          <cell r="C796">
            <v>107.76842499999999</v>
          </cell>
          <cell r="D796">
            <v>0.65298013245033104</v>
          </cell>
          <cell r="E796">
            <v>107.713757</v>
          </cell>
          <cell r="F796">
            <v>0.65033112582781405</v>
          </cell>
          <cell r="G796">
            <v>556.81850599999996</v>
          </cell>
          <cell r="H796">
            <v>0.793727382388419</v>
          </cell>
          <cell r="I796">
            <v>395.76552199999998</v>
          </cell>
          <cell r="J796">
            <v>0.65500603136308799</v>
          </cell>
          <cell r="K796">
            <v>258.30305299999998</v>
          </cell>
          <cell r="L796">
            <v>1.00606796116504</v>
          </cell>
          <cell r="M796">
            <v>83.095286999999999</v>
          </cell>
          <cell r="N796">
            <v>0.615291262135922</v>
          </cell>
          <cell r="O796">
            <v>273.06471099999999</v>
          </cell>
          <cell r="P796">
            <v>0.84764207980652895</v>
          </cell>
          <cell r="Q796">
            <v>163.27982600000001</v>
          </cell>
          <cell r="R796">
            <v>0.71463119709794398</v>
          </cell>
          <cell r="S796">
            <v>149.98092</v>
          </cell>
          <cell r="T796">
            <v>1.36739659367396</v>
          </cell>
          <cell r="U796">
            <v>129.04685699999999</v>
          </cell>
          <cell r="V796">
            <v>1.35279805352798</v>
          </cell>
        </row>
        <row r="797">
          <cell r="A797" t="str">
            <v>048802</v>
          </cell>
          <cell r="B797">
            <v>636.6</v>
          </cell>
          <cell r="C797">
            <v>322.30817100000002</v>
          </cell>
          <cell r="D797">
            <v>2.8065395095367802</v>
          </cell>
          <cell r="E797">
            <v>316.18633699999998</v>
          </cell>
          <cell r="F797">
            <v>2.7411444141689301</v>
          </cell>
          <cell r="G797">
            <v>1795.9599909999999</v>
          </cell>
          <cell r="H797">
            <v>2.3244382022471899</v>
          </cell>
          <cell r="I797">
            <v>355.14607799999999</v>
          </cell>
          <cell r="J797">
            <v>1.29073033707865</v>
          </cell>
          <cell r="K797">
            <v>1174.1476379999999</v>
          </cell>
          <cell r="L797">
            <v>4.3309957924263598</v>
          </cell>
          <cell r="M797">
            <v>279.39258899999999</v>
          </cell>
          <cell r="N797">
            <v>2.7517531556802202</v>
          </cell>
          <cell r="O797">
            <v>856.61753999999996</v>
          </cell>
          <cell r="P797">
            <v>1.91063829787234</v>
          </cell>
          <cell r="Q797">
            <v>227.50957399999999</v>
          </cell>
          <cell r="R797">
            <v>0.82978723404255295</v>
          </cell>
          <cell r="S797">
            <v>334.05998499999998</v>
          </cell>
          <cell r="T797">
            <v>2.4737609329446002</v>
          </cell>
          <cell r="U797">
            <v>303.75082600000002</v>
          </cell>
          <cell r="V797">
            <v>2.2390670553935799</v>
          </cell>
        </row>
        <row r="798">
          <cell r="A798" t="str">
            <v>048901</v>
          </cell>
          <cell r="B798">
            <v>547.33333300000004</v>
          </cell>
          <cell r="C798">
            <v>391.33013399999999</v>
          </cell>
          <cell r="D798">
            <v>1.29391891891891</v>
          </cell>
          <cell r="E798">
            <v>391.33013399999999</v>
          </cell>
          <cell r="F798">
            <v>1.29391891891891</v>
          </cell>
          <cell r="G798">
            <v>554.33026400000006</v>
          </cell>
          <cell r="H798">
            <v>1.2250859106529199</v>
          </cell>
          <cell r="I798">
            <v>72.094164000000006</v>
          </cell>
          <cell r="J798">
            <v>1.05670103092783</v>
          </cell>
          <cell r="K798">
            <v>448.70459599999998</v>
          </cell>
          <cell r="L798">
            <v>1.7034482758620599</v>
          </cell>
          <cell r="M798">
            <v>94.516091000000003</v>
          </cell>
          <cell r="N798">
            <v>1.5206896551724101</v>
          </cell>
          <cell r="O798">
            <v>2139.977566</v>
          </cell>
          <cell r="P798">
            <v>1.1124567474048399</v>
          </cell>
          <cell r="Q798">
            <v>46.557670000000002</v>
          </cell>
          <cell r="R798">
            <v>0.32525951557093402</v>
          </cell>
          <cell r="S798">
            <v>179.196665</v>
          </cell>
          <cell r="T798">
            <v>0.32347826086956499</v>
          </cell>
          <cell r="U798">
            <v>4.5806079999999998</v>
          </cell>
          <cell r="V798">
            <v>6.9565217391304293E-2</v>
          </cell>
        </row>
        <row r="799">
          <cell r="A799" t="str">
            <v>048902</v>
          </cell>
          <cell r="B799">
            <v>963</v>
          </cell>
          <cell r="C799">
            <v>262.78754700000002</v>
          </cell>
          <cell r="D799">
            <v>0.48691099476439698</v>
          </cell>
          <cell r="E799">
            <v>257.65607399999999</v>
          </cell>
          <cell r="F799">
            <v>0.454450261780104</v>
          </cell>
          <cell r="G799">
            <v>1426.1927229999999</v>
          </cell>
          <cell r="H799">
            <v>2.4282700421940899</v>
          </cell>
          <cell r="I799">
            <v>284.59499</v>
          </cell>
          <cell r="J799">
            <v>1.8280590717299501</v>
          </cell>
          <cell r="K799">
            <v>3488.8736479999998</v>
          </cell>
          <cell r="L799">
            <v>4.0216718266253801</v>
          </cell>
          <cell r="M799">
            <v>148.00318100000001</v>
          </cell>
          <cell r="N799">
            <v>1.3983488132094899</v>
          </cell>
          <cell r="O799">
            <v>682.09981000000005</v>
          </cell>
          <cell r="P799">
            <v>1.32955715756951</v>
          </cell>
          <cell r="Q799">
            <v>107.49955300000001</v>
          </cell>
          <cell r="R799">
            <v>0.76210092687950504</v>
          </cell>
          <cell r="S799">
            <v>254.21203600000001</v>
          </cell>
          <cell r="T799">
            <v>1.3281893004115199</v>
          </cell>
          <cell r="U799">
            <v>60.191220000000001</v>
          </cell>
          <cell r="V799">
            <v>0.98148148148148096</v>
          </cell>
        </row>
        <row r="800">
          <cell r="A800" t="str">
            <v>049101</v>
          </cell>
          <cell r="B800">
            <v>494.44444399999998</v>
          </cell>
          <cell r="C800">
            <v>2161.2358170000002</v>
          </cell>
          <cell r="D800">
            <v>3.1400394477317501</v>
          </cell>
          <cell r="E800">
            <v>345.789491</v>
          </cell>
          <cell r="F800">
            <v>1.9980276134122199</v>
          </cell>
          <cell r="G800">
            <v>1215.187381</v>
          </cell>
          <cell r="H800">
            <v>3.4880478087649398</v>
          </cell>
          <cell r="I800">
            <v>1215.187381</v>
          </cell>
          <cell r="J800">
            <v>3.4880478087649398</v>
          </cell>
          <cell r="K800">
            <v>2482.7061899999999</v>
          </cell>
          <cell r="L800">
            <v>2.8955823293172598</v>
          </cell>
          <cell r="M800">
            <v>130.26321899999999</v>
          </cell>
          <cell r="N800">
            <v>1.4096385542168599</v>
          </cell>
          <cell r="O800">
            <v>323.48143900000002</v>
          </cell>
          <cell r="P800">
            <v>0.52738336713995904</v>
          </cell>
          <cell r="Q800">
            <v>164.925963</v>
          </cell>
          <cell r="R800">
            <v>0.302231237322515</v>
          </cell>
          <cell r="S800">
            <v>5155.7222330000004</v>
          </cell>
          <cell r="T800">
            <v>1.78151260504201</v>
          </cell>
          <cell r="U800">
            <v>100.656092</v>
          </cell>
          <cell r="V800">
            <v>0.64915966386554602</v>
          </cell>
        </row>
        <row r="801">
          <cell r="A801" t="str">
            <v>049102</v>
          </cell>
          <cell r="B801">
            <v>1343.8</v>
          </cell>
          <cell r="C801">
            <v>440.99017300000003</v>
          </cell>
          <cell r="D801">
            <v>0.64640474425500305</v>
          </cell>
          <cell r="E801">
            <v>124.440991</v>
          </cell>
          <cell r="F801">
            <v>0.36249073387694503</v>
          </cell>
          <cell r="G801">
            <v>185.31783300000001</v>
          </cell>
          <cell r="H801">
            <v>0.86424332344213595</v>
          </cell>
          <cell r="I801">
            <v>120.008392</v>
          </cell>
          <cell r="J801">
            <v>0.46364985163204703</v>
          </cell>
          <cell r="K801">
            <v>1786.8976709999999</v>
          </cell>
          <cell r="L801">
            <v>2.2823179791976198</v>
          </cell>
          <cell r="M801">
            <v>78.200023999999999</v>
          </cell>
          <cell r="N801">
            <v>0.56092124814264399</v>
          </cell>
          <cell r="O801">
            <v>250.14360600000001</v>
          </cell>
          <cell r="P801">
            <v>1.0791044776119401</v>
          </cell>
          <cell r="Q801">
            <v>149.085286</v>
          </cell>
          <cell r="R801">
            <v>0.898507462686567</v>
          </cell>
          <cell r="S801">
            <v>903.298315</v>
          </cell>
          <cell r="T801">
            <v>1.51047904191616</v>
          </cell>
          <cell r="U801">
            <v>215.672742</v>
          </cell>
          <cell r="V801">
            <v>0.93787425149700498</v>
          </cell>
        </row>
        <row r="802">
          <cell r="A802" t="str">
            <v>049202</v>
          </cell>
          <cell r="B802">
            <v>854</v>
          </cell>
          <cell r="C802">
            <v>183.72536299999999</v>
          </cell>
          <cell r="D802">
            <v>1.0299785867237601</v>
          </cell>
          <cell r="E802">
            <v>183.72536299999999</v>
          </cell>
          <cell r="F802">
            <v>1.0299785867237601</v>
          </cell>
          <cell r="G802">
            <v>186.652456</v>
          </cell>
          <cell r="H802">
            <v>2.08735632183908</v>
          </cell>
          <cell r="I802">
            <v>186.652456</v>
          </cell>
          <cell r="J802">
            <v>2.08735632183908</v>
          </cell>
          <cell r="K802">
            <v>46.204503000000003</v>
          </cell>
          <cell r="L802">
            <v>0.18360277136258599</v>
          </cell>
          <cell r="M802">
            <v>13.192724999999999</v>
          </cell>
          <cell r="N802">
            <v>0.169745958429561</v>
          </cell>
          <cell r="O802">
            <v>14.687402000000001</v>
          </cell>
          <cell r="P802">
            <v>0.11574074074074001</v>
          </cell>
          <cell r="Q802">
            <v>11.318073999999999</v>
          </cell>
          <cell r="R802">
            <v>9.8379629629629595E-2</v>
          </cell>
          <cell r="S802">
            <v>1802.5742969999999</v>
          </cell>
          <cell r="T802">
            <v>2.2831632653061198</v>
          </cell>
          <cell r="U802">
            <v>216.75639799999999</v>
          </cell>
          <cell r="V802">
            <v>1.24617346938775</v>
          </cell>
        </row>
        <row r="803">
          <cell r="A803" t="str">
            <v>049203</v>
          </cell>
          <cell r="B803">
            <v>686.33333300000004</v>
          </cell>
          <cell r="C803">
            <v>371.61434600000001</v>
          </cell>
          <cell r="D803">
            <v>2.5716486902927498</v>
          </cell>
          <cell r="E803">
            <v>371.51650799999999</v>
          </cell>
          <cell r="F803">
            <v>2.5701078582434498</v>
          </cell>
          <cell r="G803">
            <v>432.03947399999998</v>
          </cell>
          <cell r="H803">
            <v>6.3387358184764899</v>
          </cell>
          <cell r="I803">
            <v>432.03947399999998</v>
          </cell>
          <cell r="J803">
            <v>6.3387358184764899</v>
          </cell>
          <cell r="K803">
            <v>1454.5516009999999</v>
          </cell>
          <cell r="L803">
            <v>2.7133550488599298</v>
          </cell>
          <cell r="M803">
            <v>144.52451099999999</v>
          </cell>
          <cell r="N803">
            <v>1.4185667752442901</v>
          </cell>
          <cell r="O803">
            <v>771.49030500000003</v>
          </cell>
          <cell r="P803">
            <v>2.7517433751743301</v>
          </cell>
          <cell r="Q803">
            <v>169.23026400000001</v>
          </cell>
          <cell r="R803">
            <v>1.60669456066945</v>
          </cell>
          <cell r="S803">
            <v>526.32085300000006</v>
          </cell>
          <cell r="T803">
            <v>0.67125000000000001</v>
          </cell>
          <cell r="U803">
            <v>8.8938120000000005</v>
          </cell>
          <cell r="V803">
            <v>5.3749999999999999E-2</v>
          </cell>
        </row>
        <row r="804">
          <cell r="A804" t="str">
            <v>049204</v>
          </cell>
          <cell r="B804">
            <v>1002.6</v>
          </cell>
          <cell r="C804">
            <v>297.284874</v>
          </cell>
          <cell r="D804">
            <v>1.6653386454183201</v>
          </cell>
          <cell r="E804">
            <v>77.534343000000007</v>
          </cell>
          <cell r="F804">
            <v>1.15139442231075</v>
          </cell>
          <cell r="G804">
            <v>62.196033999999997</v>
          </cell>
          <cell r="H804">
            <v>0.39221556886227499</v>
          </cell>
          <cell r="I804">
            <v>61.023384999999998</v>
          </cell>
          <cell r="J804">
            <v>0.37425149700598798</v>
          </cell>
          <cell r="K804">
            <v>140.51683199999999</v>
          </cell>
          <cell r="L804">
            <v>0.46407185628742498</v>
          </cell>
          <cell r="M804">
            <v>47.071789000000003</v>
          </cell>
          <cell r="N804">
            <v>0.25648702594810302</v>
          </cell>
          <cell r="O804">
            <v>151.527649</v>
          </cell>
          <cell r="P804">
            <v>0.50049850448653999</v>
          </cell>
          <cell r="Q804">
            <v>57.276553</v>
          </cell>
          <cell r="R804">
            <v>0.336989032901296</v>
          </cell>
          <cell r="S804">
            <v>2607.1217889999998</v>
          </cell>
          <cell r="T804">
            <v>3.5808383233532899</v>
          </cell>
          <cell r="U804">
            <v>239.38772399999999</v>
          </cell>
          <cell r="V804">
            <v>2.1207584830339301</v>
          </cell>
        </row>
        <row r="805">
          <cell r="A805" t="str">
            <v>049205</v>
          </cell>
          <cell r="B805">
            <v>92.375</v>
          </cell>
          <cell r="C805">
            <v>779.11005999999998</v>
          </cell>
          <cell r="D805">
            <v>1.2688172043010699</v>
          </cell>
          <cell r="E805">
            <v>299.74387899999999</v>
          </cell>
          <cell r="F805">
            <v>0.82795698924731098</v>
          </cell>
          <cell r="G805">
            <v>38.893259</v>
          </cell>
          <cell r="H805">
            <v>8.5106382978723402E-2</v>
          </cell>
          <cell r="I805">
            <v>38.893259</v>
          </cell>
          <cell r="J805">
            <v>8.5106382978723402E-2</v>
          </cell>
          <cell r="K805">
            <v>59.027597</v>
          </cell>
          <cell r="L805">
            <v>0.462365591397849</v>
          </cell>
          <cell r="M805">
            <v>36.155017000000001</v>
          </cell>
          <cell r="N805">
            <v>0.45161290322580599</v>
          </cell>
          <cell r="O805">
            <v>1112.6754570000001</v>
          </cell>
          <cell r="P805">
            <v>1.1868131868131799</v>
          </cell>
          <cell r="Q805">
            <v>84.855311</v>
          </cell>
          <cell r="R805">
            <v>0.84615384615384603</v>
          </cell>
          <cell r="S805">
            <v>436.78241700000001</v>
          </cell>
          <cell r="T805">
            <v>2.0879120879120801</v>
          </cell>
          <cell r="U805">
            <v>436.78241700000001</v>
          </cell>
          <cell r="V805">
            <v>2.0879120879120801</v>
          </cell>
        </row>
        <row r="806">
          <cell r="A806" t="str">
            <v>049206</v>
          </cell>
          <cell r="B806">
            <v>1658.4</v>
          </cell>
          <cell r="C806">
            <v>13.807207999999999</v>
          </cell>
          <cell r="D806">
            <v>0.14001207000603499</v>
          </cell>
          <cell r="E806">
            <v>7.5521260000000003</v>
          </cell>
          <cell r="F806">
            <v>0.12070006035003</v>
          </cell>
          <cell r="G806">
            <v>176.53624199999999</v>
          </cell>
          <cell r="H806">
            <v>0.55595667870036103</v>
          </cell>
          <cell r="I806">
            <v>17.777083000000001</v>
          </cell>
          <cell r="J806">
            <v>0.135980746089049</v>
          </cell>
          <cell r="K806">
            <v>53.359265999999998</v>
          </cell>
          <cell r="L806">
            <v>0.35421686746987902</v>
          </cell>
          <cell r="M806">
            <v>46.448673999999997</v>
          </cell>
          <cell r="N806">
            <v>0.35180722891566202</v>
          </cell>
          <cell r="O806">
            <v>134.35956899999999</v>
          </cell>
          <cell r="P806">
            <v>1.4475271411338899</v>
          </cell>
          <cell r="Q806">
            <v>106.82525099999999</v>
          </cell>
          <cell r="R806">
            <v>1.2539203860072301</v>
          </cell>
          <cell r="S806">
            <v>1932.264682</v>
          </cell>
          <cell r="T806">
            <v>2.98912386706948</v>
          </cell>
          <cell r="U806">
            <v>264.91700900000001</v>
          </cell>
          <cell r="V806">
            <v>2.3649546827794499</v>
          </cell>
        </row>
        <row r="807">
          <cell r="A807" t="str">
            <v>049301</v>
          </cell>
          <cell r="B807">
            <v>509.2</v>
          </cell>
          <cell r="C807">
            <v>1384.8593619999999</v>
          </cell>
          <cell r="D807">
            <v>2.5472061657032699</v>
          </cell>
          <cell r="E807">
            <v>508.94369</v>
          </cell>
          <cell r="F807">
            <v>1.8111753371868899</v>
          </cell>
          <cell r="G807">
            <v>999.34218999999996</v>
          </cell>
          <cell r="H807">
            <v>1.9591439688715899</v>
          </cell>
          <cell r="I807">
            <v>241.84875199999999</v>
          </cell>
          <cell r="J807">
            <v>1.1536964980544699</v>
          </cell>
          <cell r="K807">
            <v>2125.229836</v>
          </cell>
          <cell r="L807">
            <v>3.6823529411764699</v>
          </cell>
          <cell r="M807">
            <v>634.12486899999999</v>
          </cell>
          <cell r="N807">
            <v>2.3176470588235198</v>
          </cell>
          <cell r="O807">
            <v>722.41603499999997</v>
          </cell>
          <cell r="P807">
            <v>1.2629482071713101</v>
          </cell>
          <cell r="Q807">
            <v>498.18960800000002</v>
          </cell>
          <cell r="R807">
            <v>0.95816733067728999</v>
          </cell>
          <cell r="S807">
            <v>3522.255987</v>
          </cell>
          <cell r="T807">
            <v>3.0479041916167602</v>
          </cell>
          <cell r="U807">
            <v>405.035595</v>
          </cell>
          <cell r="V807">
            <v>1.1117764471057801</v>
          </cell>
        </row>
        <row r="808">
          <cell r="A808" t="str">
            <v>049302</v>
          </cell>
          <cell r="B808">
            <v>429</v>
          </cell>
          <cell r="C808">
            <v>1736.9850160000001</v>
          </cell>
          <cell r="D808">
            <v>1.9445727482678901</v>
          </cell>
          <cell r="E808">
            <v>499.33871799999997</v>
          </cell>
          <cell r="F808">
            <v>1.48267898383371</v>
          </cell>
          <cell r="G808">
            <v>219.78089499999999</v>
          </cell>
          <cell r="H808">
            <v>0.36596736596736501</v>
          </cell>
          <cell r="I808">
            <v>54.310710999999998</v>
          </cell>
          <cell r="J808">
            <v>0.188811188811188</v>
          </cell>
          <cell r="K808">
            <v>1666.07313</v>
          </cell>
          <cell r="L808">
            <v>5.0397196261682202</v>
          </cell>
          <cell r="M808">
            <v>1143.3501940000001</v>
          </cell>
          <cell r="N808">
            <v>4.6285046728971899</v>
          </cell>
          <cell r="O808">
            <v>342.36165399999999</v>
          </cell>
          <cell r="P808">
            <v>1.3146853146853099</v>
          </cell>
          <cell r="Q808">
            <v>318.01107200000001</v>
          </cell>
          <cell r="R808">
            <v>1.2960372960372899</v>
          </cell>
          <cell r="S808">
            <v>5857.9167040000002</v>
          </cell>
          <cell r="T808">
            <v>6.4718309859154903</v>
          </cell>
          <cell r="U808">
            <v>1312.5604060000001</v>
          </cell>
          <cell r="V808">
            <v>4.3333333333333304</v>
          </cell>
        </row>
        <row r="809">
          <cell r="A809" t="str">
            <v>049401</v>
          </cell>
          <cell r="B809">
            <v>1443.444444</v>
          </cell>
          <cell r="C809">
            <v>0.49258600000000002</v>
          </cell>
          <cell r="D809">
            <v>6.1517429938482502E-3</v>
          </cell>
          <cell r="E809">
            <v>0.49258600000000002</v>
          </cell>
          <cell r="F809">
            <v>6.1517429938482502E-3</v>
          </cell>
          <cell r="G809">
            <v>55.637630000000001</v>
          </cell>
          <cell r="H809">
            <v>0.18475274725274701</v>
          </cell>
          <cell r="I809">
            <v>37.066307000000002</v>
          </cell>
          <cell r="J809">
            <v>0.100274725274725</v>
          </cell>
          <cell r="K809">
            <v>396.56823700000001</v>
          </cell>
          <cell r="L809">
            <v>0.710254645560908</v>
          </cell>
          <cell r="M809">
            <v>82.970509000000007</v>
          </cell>
          <cell r="N809">
            <v>0.50929112181693004</v>
          </cell>
          <cell r="O809">
            <v>155.03116800000001</v>
          </cell>
          <cell r="P809">
            <v>0.52421052631578902</v>
          </cell>
          <cell r="Q809">
            <v>135.32997599999999</v>
          </cell>
          <cell r="R809">
            <v>0.51789473684210496</v>
          </cell>
          <cell r="S809">
            <v>4.2422950000000004</v>
          </cell>
          <cell r="T809">
            <v>2.1678321678321601E-2</v>
          </cell>
          <cell r="U809">
            <v>2.4293469999999999</v>
          </cell>
          <cell r="V809">
            <v>1.6083916083915999E-2</v>
          </cell>
        </row>
        <row r="810">
          <cell r="A810" t="str">
            <v>049402</v>
          </cell>
          <cell r="B810">
            <v>1052.4285709999999</v>
          </cell>
          <cell r="C810">
            <v>14.80325</v>
          </cell>
          <cell r="D810">
            <v>0.121788772597526</v>
          </cell>
          <cell r="E810">
            <v>14.80325</v>
          </cell>
          <cell r="F810">
            <v>0.121788772597526</v>
          </cell>
          <cell r="G810">
            <v>161.37277800000001</v>
          </cell>
          <cell r="H810">
            <v>1.16587677725118</v>
          </cell>
          <cell r="I810">
            <v>161.37277800000001</v>
          </cell>
          <cell r="J810">
            <v>1.16587677725118</v>
          </cell>
          <cell r="K810">
            <v>153.59447499999999</v>
          </cell>
          <cell r="L810">
            <v>0.17948717948717899</v>
          </cell>
          <cell r="M810">
            <v>8.4393630000000002</v>
          </cell>
          <cell r="N810">
            <v>8.4520417853751098E-2</v>
          </cell>
          <cell r="O810">
            <v>243.65233000000001</v>
          </cell>
          <cell r="P810">
            <v>0.56327307326355802</v>
          </cell>
          <cell r="Q810">
            <v>153.46490600000001</v>
          </cell>
          <cell r="R810">
            <v>0.538534728829686</v>
          </cell>
          <cell r="S810">
            <v>4.0694679999999996</v>
          </cell>
          <cell r="T810">
            <v>2.75403608736942E-2</v>
          </cell>
          <cell r="U810">
            <v>4.0694679999999996</v>
          </cell>
          <cell r="V810">
            <v>2.75403608736942E-2</v>
          </cell>
        </row>
        <row r="811">
          <cell r="A811" t="str">
            <v>049403</v>
          </cell>
          <cell r="B811">
            <v>1715.444444</v>
          </cell>
          <cell r="C811">
            <v>4.5480409999999996</v>
          </cell>
          <cell r="D811">
            <v>4.6471600688468097E-2</v>
          </cell>
          <cell r="E811">
            <v>4.5480409999999996</v>
          </cell>
          <cell r="F811">
            <v>4.6471600688468097E-2</v>
          </cell>
          <cell r="G811">
            <v>14.01943</v>
          </cell>
          <cell r="H811">
            <v>6.9248826291079799E-2</v>
          </cell>
          <cell r="I811">
            <v>13.404299</v>
          </cell>
          <cell r="J811">
            <v>6.5727699530516395E-2</v>
          </cell>
          <cell r="K811">
            <v>11.868441000000001</v>
          </cell>
          <cell r="L811">
            <v>0.110653325485579</v>
          </cell>
          <cell r="M811">
            <v>9.2936820000000004</v>
          </cell>
          <cell r="N811">
            <v>4.7675103001765702E-2</v>
          </cell>
          <cell r="O811">
            <v>1564.8685029999999</v>
          </cell>
          <cell r="P811">
            <v>1.5438189204875199</v>
          </cell>
          <cell r="Q811">
            <v>87.040181000000004</v>
          </cell>
          <cell r="R811">
            <v>0.54323853743470596</v>
          </cell>
          <cell r="S811">
            <v>91.972153000000006</v>
          </cell>
          <cell r="T811">
            <v>0.38211382113821102</v>
          </cell>
          <cell r="U811">
            <v>84.859938999999997</v>
          </cell>
          <cell r="V811">
            <v>0.37921022067363502</v>
          </cell>
        </row>
        <row r="812">
          <cell r="A812" t="str">
            <v>049601</v>
          </cell>
          <cell r="B812">
            <v>724.4</v>
          </cell>
          <cell r="C812">
            <v>725.01716999999996</v>
          </cell>
          <cell r="D812">
            <v>3.3020134228187898</v>
          </cell>
          <cell r="E812">
            <v>717.77861099999996</v>
          </cell>
          <cell r="F812">
            <v>3.25167785234899</v>
          </cell>
          <cell r="G812">
            <v>52.760399</v>
          </cell>
          <cell r="H812">
            <v>0.24584323040379999</v>
          </cell>
          <cell r="I812">
            <v>48.622219000000001</v>
          </cell>
          <cell r="J812">
            <v>0.24346793349168599</v>
          </cell>
          <cell r="K812">
            <v>621.58427600000005</v>
          </cell>
          <cell r="L812">
            <v>3.1554216867469802</v>
          </cell>
          <cell r="M812">
            <v>53.525863000000001</v>
          </cell>
          <cell r="N812">
            <v>0.45662650602409599</v>
          </cell>
          <cell r="O812">
            <v>1456.245222</v>
          </cell>
          <cell r="P812">
            <v>2.03022974607013</v>
          </cell>
          <cell r="Q812">
            <v>194.339842</v>
          </cell>
          <cell r="R812">
            <v>0.70979443772672302</v>
          </cell>
          <cell r="S812">
            <v>46.354100000000003</v>
          </cell>
          <cell r="T812">
            <v>0.23878787878787799</v>
          </cell>
          <cell r="U812">
            <v>26.790828000000001</v>
          </cell>
          <cell r="V812">
            <v>0.207272727272727</v>
          </cell>
        </row>
        <row r="813">
          <cell r="A813" t="str">
            <v>049602</v>
          </cell>
          <cell r="B813">
            <v>750.4</v>
          </cell>
          <cell r="C813">
            <v>296.26810999999998</v>
          </cell>
          <cell r="D813">
            <v>1.3949801849405501</v>
          </cell>
          <cell r="E813">
            <v>283.04000600000001</v>
          </cell>
          <cell r="F813">
            <v>1.3844121532364499</v>
          </cell>
          <cell r="G813">
            <v>490.61737699999998</v>
          </cell>
          <cell r="H813">
            <v>0.50331125827814505</v>
          </cell>
          <cell r="I813">
            <v>0.951955</v>
          </cell>
          <cell r="J813">
            <v>5.29801324503311E-3</v>
          </cell>
          <cell r="K813">
            <v>667.43960900000002</v>
          </cell>
          <cell r="L813">
            <v>3.7029177718832802</v>
          </cell>
          <cell r="M813">
            <v>142.59787700000001</v>
          </cell>
          <cell r="N813">
            <v>1.4641909814323599</v>
          </cell>
          <cell r="O813">
            <v>673.15411500000005</v>
          </cell>
          <cell r="P813">
            <v>1.2255033557046899</v>
          </cell>
          <cell r="Q813">
            <v>118.454116</v>
          </cell>
          <cell r="R813">
            <v>0.23892617449664399</v>
          </cell>
          <cell r="S813">
            <v>69.392149000000003</v>
          </cell>
          <cell r="T813">
            <v>0.29959514170040402</v>
          </cell>
          <cell r="U813">
            <v>11.471727</v>
          </cell>
          <cell r="V813">
            <v>0.19163292847503299</v>
          </cell>
        </row>
        <row r="814">
          <cell r="A814" t="str">
            <v>049701</v>
          </cell>
          <cell r="B814">
            <v>396.6</v>
          </cell>
          <cell r="C814">
            <v>333.39320500000002</v>
          </cell>
          <cell r="D814">
            <v>1.2729528535980099</v>
          </cell>
          <cell r="E814">
            <v>120.121531</v>
          </cell>
          <cell r="F814">
            <v>1.2307692307692299</v>
          </cell>
          <cell r="G814">
            <v>972.96770900000001</v>
          </cell>
          <cell r="H814">
            <v>0.64267990074441605</v>
          </cell>
          <cell r="I814">
            <v>57.679920000000003</v>
          </cell>
          <cell r="J814">
            <v>0.33250620347394499</v>
          </cell>
          <cell r="K814">
            <v>455.05558300000001</v>
          </cell>
          <cell r="L814">
            <v>1.2725</v>
          </cell>
          <cell r="M814">
            <v>337.65508299999999</v>
          </cell>
          <cell r="N814">
            <v>1.0874999999999999</v>
          </cell>
          <cell r="O814">
            <v>3703.6875199999999</v>
          </cell>
          <cell r="P814">
            <v>3.3589743589743501</v>
          </cell>
          <cell r="Q814">
            <v>573.85551199999998</v>
          </cell>
          <cell r="R814">
            <v>2.3179487179487102</v>
          </cell>
          <cell r="S814">
            <v>1008.8403520000001</v>
          </cell>
          <cell r="T814">
            <v>2.6279069767441801</v>
          </cell>
          <cell r="U814">
            <v>307.19539099999997</v>
          </cell>
          <cell r="V814">
            <v>2.1757105943152402</v>
          </cell>
        </row>
        <row r="815">
          <cell r="A815" t="str">
            <v>049702</v>
          </cell>
          <cell r="B815">
            <v>1316.2</v>
          </cell>
          <cell r="C815">
            <v>155.522638</v>
          </cell>
          <cell r="D815">
            <v>0.75355805243445595</v>
          </cell>
          <cell r="E815">
            <v>60.642189999999999</v>
          </cell>
          <cell r="F815">
            <v>0.70861423220973696</v>
          </cell>
          <cell r="G815">
            <v>512.84766000000002</v>
          </cell>
          <cell r="H815">
            <v>1.0973584905660301</v>
          </cell>
          <cell r="I815">
            <v>143.110367</v>
          </cell>
          <cell r="J815">
            <v>0.90566037735849003</v>
          </cell>
          <cell r="K815">
            <v>957.079115</v>
          </cell>
          <cell r="L815">
            <v>1.1537878787878699</v>
          </cell>
          <cell r="M815">
            <v>82.116287</v>
          </cell>
          <cell r="N815">
            <v>0.64469696969696899</v>
          </cell>
          <cell r="O815">
            <v>3427.87032</v>
          </cell>
          <cell r="P815">
            <v>2.9602750190985399</v>
          </cell>
          <cell r="Q815">
            <v>512.94000500000004</v>
          </cell>
          <cell r="R815">
            <v>1.73032849503437</v>
          </cell>
          <cell r="S815">
            <v>1103.958036</v>
          </cell>
          <cell r="T815">
            <v>2.26547987616099</v>
          </cell>
          <cell r="U815">
            <v>318.45011599999998</v>
          </cell>
          <cell r="V815">
            <v>1.62770897832817</v>
          </cell>
        </row>
        <row r="816">
          <cell r="A816" t="str">
            <v>049801</v>
          </cell>
          <cell r="B816">
            <v>905</v>
          </cell>
          <cell r="C816">
            <v>141.037643</v>
          </cell>
          <cell r="D816">
            <v>1.0329308452250201</v>
          </cell>
          <cell r="E816">
            <v>141.037643</v>
          </cell>
          <cell r="F816">
            <v>1.0329308452250201</v>
          </cell>
          <cell r="G816">
            <v>322.50580100000002</v>
          </cell>
          <cell r="H816">
            <v>1.8572996706915399</v>
          </cell>
          <cell r="I816">
            <v>293.99404299999998</v>
          </cell>
          <cell r="J816">
            <v>1.8090010976948401</v>
          </cell>
          <cell r="K816">
            <v>249.25451100000001</v>
          </cell>
          <cell r="L816">
            <v>1.5325966850828701</v>
          </cell>
          <cell r="M816">
            <v>247.83370099999999</v>
          </cell>
          <cell r="N816">
            <v>1.5314917127071801</v>
          </cell>
          <cell r="O816">
            <v>185.76448600000001</v>
          </cell>
          <cell r="P816">
            <v>0.85033259423503305</v>
          </cell>
          <cell r="Q816">
            <v>74.479304999999997</v>
          </cell>
          <cell r="R816">
            <v>0.69512195121951204</v>
          </cell>
          <cell r="S816">
            <v>351.17269099999999</v>
          </cell>
          <cell r="T816">
            <v>0.98998887652947698</v>
          </cell>
          <cell r="U816">
            <v>90.154060000000001</v>
          </cell>
          <cell r="V816">
            <v>0.76529477196885398</v>
          </cell>
        </row>
        <row r="817">
          <cell r="A817" t="str">
            <v>049802</v>
          </cell>
          <cell r="B817">
            <v>1275.8</v>
          </cell>
          <cell r="C817">
            <v>235.033051</v>
          </cell>
          <cell r="D817">
            <v>1.99777942264988</v>
          </cell>
          <cell r="E817">
            <v>232.28634500000001</v>
          </cell>
          <cell r="F817">
            <v>1.9629903774981401</v>
          </cell>
          <cell r="G817">
            <v>1470.5284529999999</v>
          </cell>
          <cell r="H817">
            <v>2.0663683818046201</v>
          </cell>
          <cell r="I817">
            <v>196.228082</v>
          </cell>
          <cell r="J817">
            <v>1.3907531692766499</v>
          </cell>
          <cell r="K817">
            <v>1218.8861890000001</v>
          </cell>
          <cell r="L817">
            <v>2.6324850299401099</v>
          </cell>
          <cell r="M817">
            <v>249.315518</v>
          </cell>
          <cell r="N817">
            <v>2.24476047904191</v>
          </cell>
          <cell r="O817">
            <v>423.84388000000001</v>
          </cell>
          <cell r="P817">
            <v>1.5442834138486301</v>
          </cell>
          <cell r="Q817">
            <v>100.112506</v>
          </cell>
          <cell r="R817">
            <v>0.62238325281803497</v>
          </cell>
          <cell r="S817">
            <v>93.916741000000002</v>
          </cell>
          <cell r="T817">
            <v>0.55635707844905302</v>
          </cell>
          <cell r="U817">
            <v>85.447129000000004</v>
          </cell>
          <cell r="V817">
            <v>0.497745716862037</v>
          </cell>
        </row>
        <row r="818">
          <cell r="A818" t="str">
            <v>049901</v>
          </cell>
          <cell r="B818">
            <v>3563.8</v>
          </cell>
          <cell r="C818">
            <v>150.67490000000001</v>
          </cell>
          <cell r="D818">
            <v>1.6666666666666601</v>
          </cell>
          <cell r="E818">
            <v>148.87437199999999</v>
          </cell>
          <cell r="F818">
            <v>1.6647091722595</v>
          </cell>
          <cell r="G818">
            <v>174.24130500000001</v>
          </cell>
          <cell r="H818">
            <v>1.3008948545861201</v>
          </cell>
          <cell r="I818">
            <v>150.84422599999999</v>
          </cell>
          <cell r="J818">
            <v>1.26202460850111</v>
          </cell>
          <cell r="K818">
            <v>151.26822300000001</v>
          </cell>
          <cell r="L818">
            <v>1.6300027987685399</v>
          </cell>
          <cell r="M818">
            <v>135.07432499999999</v>
          </cell>
          <cell r="N818">
            <v>1.60873215785054</v>
          </cell>
          <cell r="O818">
            <v>494.09464200000002</v>
          </cell>
          <cell r="P818">
            <v>2.5573678290213699</v>
          </cell>
          <cell r="Q818">
            <v>357.128782</v>
          </cell>
          <cell r="R818">
            <v>2.48031496062992</v>
          </cell>
          <cell r="S818">
            <v>1387.4003379999999</v>
          </cell>
          <cell r="T818">
            <v>1.0977953646127701</v>
          </cell>
          <cell r="U818">
            <v>19.115988000000002</v>
          </cell>
          <cell r="V818">
            <v>7.8575466365177996E-2</v>
          </cell>
        </row>
        <row r="819">
          <cell r="A819" t="str">
            <v>049902</v>
          </cell>
          <cell r="B819">
            <v>1434.4</v>
          </cell>
          <cell r="C819">
            <v>117.409722</v>
          </cell>
          <cell r="D819">
            <v>0.51533333333333298</v>
          </cell>
          <cell r="E819">
            <v>84.349917000000005</v>
          </cell>
          <cell r="F819">
            <v>0.42466666666666603</v>
          </cell>
          <cell r="G819">
            <v>867.26246400000002</v>
          </cell>
          <cell r="H819">
            <v>2.8675360329444</v>
          </cell>
          <cell r="I819">
            <v>210.715664</v>
          </cell>
          <cell r="J819">
            <v>1.77693891557995</v>
          </cell>
          <cell r="K819">
            <v>793.54267300000004</v>
          </cell>
          <cell r="L819">
            <v>2.46458333333333</v>
          </cell>
          <cell r="M819">
            <v>278.84063600000002</v>
          </cell>
          <cell r="N819">
            <v>1.77708333333333</v>
          </cell>
          <cell r="O819">
            <v>915.20980399999996</v>
          </cell>
          <cell r="P819">
            <v>1.4679487179487101</v>
          </cell>
          <cell r="Q819">
            <v>185.98635999999999</v>
          </cell>
          <cell r="R819">
            <v>1.06054131054131</v>
          </cell>
          <cell r="S819">
            <v>1716.4437989999999</v>
          </cell>
          <cell r="T819">
            <v>3.3253099927060501</v>
          </cell>
          <cell r="U819">
            <v>140.582786</v>
          </cell>
          <cell r="V819">
            <v>0.569657184536834</v>
          </cell>
        </row>
        <row r="820">
          <cell r="A820" t="str">
            <v>049903</v>
          </cell>
          <cell r="B820">
            <v>884.8</v>
          </cell>
          <cell r="C820">
            <v>297.06475699999999</v>
          </cell>
          <cell r="D820">
            <v>1.1858407079646001</v>
          </cell>
          <cell r="E820">
            <v>44.791051000000003</v>
          </cell>
          <cell r="F820">
            <v>0.19358407079646001</v>
          </cell>
          <cell r="G820">
            <v>333.89135599999997</v>
          </cell>
          <cell r="H820">
            <v>1.17600896860986</v>
          </cell>
          <cell r="I820">
            <v>137.734443</v>
          </cell>
          <cell r="J820">
            <v>0.95852017937219702</v>
          </cell>
          <cell r="K820">
            <v>82.784085000000005</v>
          </cell>
          <cell r="L820">
            <v>0.52090395480225904</v>
          </cell>
          <cell r="M820">
            <v>31.711807</v>
          </cell>
          <cell r="N820">
            <v>0.40225988700564902</v>
          </cell>
          <cell r="O820">
            <v>466.29567100000003</v>
          </cell>
          <cell r="P820">
            <v>0.60933940774487405</v>
          </cell>
          <cell r="Q820">
            <v>88.317026999999996</v>
          </cell>
          <cell r="R820">
            <v>0.50797266514806305</v>
          </cell>
          <cell r="S820">
            <v>1333.6175129999999</v>
          </cell>
          <cell r="T820">
            <v>2.2682080924855401</v>
          </cell>
          <cell r="U820">
            <v>72.864855000000006</v>
          </cell>
          <cell r="V820">
            <v>0.19768786127167601</v>
          </cell>
        </row>
        <row r="821">
          <cell r="A821" t="str">
            <v>049904</v>
          </cell>
          <cell r="B821">
            <v>202.5</v>
          </cell>
          <cell r="C821">
            <v>14.97053</v>
          </cell>
          <cell r="D821">
            <v>0.113043478260869</v>
          </cell>
          <cell r="E821">
            <v>14.97053</v>
          </cell>
          <cell r="F821">
            <v>0.113043478260869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9.9036430000000006</v>
          </cell>
          <cell r="L821">
            <v>6.0728744939271197E-2</v>
          </cell>
          <cell r="M821">
            <v>9.9036430000000006</v>
          </cell>
          <cell r="N821">
            <v>6.0728744939271197E-2</v>
          </cell>
          <cell r="O821">
            <v>90.626041000000001</v>
          </cell>
          <cell r="P821">
            <v>1.00416666666666</v>
          </cell>
          <cell r="Q821">
            <v>0</v>
          </cell>
          <cell r="R821">
            <v>0</v>
          </cell>
          <cell r="S821">
            <v>505.03673800000001</v>
          </cell>
          <cell r="T821">
            <v>0.68817204301075197</v>
          </cell>
          <cell r="U821">
            <v>0</v>
          </cell>
          <cell r="V821">
            <v>0</v>
          </cell>
        </row>
        <row r="822">
          <cell r="A822" t="str">
            <v>049905</v>
          </cell>
          <cell r="B822">
            <v>2176.1111110000002</v>
          </cell>
          <cell r="C822">
            <v>99.768880999999993</v>
          </cell>
          <cell r="D822">
            <v>0.54409769335142399</v>
          </cell>
          <cell r="E822">
            <v>99.768880999999993</v>
          </cell>
          <cell r="F822">
            <v>0.54409769335142399</v>
          </cell>
          <cell r="G822">
            <v>15.431647</v>
          </cell>
          <cell r="H822">
            <v>4.6321525885558497E-2</v>
          </cell>
          <cell r="I822">
            <v>7.7840030000000002</v>
          </cell>
          <cell r="J822">
            <v>4.1326067211625697E-2</v>
          </cell>
          <cell r="K822">
            <v>50.374402000000003</v>
          </cell>
          <cell r="L822">
            <v>0.108527131782945</v>
          </cell>
          <cell r="M822">
            <v>12.754543999999999</v>
          </cell>
          <cell r="N822">
            <v>9.3479252165982601E-2</v>
          </cell>
          <cell r="O822">
            <v>33.824131000000001</v>
          </cell>
          <cell r="P822">
            <v>0.15285451197053401</v>
          </cell>
          <cell r="Q822">
            <v>26.539663000000001</v>
          </cell>
          <cell r="R822">
            <v>0.142725598526703</v>
          </cell>
          <cell r="S822">
            <v>296.27207399999998</v>
          </cell>
          <cell r="T822">
            <v>1.1193396226415</v>
          </cell>
          <cell r="U822">
            <v>25.569897000000001</v>
          </cell>
          <cell r="V822">
            <v>9.5283018867924493E-2</v>
          </cell>
        </row>
        <row r="823">
          <cell r="A823" t="str">
            <v>050101</v>
          </cell>
          <cell r="B823">
            <v>1757.6</v>
          </cell>
          <cell r="C823">
            <v>2574.222209</v>
          </cell>
          <cell r="D823">
            <v>2.4510250569476</v>
          </cell>
          <cell r="E823">
            <v>140.663656</v>
          </cell>
          <cell r="F823">
            <v>1.3883826879271</v>
          </cell>
          <cell r="G823">
            <v>279.71175799999997</v>
          </cell>
          <cell r="H823">
            <v>1.8622448979591799</v>
          </cell>
          <cell r="I823">
            <v>196.90589</v>
          </cell>
          <cell r="J823">
            <v>1.7998866213151901</v>
          </cell>
          <cell r="K823">
            <v>124.283995</v>
          </cell>
          <cell r="L823">
            <v>0.54906409529211497</v>
          </cell>
          <cell r="M823">
            <v>44.254877999999998</v>
          </cell>
          <cell r="N823">
            <v>0.44923425978445802</v>
          </cell>
          <cell r="O823">
            <v>31.84592</v>
          </cell>
          <cell r="P823">
            <v>0.271485486624928</v>
          </cell>
          <cell r="Q823">
            <v>31.575934</v>
          </cell>
          <cell r="R823">
            <v>0.27091633466135401</v>
          </cell>
          <cell r="S823">
            <v>284.78255000000001</v>
          </cell>
          <cell r="T823">
            <v>1.52173913043478</v>
          </cell>
          <cell r="U823">
            <v>18.078565000000001</v>
          </cell>
          <cell r="V823">
            <v>0.21052631578947301</v>
          </cell>
        </row>
        <row r="824">
          <cell r="A824" t="str">
            <v>050102</v>
          </cell>
          <cell r="B824">
            <v>1049.8</v>
          </cell>
          <cell r="C824">
            <v>625.228568</v>
          </cell>
          <cell r="D824">
            <v>0.27490421455938602</v>
          </cell>
          <cell r="E824">
            <v>86.822438000000005</v>
          </cell>
          <cell r="F824">
            <v>0.12164750957854401</v>
          </cell>
          <cell r="G824">
            <v>32.610207000000003</v>
          </cell>
          <cell r="H824">
            <v>7.8598484848484806E-2</v>
          </cell>
          <cell r="I824">
            <v>4.5292770000000004</v>
          </cell>
          <cell r="J824">
            <v>7.00757575757575E-2</v>
          </cell>
          <cell r="K824">
            <v>6.7703680000000004</v>
          </cell>
          <cell r="L824">
            <v>0.119092627599243</v>
          </cell>
          <cell r="M824">
            <v>5.2828290000000004</v>
          </cell>
          <cell r="N824">
            <v>0.11625708884688001</v>
          </cell>
          <cell r="O824">
            <v>132.01736099999999</v>
          </cell>
          <cell r="P824">
            <v>0.333965844402277</v>
          </cell>
          <cell r="Q824">
            <v>63.864294000000001</v>
          </cell>
          <cell r="R824">
            <v>0.29601518026565399</v>
          </cell>
          <cell r="S824">
            <v>47.485292999999999</v>
          </cell>
          <cell r="T824">
            <v>0.37994214079074201</v>
          </cell>
          <cell r="U824">
            <v>47.348874000000002</v>
          </cell>
          <cell r="V824">
            <v>0.37897782063645102</v>
          </cell>
        </row>
        <row r="825">
          <cell r="A825" t="str">
            <v>050103</v>
          </cell>
          <cell r="B825">
            <v>1152.444444</v>
          </cell>
          <cell r="C825">
            <v>135.66815</v>
          </cell>
          <cell r="D825">
            <v>0.15038893690579</v>
          </cell>
          <cell r="E825">
            <v>40.558886000000001</v>
          </cell>
          <cell r="F825">
            <v>0.102852203975799</v>
          </cell>
          <cell r="G825">
            <v>35.611198000000002</v>
          </cell>
          <cell r="H825">
            <v>0.201039861351819</v>
          </cell>
          <cell r="I825">
            <v>30.133485</v>
          </cell>
          <cell r="J825">
            <v>0.151646447140381</v>
          </cell>
          <cell r="K825">
            <v>556.39293699999996</v>
          </cell>
          <cell r="L825">
            <v>1.19410745233968</v>
          </cell>
          <cell r="M825">
            <v>10.494064</v>
          </cell>
          <cell r="N825">
            <v>0.1421143847487</v>
          </cell>
          <cell r="O825">
            <v>13.184165999999999</v>
          </cell>
          <cell r="P825">
            <v>0.102631578947368</v>
          </cell>
          <cell r="Q825">
            <v>13.184165999999999</v>
          </cell>
          <cell r="R825">
            <v>0.102631578947368</v>
          </cell>
          <cell r="S825">
            <v>21.970271</v>
          </cell>
          <cell r="T825">
            <v>2.51954821894005E-2</v>
          </cell>
          <cell r="U825">
            <v>2.0379230000000002</v>
          </cell>
          <cell r="V825">
            <v>1.8245004344048601E-2</v>
          </cell>
        </row>
        <row r="826">
          <cell r="A826" t="str">
            <v>050201</v>
          </cell>
          <cell r="B826">
            <v>1657.777777</v>
          </cell>
          <cell r="C826">
            <v>147.39676299999999</v>
          </cell>
          <cell r="D826">
            <v>1.1704957678355501</v>
          </cell>
          <cell r="E826">
            <v>147.39676299999999</v>
          </cell>
          <cell r="F826">
            <v>1.1704957678355501</v>
          </cell>
          <cell r="G826">
            <v>35.103574000000002</v>
          </cell>
          <cell r="H826">
            <v>0.16837041491280799</v>
          </cell>
          <cell r="I826">
            <v>15.562376</v>
          </cell>
          <cell r="J826">
            <v>0.123872519542994</v>
          </cell>
          <cell r="K826">
            <v>61.923715000000001</v>
          </cell>
          <cell r="L826">
            <v>0.33694344163658202</v>
          </cell>
          <cell r="M826">
            <v>41.445977999999997</v>
          </cell>
          <cell r="N826">
            <v>0.28880866425992702</v>
          </cell>
          <cell r="O826">
            <v>229.108011</v>
          </cell>
          <cell r="P826">
            <v>1.5156626506024</v>
          </cell>
          <cell r="Q826">
            <v>214.35209800000001</v>
          </cell>
          <cell r="R826">
            <v>1.49096385542168</v>
          </cell>
          <cell r="S826">
            <v>1147.6883780000001</v>
          </cell>
          <cell r="T826">
            <v>2.5200242718446599</v>
          </cell>
          <cell r="U826">
            <v>237.208383</v>
          </cell>
          <cell r="V826">
            <v>1.2226941747572799</v>
          </cell>
        </row>
        <row r="827">
          <cell r="A827" t="str">
            <v>050202</v>
          </cell>
          <cell r="B827">
            <v>939.625</v>
          </cell>
          <cell r="C827">
            <v>308.754188</v>
          </cell>
          <cell r="D827">
            <v>3.0638297872340399</v>
          </cell>
          <cell r="E827">
            <v>265.94029999999998</v>
          </cell>
          <cell r="F827">
            <v>2.41808510638297</v>
          </cell>
          <cell r="G827">
            <v>141.15135699999999</v>
          </cell>
          <cell r="H827">
            <v>0.53552492046659494</v>
          </cell>
          <cell r="I827">
            <v>141.15135699999999</v>
          </cell>
          <cell r="J827">
            <v>0.53552492046659494</v>
          </cell>
          <cell r="K827">
            <v>174.28239300000001</v>
          </cell>
          <cell r="L827">
            <v>2.51595744680851</v>
          </cell>
          <cell r="M827">
            <v>174.28239300000001</v>
          </cell>
          <cell r="N827">
            <v>2.51595744680851</v>
          </cell>
          <cell r="O827">
            <v>49.132074000000003</v>
          </cell>
          <cell r="P827">
            <v>0.18723404255319101</v>
          </cell>
          <cell r="Q827">
            <v>43.232145000000003</v>
          </cell>
          <cell r="R827">
            <v>0.18191489361702101</v>
          </cell>
          <cell r="S827">
            <v>353.90498000000002</v>
          </cell>
          <cell r="T827">
            <v>1.2177161152614699</v>
          </cell>
          <cell r="U827">
            <v>252.17371</v>
          </cell>
          <cell r="V827">
            <v>1.12166488794023</v>
          </cell>
        </row>
        <row r="828">
          <cell r="A828" t="str">
            <v>050301</v>
          </cell>
          <cell r="B828">
            <v>2614.6</v>
          </cell>
          <cell r="C828">
            <v>3323.4156119999998</v>
          </cell>
          <cell r="D828">
            <v>1.5793010752688099</v>
          </cell>
          <cell r="E828">
            <v>71.643786000000006</v>
          </cell>
          <cell r="F828">
            <v>0.52912186379928305</v>
          </cell>
          <cell r="G828">
            <v>440.94637599999999</v>
          </cell>
          <cell r="H828">
            <v>3.1064848931466398</v>
          </cell>
          <cell r="I828">
            <v>405.16920499999998</v>
          </cell>
          <cell r="J828">
            <v>2.82903463522476</v>
          </cell>
          <cell r="K828">
            <v>802.86539900000002</v>
          </cell>
          <cell r="L828">
            <v>1.30320914791589</v>
          </cell>
          <cell r="M828">
            <v>36.738903000000001</v>
          </cell>
          <cell r="N828">
            <v>0.54961268904463201</v>
          </cell>
          <cell r="O828">
            <v>216.98143200000001</v>
          </cell>
          <cell r="P828">
            <v>1.8350553505535001</v>
          </cell>
          <cell r="Q828">
            <v>191.58470399999999</v>
          </cell>
          <cell r="R828">
            <v>1.82841328413284</v>
          </cell>
          <cell r="S828">
            <v>3759.6226590000001</v>
          </cell>
          <cell r="T828">
            <v>3.77974870657797</v>
          </cell>
          <cell r="U828">
            <v>380.85086799999999</v>
          </cell>
          <cell r="V828">
            <v>0.99445676274944494</v>
          </cell>
        </row>
        <row r="829">
          <cell r="A829" t="str">
            <v>050302</v>
          </cell>
          <cell r="B829">
            <v>780.2</v>
          </cell>
          <cell r="C829">
            <v>128.88584</v>
          </cell>
          <cell r="D829">
            <v>1.3516949152542299</v>
          </cell>
          <cell r="E829">
            <v>116.020984</v>
          </cell>
          <cell r="F829">
            <v>1.3403954802259801</v>
          </cell>
          <cell r="G829">
            <v>17.173902999999999</v>
          </cell>
          <cell r="H829">
            <v>9.5118898623279005E-2</v>
          </cell>
          <cell r="I829">
            <v>6.3311010000000003</v>
          </cell>
          <cell r="J829">
            <v>4.630788485607E-2</v>
          </cell>
          <cell r="K829">
            <v>13.067541</v>
          </cell>
          <cell r="L829">
            <v>5.3749999999999999E-2</v>
          </cell>
          <cell r="M829">
            <v>6.4342079999999999</v>
          </cell>
          <cell r="N829">
            <v>0.05</v>
          </cell>
          <cell r="O829">
            <v>1783.9341260000001</v>
          </cell>
          <cell r="P829">
            <v>0.58521303258145296</v>
          </cell>
          <cell r="Q829">
            <v>8.3100660000000008</v>
          </cell>
          <cell r="R829">
            <v>0.119047619047619</v>
          </cell>
          <cell r="S829">
            <v>20.885363000000002</v>
          </cell>
          <cell r="T829">
            <v>0.28894472361808998</v>
          </cell>
          <cell r="U829">
            <v>18.342713</v>
          </cell>
          <cell r="V829">
            <v>0.27512562814070302</v>
          </cell>
        </row>
        <row r="830">
          <cell r="A830" t="str">
            <v>050303</v>
          </cell>
          <cell r="B830">
            <v>683</v>
          </cell>
          <cell r="C830">
            <v>2119.6326519999998</v>
          </cell>
          <cell r="D830">
            <v>1.6158357771260901</v>
          </cell>
          <cell r="E830">
            <v>29.145561000000001</v>
          </cell>
          <cell r="F830">
            <v>0.81524926686217003</v>
          </cell>
          <cell r="G830">
            <v>9.112819</v>
          </cell>
          <cell r="H830">
            <v>5.9941520467836198E-2</v>
          </cell>
          <cell r="I830">
            <v>4.6019439999999996</v>
          </cell>
          <cell r="J830">
            <v>5.7017543859649099E-2</v>
          </cell>
          <cell r="K830">
            <v>589.59815000000003</v>
          </cell>
          <cell r="L830">
            <v>2.47445255474452</v>
          </cell>
          <cell r="M830">
            <v>542.50557100000003</v>
          </cell>
          <cell r="N830">
            <v>2.4204379562043701</v>
          </cell>
          <cell r="O830">
            <v>2103.340897</v>
          </cell>
          <cell r="P830">
            <v>0.93704245973645595</v>
          </cell>
          <cell r="Q830">
            <v>28.114153000000002</v>
          </cell>
          <cell r="R830">
            <v>0.13762811127379199</v>
          </cell>
          <cell r="S830">
            <v>2064.3932439999999</v>
          </cell>
          <cell r="T830">
            <v>1.07929515418502</v>
          </cell>
          <cell r="U830">
            <v>12.212994999999999</v>
          </cell>
          <cell r="V830">
            <v>8.07635829662261E-2</v>
          </cell>
        </row>
        <row r="831">
          <cell r="A831" t="str">
            <v>050401</v>
          </cell>
          <cell r="B831">
            <v>956</v>
          </cell>
          <cell r="C831">
            <v>285.86013700000001</v>
          </cell>
          <cell r="D831">
            <v>2.0834202294056299</v>
          </cell>
          <cell r="E831">
            <v>240.66134700000001</v>
          </cell>
          <cell r="F831">
            <v>2.0427528675703801</v>
          </cell>
          <cell r="G831">
            <v>275.45030600000001</v>
          </cell>
          <cell r="H831">
            <v>0.66980146290491105</v>
          </cell>
          <cell r="I831">
            <v>153.84567300000001</v>
          </cell>
          <cell r="J831">
            <v>0.58934169278996795</v>
          </cell>
          <cell r="K831">
            <v>276.601606</v>
          </cell>
          <cell r="L831">
            <v>1.39622641509433</v>
          </cell>
          <cell r="M831">
            <v>48.015582999999999</v>
          </cell>
          <cell r="N831">
            <v>7.1278825995807094E-2</v>
          </cell>
          <cell r="O831">
            <v>22.271460000000001</v>
          </cell>
          <cell r="P831">
            <v>0.106694560669456</v>
          </cell>
          <cell r="Q831">
            <v>22.155194999999999</v>
          </cell>
          <cell r="R831">
            <v>0.105648535564853</v>
          </cell>
          <cell r="S831">
            <v>319.986966</v>
          </cell>
          <cell r="T831">
            <v>1.2463312368972701</v>
          </cell>
          <cell r="U831">
            <v>317.83392700000002</v>
          </cell>
          <cell r="V831">
            <v>1.24528301886792</v>
          </cell>
        </row>
        <row r="832">
          <cell r="A832" t="str">
            <v>050402</v>
          </cell>
          <cell r="B832">
            <v>111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2.7819820000000002</v>
          </cell>
          <cell r="H832">
            <v>5.4054054054054002E-2</v>
          </cell>
          <cell r="I832">
            <v>2.7819820000000002</v>
          </cell>
          <cell r="J832">
            <v>5.4054054054054002E-2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5.8513510000000002</v>
          </cell>
          <cell r="P832">
            <v>5.4054054054054002E-2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</row>
        <row r="833">
          <cell r="A833" t="str">
            <v>050403</v>
          </cell>
          <cell r="B833">
            <v>692.16666599999996</v>
          </cell>
          <cell r="C833">
            <v>16.156068000000001</v>
          </cell>
          <cell r="D833">
            <v>0.10761154855643</v>
          </cell>
          <cell r="E833">
            <v>16.156068000000001</v>
          </cell>
          <cell r="F833">
            <v>0.10761154855643</v>
          </cell>
          <cell r="G833">
            <v>8.4651329999999998</v>
          </cell>
          <cell r="H833">
            <v>2.6845637583892599E-3</v>
          </cell>
          <cell r="I833">
            <v>3.2660809999999998</v>
          </cell>
          <cell r="J833">
            <v>1.3422818791946299E-3</v>
          </cell>
          <cell r="K833">
            <v>70.079685999999995</v>
          </cell>
          <cell r="L833">
            <v>0.64966442953020098</v>
          </cell>
          <cell r="M833">
            <v>70.079685999999995</v>
          </cell>
          <cell r="N833">
            <v>0.64966442953020098</v>
          </cell>
          <cell r="O833">
            <v>4.7122400000000004</v>
          </cell>
          <cell r="P833">
            <v>0.102331606217616</v>
          </cell>
          <cell r="Q833">
            <v>4.7122400000000004</v>
          </cell>
          <cell r="R833">
            <v>0.102331606217616</v>
          </cell>
          <cell r="S833">
            <v>15.197233000000001</v>
          </cell>
          <cell r="T833">
            <v>1.0457516339869199</v>
          </cell>
          <cell r="U833">
            <v>15.197233000000001</v>
          </cell>
          <cell r="V833">
            <v>1.0457516339869199</v>
          </cell>
        </row>
        <row r="834">
          <cell r="A834" t="str">
            <v>050501</v>
          </cell>
          <cell r="B834">
            <v>811.6</v>
          </cell>
          <cell r="C834">
            <v>329.04004099999997</v>
          </cell>
          <cell r="D834">
            <v>2.2080679405520098</v>
          </cell>
          <cell r="E834">
            <v>329.00607100000002</v>
          </cell>
          <cell r="F834">
            <v>2.2059447983014802</v>
          </cell>
          <cell r="G834">
            <v>23.639731999999999</v>
          </cell>
          <cell r="H834">
            <v>0.17532467532467499</v>
          </cell>
          <cell r="I834">
            <v>21.956175000000002</v>
          </cell>
          <cell r="J834">
            <v>0.174242424242424</v>
          </cell>
          <cell r="K834">
            <v>378.45626499999997</v>
          </cell>
          <cell r="L834">
            <v>0.75514626218851499</v>
          </cell>
          <cell r="M834">
            <v>51.928547999999999</v>
          </cell>
          <cell r="N834">
            <v>0.23510292524376999</v>
          </cell>
          <cell r="O834">
            <v>2531.4967580000002</v>
          </cell>
          <cell r="P834">
            <v>0.99396135265700403</v>
          </cell>
          <cell r="Q834">
            <v>11.537862000000001</v>
          </cell>
          <cell r="R834">
            <v>0.176328502415458</v>
          </cell>
          <cell r="S834">
            <v>199.11176800000001</v>
          </cell>
          <cell r="T834">
            <v>2.0460526315789398</v>
          </cell>
          <cell r="U834">
            <v>186.63762700000001</v>
          </cell>
          <cell r="V834">
            <v>2.0219298245614001</v>
          </cell>
        </row>
        <row r="835">
          <cell r="A835" t="str">
            <v>050502</v>
          </cell>
          <cell r="B835">
            <v>997.4</v>
          </cell>
          <cell r="C835">
            <v>7.1815619999999996</v>
          </cell>
          <cell r="D835">
            <v>8.4592145015105702E-2</v>
          </cell>
          <cell r="E835">
            <v>6.2962720000000001</v>
          </cell>
          <cell r="F835">
            <v>6.3444108761329304E-2</v>
          </cell>
          <cell r="G835">
            <v>139.74946600000001</v>
          </cell>
          <cell r="H835">
            <v>0.22854291417165601</v>
          </cell>
          <cell r="I835">
            <v>74.893248999999997</v>
          </cell>
          <cell r="J835">
            <v>0.154690618762475</v>
          </cell>
          <cell r="K835">
            <v>365.785954</v>
          </cell>
          <cell r="L835">
            <v>1.1462925851703401</v>
          </cell>
          <cell r="M835">
            <v>359.24729400000001</v>
          </cell>
          <cell r="N835">
            <v>1.1172344689378699</v>
          </cell>
          <cell r="O835">
            <v>390.80087600000002</v>
          </cell>
          <cell r="P835">
            <v>0.53917525773195796</v>
          </cell>
          <cell r="Q835">
            <v>52.018402000000002</v>
          </cell>
          <cell r="R835">
            <v>0.29587628865979299</v>
          </cell>
          <cell r="S835">
            <v>55.569986</v>
          </cell>
          <cell r="T835">
            <v>0.1689453125</v>
          </cell>
          <cell r="U835">
            <v>55.413719999999998</v>
          </cell>
          <cell r="V835">
            <v>0.16796875</v>
          </cell>
        </row>
        <row r="836">
          <cell r="A836" t="str">
            <v>050503</v>
          </cell>
          <cell r="B836">
            <v>182</v>
          </cell>
          <cell r="C836">
            <v>12.527333</v>
          </cell>
          <cell r="D836">
            <v>0.102702702702702</v>
          </cell>
          <cell r="E836">
            <v>12.527333</v>
          </cell>
          <cell r="F836">
            <v>0.102702702702702</v>
          </cell>
          <cell r="G836">
            <v>23.960393</v>
          </cell>
          <cell r="H836">
            <v>6.6298342541436406E-2</v>
          </cell>
          <cell r="I836">
            <v>23.960393</v>
          </cell>
          <cell r="J836">
            <v>6.6298342541436406E-2</v>
          </cell>
          <cell r="K836">
            <v>1.85293</v>
          </cell>
          <cell r="L836">
            <v>1.6483516483516401E-2</v>
          </cell>
          <cell r="M836">
            <v>1.85293</v>
          </cell>
          <cell r="N836">
            <v>1.6483516483516401E-2</v>
          </cell>
          <cell r="O836">
            <v>677.40248499999996</v>
          </cell>
          <cell r="P836">
            <v>0.21546961325966801</v>
          </cell>
          <cell r="Q836">
            <v>1.8453029999999999</v>
          </cell>
          <cell r="R836">
            <v>6.6298342541436406E-2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</row>
        <row r="837">
          <cell r="A837" t="str">
            <v>050801</v>
          </cell>
          <cell r="B837">
            <v>1414.4</v>
          </cell>
          <cell r="C837">
            <v>158.98829499999999</v>
          </cell>
          <cell r="D837">
            <v>0.77942212825933699</v>
          </cell>
          <cell r="E837">
            <v>94.796588</v>
          </cell>
          <cell r="F837">
            <v>0.56871035940803305</v>
          </cell>
          <cell r="G837">
            <v>107.12511499999999</v>
          </cell>
          <cell r="H837">
            <v>0.56810162314749402</v>
          </cell>
          <cell r="I837">
            <v>55.141345999999999</v>
          </cell>
          <cell r="J837">
            <v>0.46224417784050797</v>
          </cell>
          <cell r="K837">
            <v>453.17261300000001</v>
          </cell>
          <cell r="L837">
            <v>0.80959097320169204</v>
          </cell>
          <cell r="M837">
            <v>171.915538</v>
          </cell>
          <cell r="N837">
            <v>0.655148095909732</v>
          </cell>
          <cell r="O837">
            <v>149.74144200000001</v>
          </cell>
          <cell r="P837">
            <v>0.54590395480225895</v>
          </cell>
          <cell r="Q837">
            <v>70.034674999999993</v>
          </cell>
          <cell r="R837">
            <v>0.46327683615819198</v>
          </cell>
          <cell r="S837">
            <v>2459.5656199999999</v>
          </cell>
          <cell r="T837">
            <v>4.5499286733238202</v>
          </cell>
          <cell r="U837">
            <v>543.25719200000003</v>
          </cell>
          <cell r="V837">
            <v>2.62196861626248</v>
          </cell>
        </row>
        <row r="838">
          <cell r="A838" t="str">
            <v>050802</v>
          </cell>
          <cell r="B838">
            <v>658</v>
          </cell>
          <cell r="C838">
            <v>211.97980100000001</v>
          </cell>
          <cell r="D838">
            <v>0.82878787878787796</v>
          </cell>
          <cell r="E838">
            <v>50.336146999999997</v>
          </cell>
          <cell r="F838">
            <v>0.52272727272727204</v>
          </cell>
          <cell r="G838">
            <v>91.795743000000002</v>
          </cell>
          <cell r="H838">
            <v>0.53181818181818097</v>
          </cell>
          <cell r="I838">
            <v>74.221056000000004</v>
          </cell>
          <cell r="J838">
            <v>0.49545454545454498</v>
          </cell>
          <cell r="K838">
            <v>534.89275499999997</v>
          </cell>
          <cell r="L838">
            <v>2.1200607902735502</v>
          </cell>
          <cell r="M838">
            <v>12.996352</v>
          </cell>
          <cell r="N838">
            <v>0.11854103343465</v>
          </cell>
          <cell r="O838">
            <v>43.162962</v>
          </cell>
          <cell r="P838">
            <v>0.25418569254185602</v>
          </cell>
          <cell r="Q838">
            <v>30.417173999999999</v>
          </cell>
          <cell r="R838">
            <v>0.24353120243531201</v>
          </cell>
          <cell r="S838">
            <v>1316.3364369999999</v>
          </cell>
          <cell r="T838">
            <v>0.772519083969465</v>
          </cell>
          <cell r="U838">
            <v>106.89659</v>
          </cell>
          <cell r="V838">
            <v>0.48549618320610599</v>
          </cell>
        </row>
        <row r="839">
          <cell r="A839" t="str">
            <v>050803</v>
          </cell>
          <cell r="B839">
            <v>1434.8</v>
          </cell>
          <cell r="C839">
            <v>1370.9501909999999</v>
          </cell>
          <cell r="D839">
            <v>4.4133771929824501</v>
          </cell>
          <cell r="E839">
            <v>584.54673500000001</v>
          </cell>
          <cell r="F839">
            <v>3.8662280701754299</v>
          </cell>
          <cell r="G839">
            <v>418.79614500000002</v>
          </cell>
          <cell r="H839">
            <v>1.40202275600505</v>
          </cell>
          <cell r="I839">
            <v>161.25331299999999</v>
          </cell>
          <cell r="J839">
            <v>0.88495575221238898</v>
          </cell>
          <cell r="K839">
            <v>1415.158232</v>
          </cell>
          <cell r="L839">
            <v>1.6817313812857999</v>
          </cell>
          <cell r="M839">
            <v>147.76129800000001</v>
          </cell>
          <cell r="N839">
            <v>1.0566518141311201</v>
          </cell>
          <cell r="O839">
            <v>196.62099799999999</v>
          </cell>
          <cell r="P839">
            <v>0.52310654685494196</v>
          </cell>
          <cell r="Q839">
            <v>105.294533</v>
          </cell>
          <cell r="R839">
            <v>0.46341463414634099</v>
          </cell>
          <cell r="S839">
            <v>6940.6609159999998</v>
          </cell>
          <cell r="T839">
            <v>1.9903288201160501</v>
          </cell>
          <cell r="U839">
            <v>127.511121</v>
          </cell>
          <cell r="V839">
            <v>0.76402321083172098</v>
          </cell>
        </row>
        <row r="840">
          <cell r="A840" t="str">
            <v>050901</v>
          </cell>
          <cell r="B840">
            <v>509.625</v>
          </cell>
          <cell r="C840">
            <v>135.661922</v>
          </cell>
          <cell r="D840">
            <v>1.0018975332068301</v>
          </cell>
          <cell r="E840">
            <v>135.661922</v>
          </cell>
          <cell r="F840">
            <v>1.0018975332068301</v>
          </cell>
          <cell r="G840">
            <v>27.161066999999999</v>
          </cell>
          <cell r="H840">
            <v>0.108778625954198</v>
          </cell>
          <cell r="I840">
            <v>15.532544</v>
          </cell>
          <cell r="J840">
            <v>6.6793893129770895E-2</v>
          </cell>
          <cell r="K840">
            <v>1182.370496</v>
          </cell>
          <cell r="L840">
            <v>2.9901768172888001</v>
          </cell>
          <cell r="M840">
            <v>719.65654800000004</v>
          </cell>
          <cell r="N840">
            <v>2.2377210216110002</v>
          </cell>
          <cell r="O840">
            <v>0.21777099999999999</v>
          </cell>
          <cell r="P840">
            <v>2.00803212851405E-3</v>
          </cell>
          <cell r="Q840">
            <v>0.21777099999999999</v>
          </cell>
          <cell r="R840">
            <v>2.00803212851405E-3</v>
          </cell>
          <cell r="S840">
            <v>31.528328999999999</v>
          </cell>
          <cell r="T840">
            <v>0.11156186612576</v>
          </cell>
          <cell r="U840">
            <v>8.4410749999999997</v>
          </cell>
          <cell r="V840">
            <v>6.4908722109533398E-2</v>
          </cell>
        </row>
        <row r="841">
          <cell r="A841" t="str">
            <v>050902</v>
          </cell>
          <cell r="B841">
            <v>985.44444399999998</v>
          </cell>
          <cell r="C841">
            <v>949.51161400000001</v>
          </cell>
          <cell r="D841">
            <v>2.56500488758553</v>
          </cell>
          <cell r="E841">
            <v>949.51161400000001</v>
          </cell>
          <cell r="F841">
            <v>2.56500488758553</v>
          </cell>
          <cell r="G841">
            <v>711.46890499999995</v>
          </cell>
          <cell r="H841">
            <v>1.41691542288557</v>
          </cell>
          <cell r="I841">
            <v>708.06132300000002</v>
          </cell>
          <cell r="J841">
            <v>1.41592039800995</v>
          </cell>
          <cell r="K841">
            <v>2366.9020989999999</v>
          </cell>
          <cell r="L841">
            <v>3.5030241935483799</v>
          </cell>
          <cell r="M841">
            <v>754.129502</v>
          </cell>
          <cell r="N841">
            <v>2.7389112903225801</v>
          </cell>
          <cell r="O841">
            <v>847.13144999999997</v>
          </cell>
          <cell r="P841">
            <v>1.6478439425051301</v>
          </cell>
          <cell r="Q841">
            <v>220.290177</v>
          </cell>
          <cell r="R841">
            <v>1.02464065708418</v>
          </cell>
          <cell r="S841">
            <v>312.77009700000002</v>
          </cell>
          <cell r="T841">
            <v>0.69957983193277296</v>
          </cell>
          <cell r="U841">
            <v>139.72188299999999</v>
          </cell>
          <cell r="V841">
            <v>0.47584033613445298</v>
          </cell>
        </row>
        <row r="842">
          <cell r="A842" t="str">
            <v>050903</v>
          </cell>
          <cell r="B842">
            <v>1739.1111109999999</v>
          </cell>
          <cell r="C842">
            <v>282.69311900000002</v>
          </cell>
          <cell r="D842">
            <v>1.94243792325056</v>
          </cell>
          <cell r="E842">
            <v>282.69311900000002</v>
          </cell>
          <cell r="F842">
            <v>1.94243792325056</v>
          </cell>
          <cell r="G842">
            <v>697.69278499999996</v>
          </cell>
          <cell r="H842">
            <v>1.8731513083048901</v>
          </cell>
          <cell r="I842">
            <v>283.00283000000002</v>
          </cell>
          <cell r="J842">
            <v>1.6040955631399301</v>
          </cell>
          <cell r="K842">
            <v>1657.1094680000001</v>
          </cell>
          <cell r="L842">
            <v>2.9621993127147701</v>
          </cell>
          <cell r="M842">
            <v>851.41929100000004</v>
          </cell>
          <cell r="N842">
            <v>2.2222222222222201</v>
          </cell>
          <cell r="O842">
            <v>601.52490699999998</v>
          </cell>
          <cell r="P842">
            <v>2.0908039329091901</v>
          </cell>
          <cell r="Q842">
            <v>305.227732</v>
          </cell>
          <cell r="R842">
            <v>1.7513013302486899</v>
          </cell>
          <cell r="S842">
            <v>686.54436499999997</v>
          </cell>
          <cell r="T842">
            <v>2.5782073813708202</v>
          </cell>
          <cell r="U842">
            <v>339.869283</v>
          </cell>
          <cell r="V842">
            <v>2.35500878734622</v>
          </cell>
        </row>
        <row r="843">
          <cell r="A843" t="str">
            <v>051001</v>
          </cell>
          <cell r="B843">
            <v>1221.25</v>
          </cell>
          <cell r="C843">
            <v>8.1915410000000008</v>
          </cell>
          <cell r="D843">
            <v>5.1476154428463199E-2</v>
          </cell>
          <cell r="E843">
            <v>8.1915410000000008</v>
          </cell>
          <cell r="F843">
            <v>5.1476154428463199E-2</v>
          </cell>
          <cell r="G843">
            <v>122.796835</v>
          </cell>
          <cell r="H843">
            <v>0.36914811972371397</v>
          </cell>
          <cell r="I843">
            <v>44.569699</v>
          </cell>
          <cell r="J843">
            <v>0.115886415963161</v>
          </cell>
          <cell r="K843">
            <v>864.71774700000003</v>
          </cell>
          <cell r="L843">
            <v>2.1542721518987298</v>
          </cell>
          <cell r="M843">
            <v>101.25899200000001</v>
          </cell>
          <cell r="N843">
            <v>0.299841772151898</v>
          </cell>
          <cell r="O843">
            <v>2.1288420000000001</v>
          </cell>
          <cell r="P843">
            <v>3.3472803347280297E-2</v>
          </cell>
          <cell r="Q843">
            <v>2.1288420000000001</v>
          </cell>
          <cell r="R843">
            <v>3.3472803347280297E-2</v>
          </cell>
          <cell r="S843">
            <v>75.360973999999999</v>
          </cell>
          <cell r="T843">
            <v>0.58018867924528295</v>
          </cell>
          <cell r="U843">
            <v>71.331163000000004</v>
          </cell>
          <cell r="V843">
            <v>0.57452830188679205</v>
          </cell>
        </row>
        <row r="844">
          <cell r="A844" t="str">
            <v>051002</v>
          </cell>
          <cell r="B844">
            <v>648.14285700000005</v>
          </cell>
          <cell r="C844">
            <v>6.168399</v>
          </cell>
          <cell r="D844">
            <v>2.3148148148148098E-2</v>
          </cell>
          <cell r="E844">
            <v>6.168399</v>
          </cell>
          <cell r="F844">
            <v>2.3148148148148098E-2</v>
          </cell>
          <cell r="G844">
            <v>16.145986000000001</v>
          </cell>
          <cell r="H844">
            <v>0.186440677966101</v>
          </cell>
          <cell r="I844">
            <v>12.78842</v>
          </cell>
          <cell r="J844">
            <v>0.17257318952234199</v>
          </cell>
          <cell r="K844">
            <v>715.20504000000005</v>
          </cell>
          <cell r="L844">
            <v>1.3996913580246899</v>
          </cell>
          <cell r="M844">
            <v>126.06545699999999</v>
          </cell>
          <cell r="N844">
            <v>0.265432098765432</v>
          </cell>
          <cell r="O844">
            <v>4.4003839999999999</v>
          </cell>
          <cell r="P844">
            <v>4.4615384615384598E-2</v>
          </cell>
          <cell r="Q844">
            <v>4.4003839999999999</v>
          </cell>
          <cell r="R844">
            <v>4.4615384615384598E-2</v>
          </cell>
          <cell r="S844">
            <v>177.39723499999999</v>
          </cell>
          <cell r="T844">
            <v>1.0062015503875901</v>
          </cell>
          <cell r="U844">
            <v>177.39723499999999</v>
          </cell>
          <cell r="V844">
            <v>1.0062015503875901</v>
          </cell>
        </row>
        <row r="845">
          <cell r="A845" t="str">
            <v>051101</v>
          </cell>
          <cell r="B845">
            <v>1555</v>
          </cell>
          <cell r="C845">
            <v>45.825994999999999</v>
          </cell>
          <cell r="D845">
            <v>0.30287859824780899</v>
          </cell>
          <cell r="E845">
            <v>45.521915999999997</v>
          </cell>
          <cell r="F845">
            <v>0.30100125156445501</v>
          </cell>
          <cell r="G845">
            <v>677.21208100000001</v>
          </cell>
          <cell r="H845">
            <v>3.3445218492716902</v>
          </cell>
          <cell r="I845">
            <v>592.81158600000003</v>
          </cell>
          <cell r="J845">
            <v>3.2096263457884699</v>
          </cell>
          <cell r="K845">
            <v>4425.1760880000002</v>
          </cell>
          <cell r="L845">
            <v>3.3307839388145299</v>
          </cell>
          <cell r="M845">
            <v>686.05772200000001</v>
          </cell>
          <cell r="N845">
            <v>2.10261312938177</v>
          </cell>
          <cell r="O845">
            <v>143.42783399999999</v>
          </cell>
          <cell r="P845">
            <v>0.41800643086816702</v>
          </cell>
          <cell r="Q845">
            <v>72.297190999999998</v>
          </cell>
          <cell r="R845">
            <v>0.33376205787781299</v>
          </cell>
          <cell r="S845">
            <v>115.320408</v>
          </cell>
          <cell r="T845">
            <v>0.195386702849389</v>
          </cell>
          <cell r="U845">
            <v>69.287425999999996</v>
          </cell>
          <cell r="V845">
            <v>0.15671641791044699</v>
          </cell>
        </row>
        <row r="846">
          <cell r="A846" t="str">
            <v>051102</v>
          </cell>
          <cell r="B846">
            <v>206.66666599999999</v>
          </cell>
          <cell r="C846">
            <v>133.29989399999999</v>
          </cell>
          <cell r="D846">
            <v>0.90950226244343801</v>
          </cell>
          <cell r="E846">
            <v>130.66224299999999</v>
          </cell>
          <cell r="F846">
            <v>0.89140271493212597</v>
          </cell>
          <cell r="G846">
            <v>546.44513500000005</v>
          </cell>
          <cell r="H846">
            <v>3.0925925925925899</v>
          </cell>
          <cell r="I846">
            <v>546.44513500000005</v>
          </cell>
          <cell r="J846">
            <v>3.0925925925925899</v>
          </cell>
          <cell r="K846">
            <v>936.98734200000001</v>
          </cell>
          <cell r="L846">
            <v>3.8160377358490498</v>
          </cell>
          <cell r="M846">
            <v>505.73325399999999</v>
          </cell>
          <cell r="N846">
            <v>2.7688679245282999</v>
          </cell>
          <cell r="O846">
            <v>311.17584399999998</v>
          </cell>
          <cell r="P846">
            <v>1.1352657004830899</v>
          </cell>
          <cell r="Q846">
            <v>101.408373</v>
          </cell>
          <cell r="R846">
            <v>0.487922705314009</v>
          </cell>
          <cell r="S846">
            <v>402.49276500000002</v>
          </cell>
          <cell r="T846">
            <v>1.43956043956043</v>
          </cell>
          <cell r="U846">
            <v>402.16831500000001</v>
          </cell>
          <cell r="V846">
            <v>1.4340659340659301</v>
          </cell>
        </row>
        <row r="847">
          <cell r="A847" t="str">
            <v>051201</v>
          </cell>
          <cell r="B847">
            <v>1089.2</v>
          </cell>
          <cell r="C847">
            <v>1348.1988429999999</v>
          </cell>
          <cell r="D847">
            <v>1.7931654676258899</v>
          </cell>
          <cell r="E847">
            <v>54.972340000000003</v>
          </cell>
          <cell r="F847">
            <v>0.47302158273381201</v>
          </cell>
          <cell r="G847">
            <v>307.02653199999997</v>
          </cell>
          <cell r="H847">
            <v>1.0538812785388101</v>
          </cell>
          <cell r="I847">
            <v>305.700557</v>
          </cell>
          <cell r="J847">
            <v>1.04840182648401</v>
          </cell>
          <cell r="K847">
            <v>405.44007499999998</v>
          </cell>
          <cell r="L847">
            <v>2.1633027522935699</v>
          </cell>
          <cell r="M847">
            <v>240.56793500000001</v>
          </cell>
          <cell r="N847">
            <v>2.0110091743119201</v>
          </cell>
          <cell r="O847">
            <v>221.72385499999999</v>
          </cell>
          <cell r="P847">
            <v>1.60946196660482</v>
          </cell>
          <cell r="Q847">
            <v>123.46363599999999</v>
          </cell>
          <cell r="R847">
            <v>1.4192949907235599</v>
          </cell>
          <cell r="S847">
            <v>1262.742794</v>
          </cell>
          <cell r="T847">
            <v>3.1437908496731999</v>
          </cell>
          <cell r="U847">
            <v>535.00228700000002</v>
          </cell>
          <cell r="V847">
            <v>2.0896358543417302</v>
          </cell>
        </row>
        <row r="848">
          <cell r="A848" t="str">
            <v>051202</v>
          </cell>
          <cell r="B848">
            <v>1103</v>
          </cell>
          <cell r="C848">
            <v>2352.8641990000001</v>
          </cell>
          <cell r="D848">
            <v>4.5261261261261199</v>
          </cell>
          <cell r="E848">
            <v>774.015897</v>
          </cell>
          <cell r="F848">
            <v>2.8504504504504502</v>
          </cell>
          <cell r="G848">
            <v>597.94032800000002</v>
          </cell>
          <cell r="H848">
            <v>1.6630336058128901</v>
          </cell>
          <cell r="I848">
            <v>534.584292</v>
          </cell>
          <cell r="J848">
            <v>1.4141689373296999</v>
          </cell>
          <cell r="K848">
            <v>1666.268403</v>
          </cell>
          <cell r="L848">
            <v>2.5784224841341699</v>
          </cell>
          <cell r="M848">
            <v>252.34075200000001</v>
          </cell>
          <cell r="N848">
            <v>1.4959202175883901</v>
          </cell>
          <cell r="O848">
            <v>479.50905799999998</v>
          </cell>
          <cell r="P848">
            <v>2.8811252268602501</v>
          </cell>
          <cell r="Q848">
            <v>302.61076800000001</v>
          </cell>
          <cell r="R848">
            <v>1.98911070780399</v>
          </cell>
          <cell r="S848">
            <v>2252.3249759999999</v>
          </cell>
          <cell r="T848">
            <v>4.6624203821655996</v>
          </cell>
          <cell r="U848">
            <v>1556.8000750000001</v>
          </cell>
          <cell r="V848">
            <v>3.4940855323020901</v>
          </cell>
        </row>
        <row r="849">
          <cell r="A849" t="str">
            <v>051301</v>
          </cell>
          <cell r="B849">
            <v>1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585.70534999999995</v>
          </cell>
          <cell r="H849">
            <v>1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</row>
        <row r="850">
          <cell r="A850" t="str">
            <v>051401</v>
          </cell>
          <cell r="B850">
            <v>467.22222199999999</v>
          </cell>
          <cell r="C850">
            <v>9114.6366300000009</v>
          </cell>
          <cell r="D850">
            <v>3.7313432835820799</v>
          </cell>
          <cell r="E850">
            <v>558.20739600000002</v>
          </cell>
          <cell r="F850">
            <v>1.7425373134328299</v>
          </cell>
          <cell r="G850">
            <v>270.75000199999999</v>
          </cell>
          <cell r="H850">
            <v>0.24574669187145501</v>
          </cell>
          <cell r="I850">
            <v>7.9916790000000004</v>
          </cell>
          <cell r="J850">
            <v>0.10775047258979201</v>
          </cell>
          <cell r="K850">
            <v>4193.5094419999996</v>
          </cell>
          <cell r="L850">
            <v>1.1501901140684401</v>
          </cell>
          <cell r="M850">
            <v>55.590114</v>
          </cell>
          <cell r="N850">
            <v>0.100760456273764</v>
          </cell>
          <cell r="O850">
            <v>654.66144199999997</v>
          </cell>
          <cell r="P850">
            <v>0.84615384615384603</v>
          </cell>
          <cell r="Q850">
            <v>254.319423</v>
          </cell>
          <cell r="R850">
            <v>0.45961538461538398</v>
          </cell>
          <cell r="S850">
            <v>92.182209</v>
          </cell>
          <cell r="T850">
            <v>0.66859344894026895</v>
          </cell>
          <cell r="U850">
            <v>92.182209</v>
          </cell>
          <cell r="V850">
            <v>0.66859344894026895</v>
          </cell>
        </row>
        <row r="851">
          <cell r="A851" t="str">
            <v>051402</v>
          </cell>
          <cell r="B851">
            <v>873.4</v>
          </cell>
          <cell r="C851">
            <v>11747.666329</v>
          </cell>
          <cell r="D851">
            <v>4.9125993189557304</v>
          </cell>
          <cell r="E851">
            <v>399.72761800000001</v>
          </cell>
          <cell r="F851">
            <v>0.96481271282633296</v>
          </cell>
          <cell r="G851">
            <v>683.41552200000001</v>
          </cell>
          <cell r="H851">
            <v>1.6946039035591201</v>
          </cell>
          <cell r="I851">
            <v>268.85631799999999</v>
          </cell>
          <cell r="J851">
            <v>1.4764638346727801</v>
          </cell>
          <cell r="K851">
            <v>7192.9538359999997</v>
          </cell>
          <cell r="L851">
            <v>4.48797250859106</v>
          </cell>
          <cell r="M851">
            <v>700.05912499999999</v>
          </cell>
          <cell r="N851">
            <v>2.6208476517754802</v>
          </cell>
          <cell r="O851">
            <v>584.15115700000001</v>
          </cell>
          <cell r="P851">
            <v>1.2769409038238699</v>
          </cell>
          <cell r="Q851">
            <v>365.67688199999998</v>
          </cell>
          <cell r="R851">
            <v>0.95828505214368398</v>
          </cell>
          <cell r="S851">
            <v>1153.358778</v>
          </cell>
          <cell r="T851">
            <v>2.1058020477815602</v>
          </cell>
          <cell r="U851">
            <v>1010.035665</v>
          </cell>
          <cell r="V851">
            <v>1.76905574516496</v>
          </cell>
        </row>
        <row r="852">
          <cell r="A852" t="str">
            <v>051501</v>
          </cell>
          <cell r="B852">
            <v>1416.2</v>
          </cell>
          <cell r="C852">
            <v>1.724785</v>
          </cell>
          <cell r="D852">
            <v>8.7483176312247602E-3</v>
          </cell>
          <cell r="E852">
            <v>1.6923189999999999</v>
          </cell>
          <cell r="F852">
            <v>8.0753701211305502E-3</v>
          </cell>
          <cell r="G852">
            <v>10.104851</v>
          </cell>
          <cell r="H852">
            <v>3.6036036036036001E-2</v>
          </cell>
          <cell r="I852">
            <v>2.1698019999999998</v>
          </cell>
          <cell r="J852">
            <v>2.7720027720027698E-2</v>
          </cell>
          <cell r="K852">
            <v>122.22794500000001</v>
          </cell>
          <cell r="L852">
            <v>0.23641496118560301</v>
          </cell>
          <cell r="M852">
            <v>26.587178999999999</v>
          </cell>
          <cell r="N852">
            <v>0.15243472124206001</v>
          </cell>
          <cell r="O852">
            <v>9.3772400000000005</v>
          </cell>
          <cell r="P852">
            <v>5.4794520547945202E-2</v>
          </cell>
          <cell r="Q852">
            <v>4.1436190000000002</v>
          </cell>
          <cell r="R852">
            <v>5.1189617880317201E-2</v>
          </cell>
          <cell r="S852">
            <v>455.00133499999998</v>
          </cell>
          <cell r="T852">
            <v>0.459198813056379</v>
          </cell>
          <cell r="U852">
            <v>39.645116000000002</v>
          </cell>
          <cell r="V852">
            <v>0.140207715133531</v>
          </cell>
        </row>
        <row r="853">
          <cell r="A853" t="str">
            <v>051502</v>
          </cell>
          <cell r="B853">
            <v>3549.5555549999999</v>
          </cell>
          <cell r="C853">
            <v>33.335251</v>
          </cell>
          <cell r="D853">
            <v>0.36717948717948701</v>
          </cell>
          <cell r="E853">
            <v>33.335251</v>
          </cell>
          <cell r="F853">
            <v>0.36717948717948701</v>
          </cell>
          <cell r="G853">
            <v>406.64501799999999</v>
          </cell>
          <cell r="H853">
            <v>0.75742574257425699</v>
          </cell>
          <cell r="I853">
            <v>28.865134999999999</v>
          </cell>
          <cell r="J853">
            <v>6.3314226159458004E-2</v>
          </cell>
          <cell r="K853">
            <v>62.266744000000003</v>
          </cell>
          <cell r="L853">
            <v>0.28104575163398599</v>
          </cell>
          <cell r="M853">
            <v>12.404508999999999</v>
          </cell>
          <cell r="N853">
            <v>0.13411764705882301</v>
          </cell>
          <cell r="O853">
            <v>44.772877999999999</v>
          </cell>
          <cell r="P853">
            <v>0.26339764201500498</v>
          </cell>
          <cell r="Q853">
            <v>44.573999000000001</v>
          </cell>
          <cell r="R853">
            <v>0.26312968917470497</v>
          </cell>
          <cell r="S853">
            <v>209.90327400000001</v>
          </cell>
          <cell r="T853">
            <v>1.2389675270607801</v>
          </cell>
          <cell r="U853">
            <v>208.01411300000001</v>
          </cell>
          <cell r="V853">
            <v>1.22953094643352</v>
          </cell>
        </row>
        <row r="854">
          <cell r="A854" t="str">
            <v>051503</v>
          </cell>
          <cell r="B854">
            <v>1193.8571420000001</v>
          </cell>
          <cell r="C854">
            <v>6.6970539999999996</v>
          </cell>
          <cell r="D854">
            <v>5.1088777219430399E-2</v>
          </cell>
          <cell r="E854">
            <v>6.6970539999999996</v>
          </cell>
          <cell r="F854">
            <v>5.1088777219430399E-2</v>
          </cell>
          <cell r="G854">
            <v>216.29366099999999</v>
          </cell>
          <cell r="H854">
            <v>3.1720969089390101</v>
          </cell>
          <cell r="I854">
            <v>216.29366099999999</v>
          </cell>
          <cell r="J854">
            <v>3.1720969089390101</v>
          </cell>
          <cell r="K854">
            <v>42.181536000000001</v>
          </cell>
          <cell r="L854">
            <v>1.5873015873015799E-2</v>
          </cell>
          <cell r="M854">
            <v>8.7050000000000002E-2</v>
          </cell>
          <cell r="N854">
            <v>8.3542188805346695E-4</v>
          </cell>
          <cell r="O854">
            <v>1.382509</v>
          </cell>
          <cell r="P854">
            <v>2.4288107202680001E-2</v>
          </cell>
          <cell r="Q854">
            <v>1.382509</v>
          </cell>
          <cell r="R854">
            <v>2.4288107202680001E-2</v>
          </cell>
          <cell r="S854">
            <v>59.904989</v>
          </cell>
          <cell r="T854">
            <v>0.44659377628259</v>
          </cell>
          <cell r="U854">
            <v>55.794603000000002</v>
          </cell>
          <cell r="V854">
            <v>0.44575273338940202</v>
          </cell>
        </row>
        <row r="855">
          <cell r="A855" t="str">
            <v>051504</v>
          </cell>
          <cell r="B855">
            <v>1802.6</v>
          </cell>
          <cell r="C855">
            <v>158.77454499999999</v>
          </cell>
          <cell r="D855">
            <v>1.8039024390243901</v>
          </cell>
          <cell r="E855">
            <v>158.60224099999999</v>
          </cell>
          <cell r="F855">
            <v>1.8019512195121901</v>
          </cell>
          <cell r="G855">
            <v>25.856186000000001</v>
          </cell>
          <cell r="H855">
            <v>4.78279947345326E-2</v>
          </cell>
          <cell r="I855">
            <v>2.0112969999999999</v>
          </cell>
          <cell r="J855">
            <v>2.6766125493637501E-2</v>
          </cell>
          <cell r="K855">
            <v>74.055695</v>
          </cell>
          <cell r="L855">
            <v>0.37367205542725102</v>
          </cell>
          <cell r="M855">
            <v>29.481354</v>
          </cell>
          <cell r="N855">
            <v>0.321016166281755</v>
          </cell>
          <cell r="O855">
            <v>57.912140999999998</v>
          </cell>
          <cell r="P855">
            <v>0.38306225462703303</v>
          </cell>
          <cell r="Q855">
            <v>57.745792999999999</v>
          </cell>
          <cell r="R855">
            <v>0.38250140213123901</v>
          </cell>
          <cell r="S855">
            <v>1542.2387839999999</v>
          </cell>
          <cell r="T855">
            <v>1.9352640545144799</v>
          </cell>
          <cell r="U855">
            <v>61.200992999999997</v>
          </cell>
          <cell r="V855">
            <v>0.427030096536059</v>
          </cell>
        </row>
        <row r="856">
          <cell r="A856" t="str">
            <v>051601</v>
          </cell>
          <cell r="B856">
            <v>457</v>
          </cell>
          <cell r="C856">
            <v>638.59248100000002</v>
          </cell>
          <cell r="D856">
            <v>4.6533864541832601</v>
          </cell>
          <cell r="E856">
            <v>638.59248100000002</v>
          </cell>
          <cell r="F856">
            <v>4.6533864541832601</v>
          </cell>
          <cell r="G856">
            <v>201.518066</v>
          </cell>
          <cell r="H856">
            <v>0.72244897959183596</v>
          </cell>
          <cell r="I856">
            <v>152.35802699999999</v>
          </cell>
          <cell r="J856">
            <v>0.659183673469387</v>
          </cell>
          <cell r="K856">
            <v>3479.180171</v>
          </cell>
          <cell r="L856">
            <v>4.9608247422680396</v>
          </cell>
          <cell r="M856">
            <v>877.21824700000002</v>
          </cell>
          <cell r="N856">
            <v>1.7030927835051499</v>
          </cell>
          <cell r="O856">
            <v>1221.3858479999999</v>
          </cell>
          <cell r="P856">
            <v>3.0167714884696002</v>
          </cell>
          <cell r="Q856">
            <v>391.47334000000001</v>
          </cell>
          <cell r="R856">
            <v>2.5534591194968499</v>
          </cell>
          <cell r="S856">
            <v>3673.5113419999998</v>
          </cell>
          <cell r="T856">
            <v>6.8350730688935197</v>
          </cell>
          <cell r="U856">
            <v>1538.4359079999999</v>
          </cell>
          <cell r="V856">
            <v>5.1691022964509301</v>
          </cell>
        </row>
        <row r="857">
          <cell r="A857" t="str">
            <v>051602</v>
          </cell>
          <cell r="B857">
            <v>57.75</v>
          </cell>
          <cell r="C857">
            <v>139.68069700000001</v>
          </cell>
          <cell r="D857">
            <v>0.5</v>
          </cell>
          <cell r="E857">
            <v>139.68069700000001</v>
          </cell>
          <cell r="F857">
            <v>0.5</v>
          </cell>
          <cell r="G857">
            <v>727.68767400000002</v>
          </cell>
          <cell r="H857">
            <v>0.72881355932203296</v>
          </cell>
          <cell r="I857">
            <v>82.028892999999997</v>
          </cell>
          <cell r="J857">
            <v>0.54237288135593198</v>
          </cell>
          <cell r="K857">
            <v>237.689367</v>
          </cell>
          <cell r="L857">
            <v>1.3965517241379299</v>
          </cell>
          <cell r="M857">
            <v>63.339367000000003</v>
          </cell>
          <cell r="N857">
            <v>0.39655172413793099</v>
          </cell>
          <cell r="O857">
            <v>427.62529699999999</v>
          </cell>
          <cell r="P857">
            <v>1.375</v>
          </cell>
          <cell r="Q857">
            <v>427.62529699999999</v>
          </cell>
          <cell r="R857">
            <v>1.375</v>
          </cell>
          <cell r="S857">
            <v>297.885087</v>
          </cell>
          <cell r="T857">
            <v>0.80701754385964897</v>
          </cell>
          <cell r="U857">
            <v>37.920760000000001</v>
          </cell>
          <cell r="V857">
            <v>0.36842105263157798</v>
          </cell>
        </row>
        <row r="858">
          <cell r="A858" t="str">
            <v>051701</v>
          </cell>
          <cell r="B858">
            <v>1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91.516666000000001</v>
          </cell>
          <cell r="L858">
            <v>1</v>
          </cell>
          <cell r="M858">
            <v>91.516666000000001</v>
          </cell>
          <cell r="N858">
            <v>1</v>
          </cell>
          <cell r="O858">
            <v>110</v>
          </cell>
          <cell r="P858">
            <v>1</v>
          </cell>
          <cell r="Q858">
            <v>110</v>
          </cell>
          <cell r="R858">
            <v>1</v>
          </cell>
          <cell r="S858">
            <v>130</v>
          </cell>
          <cell r="T858">
            <v>1</v>
          </cell>
          <cell r="U858">
            <v>130</v>
          </cell>
          <cell r="V858">
            <v>1</v>
          </cell>
        </row>
        <row r="859">
          <cell r="A859" t="str">
            <v>051801</v>
          </cell>
          <cell r="B859">
            <v>1845.888888</v>
          </cell>
          <cell r="C859">
            <v>129.65195499999999</v>
          </cell>
          <cell r="D859">
            <v>0.91128254580520696</v>
          </cell>
          <cell r="E859">
            <v>129.65195499999999</v>
          </cell>
          <cell r="F859">
            <v>0.91128254580520696</v>
          </cell>
          <cell r="G859">
            <v>1417.4113199999999</v>
          </cell>
          <cell r="H859">
            <v>3.2586734693877499</v>
          </cell>
          <cell r="I859">
            <v>378.452898</v>
          </cell>
          <cell r="J859">
            <v>2.19336734693877</v>
          </cell>
          <cell r="K859">
            <v>1746.2745010000001</v>
          </cell>
          <cell r="L859">
            <v>3.45125063808065</v>
          </cell>
          <cell r="M859">
            <v>293.34696200000002</v>
          </cell>
          <cell r="N859">
            <v>2.39356814701378</v>
          </cell>
          <cell r="O859">
            <v>602.18818999999996</v>
          </cell>
          <cell r="P859">
            <v>1.5248845561826501</v>
          </cell>
          <cell r="Q859">
            <v>522.93468399999995</v>
          </cell>
          <cell r="R859">
            <v>1.44073884043099</v>
          </cell>
          <cell r="S859">
            <v>186.42140499999999</v>
          </cell>
          <cell r="T859">
            <v>0.50364583333333302</v>
          </cell>
          <cell r="U859">
            <v>68.621909000000002</v>
          </cell>
          <cell r="V859">
            <v>0.37447916666666597</v>
          </cell>
        </row>
        <row r="860">
          <cell r="A860" t="str">
            <v>051802</v>
          </cell>
          <cell r="B860">
            <v>1044</v>
          </cell>
          <cell r="C860">
            <v>32.812531999999997</v>
          </cell>
          <cell r="D860">
            <v>0.41588785046728899</v>
          </cell>
          <cell r="E860">
            <v>32.812531999999997</v>
          </cell>
          <cell r="F860">
            <v>0.41588785046728899</v>
          </cell>
          <cell r="G860">
            <v>365.51150699999999</v>
          </cell>
          <cell r="H860">
            <v>2.3745247148288899</v>
          </cell>
          <cell r="I860">
            <v>364.45146299999999</v>
          </cell>
          <cell r="J860">
            <v>2.3707224334600698</v>
          </cell>
          <cell r="K860">
            <v>2742.43903</v>
          </cell>
          <cell r="L860">
            <v>2.9648622981956301</v>
          </cell>
          <cell r="M860">
            <v>157.77252200000001</v>
          </cell>
          <cell r="N860">
            <v>1.56315289648622</v>
          </cell>
          <cell r="O860">
            <v>1286.1361099999999</v>
          </cell>
          <cell r="P860">
            <v>4.7947976878612701</v>
          </cell>
          <cell r="Q860">
            <v>893.68664000000001</v>
          </cell>
          <cell r="R860">
            <v>4.0443159922928702</v>
          </cell>
          <cell r="S860">
            <v>158.28888799999999</v>
          </cell>
          <cell r="T860">
            <v>1.3294117647058801</v>
          </cell>
          <cell r="U860">
            <v>127.015359</v>
          </cell>
          <cell r="V860">
            <v>0.99313725490196003</v>
          </cell>
        </row>
        <row r="861">
          <cell r="A861" t="str">
            <v>051901</v>
          </cell>
          <cell r="B861">
            <v>2094.8000000000002</v>
          </cell>
          <cell r="C861">
            <v>471.80351300000001</v>
          </cell>
          <cell r="D861">
            <v>1.65683782409761</v>
          </cell>
          <cell r="E861">
            <v>316.14643699999999</v>
          </cell>
          <cell r="F861">
            <v>1.4123029994916101</v>
          </cell>
          <cell r="G861">
            <v>399.97069699999997</v>
          </cell>
          <cell r="H861">
            <v>1.2123034227567</v>
          </cell>
          <cell r="I861">
            <v>266.03772400000003</v>
          </cell>
          <cell r="J861">
            <v>1.07585568917668</v>
          </cell>
          <cell r="K861">
            <v>810.78271800000005</v>
          </cell>
          <cell r="L861">
            <v>3.0186654223051699</v>
          </cell>
          <cell r="M861">
            <v>392.51763099999999</v>
          </cell>
          <cell r="N861">
            <v>1.7722818478768001</v>
          </cell>
          <cell r="O861">
            <v>591.64500199999998</v>
          </cell>
          <cell r="P861">
            <v>1.0864022662889501</v>
          </cell>
          <cell r="Q861">
            <v>123.66247199999999</v>
          </cell>
          <cell r="R861">
            <v>0.831916902738432</v>
          </cell>
          <cell r="S861">
            <v>294.55855700000001</v>
          </cell>
          <cell r="T861">
            <v>0.60220729366602599</v>
          </cell>
          <cell r="U861">
            <v>96.296584999999993</v>
          </cell>
          <cell r="V861">
            <v>0.513435700575815</v>
          </cell>
        </row>
        <row r="862">
          <cell r="A862" t="str">
            <v>051902</v>
          </cell>
          <cell r="B862">
            <v>894.11111100000005</v>
          </cell>
          <cell r="C862">
            <v>34.553479000000003</v>
          </cell>
          <cell r="D862">
            <v>0.19712070874861501</v>
          </cell>
          <cell r="E862">
            <v>7.2310590000000001</v>
          </cell>
          <cell r="F862">
            <v>5.7585825027685403E-2</v>
          </cell>
          <cell r="G862">
            <v>15.316359</v>
          </cell>
          <cell r="H862">
            <v>4.4593088071348902E-2</v>
          </cell>
          <cell r="I862">
            <v>7.671176</v>
          </cell>
          <cell r="J862">
            <v>3.3444816053511697E-2</v>
          </cell>
          <cell r="K862">
            <v>1507.3324009999999</v>
          </cell>
          <cell r="L862">
            <v>1.43910614525139</v>
          </cell>
          <cell r="M862">
            <v>240.755865</v>
          </cell>
          <cell r="N862">
            <v>1.1296089385474799</v>
          </cell>
          <cell r="O862">
            <v>16.245912000000001</v>
          </cell>
          <cell r="P862">
            <v>0.163879598662207</v>
          </cell>
          <cell r="Q862">
            <v>16.245912000000001</v>
          </cell>
          <cell r="R862">
            <v>0.163879598662207</v>
          </cell>
          <cell r="S862">
            <v>378.00660900000003</v>
          </cell>
          <cell r="T862">
            <v>0.58863636363636296</v>
          </cell>
          <cell r="U862">
            <v>51.981079000000001</v>
          </cell>
          <cell r="V862">
            <v>0.44318181818181801</v>
          </cell>
        </row>
        <row r="863">
          <cell r="A863" t="str">
            <v>051903</v>
          </cell>
          <cell r="B863">
            <v>1549.4</v>
          </cell>
          <cell r="C863">
            <v>696.56850299999996</v>
          </cell>
          <cell r="D863">
            <v>2.7140210006176599</v>
          </cell>
          <cell r="E863">
            <v>630.95408499999996</v>
          </cell>
          <cell r="F863">
            <v>2.6312538604076501</v>
          </cell>
          <cell r="G863">
            <v>80.205618999999999</v>
          </cell>
          <cell r="H863">
            <v>0.374605180037902</v>
          </cell>
          <cell r="I863">
            <v>79.642492000000004</v>
          </cell>
          <cell r="J863">
            <v>0.372710044219835</v>
          </cell>
          <cell r="K863">
            <v>1169.7126189999999</v>
          </cell>
          <cell r="L863">
            <v>3.8098908156711602</v>
          </cell>
          <cell r="M863">
            <v>768.34722699999998</v>
          </cell>
          <cell r="N863">
            <v>3.3397559409120099</v>
          </cell>
          <cell r="O863">
            <v>759.50090399999999</v>
          </cell>
          <cell r="P863">
            <v>2.6472534745201801</v>
          </cell>
          <cell r="Q863">
            <v>264.89675699999998</v>
          </cell>
          <cell r="R863">
            <v>1.8193249503639899</v>
          </cell>
          <cell r="S863">
            <v>1759.4436459999999</v>
          </cell>
          <cell r="T863">
            <v>3.2450914014894998</v>
          </cell>
          <cell r="U863">
            <v>580.56772699999999</v>
          </cell>
          <cell r="V863">
            <v>2.5836154366959998</v>
          </cell>
        </row>
        <row r="864">
          <cell r="A864" t="str">
            <v>052002</v>
          </cell>
          <cell r="B864">
            <v>738.2</v>
          </cell>
          <cell r="C864">
            <v>1240.8319570000001</v>
          </cell>
          <cell r="D864">
            <v>1.9271781534460299</v>
          </cell>
          <cell r="E864">
            <v>170.64191</v>
          </cell>
          <cell r="F864">
            <v>0.91547464239271703</v>
          </cell>
          <cell r="G864">
            <v>68.097401000000005</v>
          </cell>
          <cell r="H864">
            <v>0.439353099730458</v>
          </cell>
          <cell r="I864">
            <v>44.047938000000002</v>
          </cell>
          <cell r="J864">
            <v>0.40700808625336898</v>
          </cell>
          <cell r="K864">
            <v>115.746076</v>
          </cell>
          <cell r="L864">
            <v>1.34013605442176</v>
          </cell>
          <cell r="M864">
            <v>67.808026999999996</v>
          </cell>
          <cell r="N864">
            <v>1.30748299319727</v>
          </cell>
          <cell r="O864">
            <v>29.708183999999999</v>
          </cell>
          <cell r="P864">
            <v>0.174211248285322</v>
          </cell>
          <cell r="Q864">
            <v>6.3345450000000003</v>
          </cell>
          <cell r="R864">
            <v>8.77914951989026E-2</v>
          </cell>
          <cell r="S864">
            <v>3774.5746960000001</v>
          </cell>
          <cell r="T864">
            <v>3.84636871508379</v>
          </cell>
          <cell r="U864">
            <v>809.06743400000005</v>
          </cell>
          <cell r="V864">
            <v>2.5977653631284898</v>
          </cell>
        </row>
        <row r="865">
          <cell r="A865" t="str">
            <v>052003</v>
          </cell>
          <cell r="B865">
            <v>729.4</v>
          </cell>
          <cell r="C865">
            <v>34.303032000000002</v>
          </cell>
          <cell r="D865">
            <v>0.10854816824966</v>
          </cell>
          <cell r="E865">
            <v>9.1443080000000005</v>
          </cell>
          <cell r="F865">
            <v>7.8697421981004004E-2</v>
          </cell>
          <cell r="G865">
            <v>23.380376999999999</v>
          </cell>
          <cell r="H865">
            <v>0.206802721088435</v>
          </cell>
          <cell r="I865">
            <v>22.827376999999998</v>
          </cell>
          <cell r="J865">
            <v>0.20544217687074801</v>
          </cell>
          <cell r="K865">
            <v>205.50683900000001</v>
          </cell>
          <cell r="L865">
            <v>1.79616963064295</v>
          </cell>
          <cell r="M865">
            <v>197.32161400000001</v>
          </cell>
          <cell r="N865">
            <v>1.7934336525307699</v>
          </cell>
          <cell r="O865">
            <v>44.632710000000003</v>
          </cell>
          <cell r="P865">
            <v>0.30843706777316698</v>
          </cell>
          <cell r="Q865">
            <v>42.438543000000003</v>
          </cell>
          <cell r="R865">
            <v>0.30705394190871299</v>
          </cell>
          <cell r="S865">
            <v>157.57732300000001</v>
          </cell>
          <cell r="T865">
            <v>1.2038834951456301</v>
          </cell>
          <cell r="U865">
            <v>141.40141</v>
          </cell>
          <cell r="V865">
            <v>1.1511789181692</v>
          </cell>
        </row>
        <row r="866">
          <cell r="A866" t="str">
            <v>052004</v>
          </cell>
          <cell r="B866">
            <v>1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28</v>
          </cell>
          <cell r="L866">
            <v>1</v>
          </cell>
          <cell r="M866">
            <v>28</v>
          </cell>
          <cell r="N866">
            <v>1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</row>
        <row r="867">
          <cell r="A867" t="str">
            <v>052301</v>
          </cell>
          <cell r="B867">
            <v>142.375</v>
          </cell>
          <cell r="C867">
            <v>69.030519999999996</v>
          </cell>
          <cell r="D867">
            <v>8.6330935251798496E-2</v>
          </cell>
          <cell r="E867">
            <v>69.030519999999996</v>
          </cell>
          <cell r="F867">
            <v>8.6330935251798496E-2</v>
          </cell>
          <cell r="G867">
            <v>202.097891</v>
          </cell>
          <cell r="H867">
            <v>0.90845070422535201</v>
          </cell>
          <cell r="I867">
            <v>202.097891</v>
          </cell>
          <cell r="J867">
            <v>0.90845070422535201</v>
          </cell>
          <cell r="K867">
            <v>190.42612199999999</v>
          </cell>
          <cell r="L867">
            <v>0.58156028368794299</v>
          </cell>
          <cell r="M867">
            <v>161.002364</v>
          </cell>
          <cell r="N867">
            <v>0.57446808510638203</v>
          </cell>
          <cell r="O867">
            <v>73.016069999999999</v>
          </cell>
          <cell r="P867">
            <v>1.1571428571428499</v>
          </cell>
          <cell r="Q867">
            <v>24.631309000000002</v>
          </cell>
          <cell r="R867">
            <v>0.14285714285714199</v>
          </cell>
          <cell r="S867">
            <v>91.243692999999993</v>
          </cell>
          <cell r="T867">
            <v>0.22972972972972899</v>
          </cell>
          <cell r="U867">
            <v>71.775225000000006</v>
          </cell>
          <cell r="V867">
            <v>0.222972972972972</v>
          </cell>
        </row>
        <row r="868">
          <cell r="A868" t="str">
            <v>052302</v>
          </cell>
          <cell r="B868">
            <v>635.20000000000005</v>
          </cell>
          <cell r="C868">
            <v>50.901814000000002</v>
          </cell>
          <cell r="D868">
            <v>1.37777777777777</v>
          </cell>
          <cell r="E868">
            <v>47.139909000000003</v>
          </cell>
          <cell r="F868">
            <v>1.37037037037037</v>
          </cell>
          <cell r="G868">
            <v>785.49384799999996</v>
          </cell>
          <cell r="H868">
            <v>2.7040000000000002</v>
          </cell>
          <cell r="I868">
            <v>534.26577699999996</v>
          </cell>
          <cell r="J868">
            <v>2.0895999999999999</v>
          </cell>
          <cell r="K868">
            <v>90.799387999999993</v>
          </cell>
          <cell r="L868">
            <v>0.22169059011164199</v>
          </cell>
          <cell r="M868">
            <v>79.853296</v>
          </cell>
          <cell r="N868">
            <v>0.208931419457735</v>
          </cell>
          <cell r="O868">
            <v>106.890288</v>
          </cell>
          <cell r="P868">
            <v>1.17656500802568</v>
          </cell>
          <cell r="Q868">
            <v>57.344622000000001</v>
          </cell>
          <cell r="R868">
            <v>0.152487961476725</v>
          </cell>
          <cell r="S868">
            <v>225.79337000000001</v>
          </cell>
          <cell r="T868">
            <v>2.2012779552715598</v>
          </cell>
          <cell r="U868">
            <v>214.12044700000001</v>
          </cell>
          <cell r="V868">
            <v>2.1645367412140502</v>
          </cell>
        </row>
        <row r="869">
          <cell r="A869" t="str">
            <v>052303</v>
          </cell>
          <cell r="B869">
            <v>99.142857000000006</v>
          </cell>
          <cell r="C869">
            <v>3.272017</v>
          </cell>
          <cell r="D869">
            <v>7.3529411764705803E-3</v>
          </cell>
          <cell r="E869">
            <v>0</v>
          </cell>
          <cell r="F869">
            <v>0</v>
          </cell>
          <cell r="G869">
            <v>143.36324999999999</v>
          </cell>
          <cell r="H869">
            <v>0.33812949640287698</v>
          </cell>
          <cell r="I869">
            <v>143.36324999999999</v>
          </cell>
          <cell r="J869">
            <v>0.33812949640287698</v>
          </cell>
          <cell r="K869">
            <v>32.558914000000001</v>
          </cell>
          <cell r="L869">
            <v>0.108527131782945</v>
          </cell>
          <cell r="M869">
            <v>32.558914000000001</v>
          </cell>
          <cell r="N869">
            <v>0.108527131782945</v>
          </cell>
          <cell r="O869">
            <v>119.94035</v>
          </cell>
          <cell r="P869">
            <v>2.5394736842105199</v>
          </cell>
          <cell r="Q869">
            <v>54.522587000000001</v>
          </cell>
          <cell r="R869">
            <v>1.1578947368421</v>
          </cell>
          <cell r="S869">
            <v>665.94541000000004</v>
          </cell>
          <cell r="T869">
            <v>2.9275362318840501</v>
          </cell>
          <cell r="U869">
            <v>470.33864699999998</v>
          </cell>
          <cell r="V869">
            <v>1.9420289855072399</v>
          </cell>
        </row>
        <row r="870">
          <cell r="A870" t="str">
            <v>052601</v>
          </cell>
          <cell r="B870">
            <v>1589.6666660000001</v>
          </cell>
          <cell r="C870">
            <v>21.87959</v>
          </cell>
          <cell r="D870">
            <v>0.18481642812694399</v>
          </cell>
          <cell r="E870">
            <v>21.87959</v>
          </cell>
          <cell r="F870">
            <v>0.18481642812694399</v>
          </cell>
          <cell r="G870">
            <v>265.72681</v>
          </cell>
          <cell r="H870">
            <v>1.2375311720698201</v>
          </cell>
          <cell r="I870">
            <v>261.457133</v>
          </cell>
          <cell r="J870">
            <v>1.21695760598503</v>
          </cell>
          <cell r="K870">
            <v>164.83374800000001</v>
          </cell>
          <cell r="L870">
            <v>1.7526545908806901</v>
          </cell>
          <cell r="M870">
            <v>95.143826000000004</v>
          </cell>
          <cell r="N870">
            <v>1.2523422860711999</v>
          </cell>
          <cell r="O870">
            <v>143.30962400000001</v>
          </cell>
          <cell r="P870">
            <v>0.26930320150659098</v>
          </cell>
          <cell r="Q870">
            <v>15.163046</v>
          </cell>
          <cell r="R870">
            <v>0.114249843063402</v>
          </cell>
          <cell r="S870">
            <v>100.890817</v>
          </cell>
          <cell r="T870">
            <v>0.51932989690721598</v>
          </cell>
          <cell r="U870">
            <v>47.715592000000001</v>
          </cell>
          <cell r="V870">
            <v>0.41817010309278302</v>
          </cell>
        </row>
        <row r="871">
          <cell r="A871" t="str">
            <v>052602</v>
          </cell>
          <cell r="B871">
            <v>1180.6666660000001</v>
          </cell>
          <cell r="C871">
            <v>4.0554750000000004</v>
          </cell>
          <cell r="D871">
            <v>4.4262295081967197E-2</v>
          </cell>
          <cell r="E871">
            <v>4.0554750000000004</v>
          </cell>
          <cell r="F871">
            <v>4.4262295081967197E-2</v>
          </cell>
          <cell r="G871">
            <v>22.866968</v>
          </cell>
          <cell r="H871">
            <v>0.13383208645054001</v>
          </cell>
          <cell r="I871">
            <v>20.126071</v>
          </cell>
          <cell r="J871">
            <v>0.124688279301745</v>
          </cell>
          <cell r="K871">
            <v>692.00959899999998</v>
          </cell>
          <cell r="L871">
            <v>1.1782094594594501</v>
          </cell>
          <cell r="M871">
            <v>64.778306999999998</v>
          </cell>
          <cell r="N871">
            <v>0.74070945945945899</v>
          </cell>
          <cell r="O871">
            <v>91.152586999999997</v>
          </cell>
          <cell r="P871">
            <v>0.22610921501706399</v>
          </cell>
          <cell r="Q871">
            <v>8.6066120000000002</v>
          </cell>
          <cell r="R871">
            <v>8.7030716723549395E-2</v>
          </cell>
          <cell r="S871">
            <v>153.81624400000001</v>
          </cell>
          <cell r="T871">
            <v>1.29370629370629</v>
          </cell>
          <cell r="U871">
            <v>106.874155</v>
          </cell>
          <cell r="V871">
            <v>1.2736013986013901</v>
          </cell>
        </row>
        <row r="872">
          <cell r="A872" t="str">
            <v>052901</v>
          </cell>
          <cell r="B872">
            <v>2</v>
          </cell>
          <cell r="C872">
            <v>315.55</v>
          </cell>
          <cell r="D872">
            <v>2</v>
          </cell>
          <cell r="E872">
            <v>315.55</v>
          </cell>
          <cell r="F872">
            <v>2</v>
          </cell>
          <cell r="G872">
            <v>71.838716000000005</v>
          </cell>
          <cell r="H872">
            <v>0.5</v>
          </cell>
          <cell r="I872">
            <v>71.838716000000005</v>
          </cell>
          <cell r="J872">
            <v>0.5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1026</v>
          </cell>
          <cell r="P872">
            <v>1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</row>
        <row r="873">
          <cell r="A873" t="str">
            <v>053001</v>
          </cell>
          <cell r="B873">
            <v>747.8</v>
          </cell>
          <cell r="C873">
            <v>2942.6139450000001</v>
          </cell>
          <cell r="D873">
            <v>3.2623828647924999</v>
          </cell>
          <cell r="E873">
            <v>823.29278099999999</v>
          </cell>
          <cell r="F873">
            <v>2.2516733601070902</v>
          </cell>
          <cell r="G873">
            <v>146.23777699999999</v>
          </cell>
          <cell r="H873">
            <v>0.876</v>
          </cell>
          <cell r="I873">
            <v>64.535580999999993</v>
          </cell>
          <cell r="J873">
            <v>0.46400000000000002</v>
          </cell>
          <cell r="K873">
            <v>624.45313699999997</v>
          </cell>
          <cell r="L873">
            <v>1.1428571428571399</v>
          </cell>
          <cell r="M873">
            <v>220.138518</v>
          </cell>
          <cell r="N873">
            <v>1.05073431241655</v>
          </cell>
          <cell r="O873">
            <v>62.008166000000003</v>
          </cell>
          <cell r="P873">
            <v>0.31909212283043997</v>
          </cell>
          <cell r="Q873">
            <v>41.941187999999997</v>
          </cell>
          <cell r="R873">
            <v>0.23230974632843701</v>
          </cell>
          <cell r="S873">
            <v>351.77123599999999</v>
          </cell>
          <cell r="T873">
            <v>0.68413978494623595</v>
          </cell>
          <cell r="U873">
            <v>66.271214000000001</v>
          </cell>
          <cell r="V873">
            <v>0.41666666666666602</v>
          </cell>
        </row>
        <row r="874">
          <cell r="A874" t="str">
            <v>053002</v>
          </cell>
          <cell r="B874">
            <v>262.625</v>
          </cell>
          <cell r="C874">
            <v>2520.0499690000001</v>
          </cell>
          <cell r="D874">
            <v>2.3977272727272698</v>
          </cell>
          <cell r="E874">
            <v>726.72799899999995</v>
          </cell>
          <cell r="F874">
            <v>1.11742424242424</v>
          </cell>
          <cell r="G874">
            <v>17.431294000000001</v>
          </cell>
          <cell r="H874">
            <v>0.14498141263940501</v>
          </cell>
          <cell r="I874">
            <v>12.888712999999999</v>
          </cell>
          <cell r="J874">
            <v>0.100371747211895</v>
          </cell>
          <cell r="K874">
            <v>216.06432100000001</v>
          </cell>
          <cell r="L874">
            <v>1.02281368821292</v>
          </cell>
          <cell r="M874">
            <v>216.06432100000001</v>
          </cell>
          <cell r="N874">
            <v>1.02281368821292</v>
          </cell>
          <cell r="O874">
            <v>26.244743</v>
          </cell>
          <cell r="P874">
            <v>0.19615384615384601</v>
          </cell>
          <cell r="Q874">
            <v>26.244743</v>
          </cell>
          <cell r="R874">
            <v>0.19615384615384601</v>
          </cell>
          <cell r="S874">
            <v>182.66718599999999</v>
          </cell>
          <cell r="T874">
            <v>0.16015625</v>
          </cell>
          <cell r="U874">
            <v>4.9210929999999999</v>
          </cell>
          <cell r="V874">
            <v>0.10546875</v>
          </cell>
        </row>
        <row r="875">
          <cell r="A875" t="str">
            <v>053101</v>
          </cell>
          <cell r="B875">
            <v>277</v>
          </cell>
          <cell r="C875">
            <v>34.386156999999997</v>
          </cell>
          <cell r="D875">
            <v>0.27697841726618699</v>
          </cell>
          <cell r="E875">
            <v>21.015654000000001</v>
          </cell>
          <cell r="F875">
            <v>0.27338129496402802</v>
          </cell>
          <cell r="G875">
            <v>3877.2962349999998</v>
          </cell>
          <cell r="H875">
            <v>1.0035714285714199</v>
          </cell>
          <cell r="I875">
            <v>1.638571</v>
          </cell>
          <cell r="J875">
            <v>2.1428571428571401E-2</v>
          </cell>
          <cell r="K875">
            <v>2209.1364870000002</v>
          </cell>
          <cell r="L875">
            <v>1.81785714285714</v>
          </cell>
          <cell r="M875">
            <v>19.143452</v>
          </cell>
          <cell r="N875">
            <v>0.23928571428571399</v>
          </cell>
          <cell r="O875">
            <v>5821.7964620000002</v>
          </cell>
          <cell r="P875">
            <v>2.58633093525179</v>
          </cell>
          <cell r="Q875">
            <v>445.47410000000002</v>
          </cell>
          <cell r="R875">
            <v>1.58633093525179</v>
          </cell>
          <cell r="S875">
            <v>190.21034599999999</v>
          </cell>
          <cell r="T875">
            <v>2.5167286245353102</v>
          </cell>
          <cell r="U875">
            <v>182.216294</v>
          </cell>
          <cell r="V875">
            <v>2.3717472118959102</v>
          </cell>
        </row>
        <row r="876">
          <cell r="A876" t="str">
            <v>053102</v>
          </cell>
          <cell r="B876">
            <v>732.4</v>
          </cell>
          <cell r="C876">
            <v>380.304799</v>
          </cell>
          <cell r="D876">
            <v>1.74459459459459</v>
          </cell>
          <cell r="E876">
            <v>178.12163000000001</v>
          </cell>
          <cell r="F876">
            <v>1.69054054054054</v>
          </cell>
          <cell r="G876">
            <v>278.71652799999998</v>
          </cell>
          <cell r="H876">
            <v>0.92925170068027196</v>
          </cell>
          <cell r="I876">
            <v>110.92582</v>
          </cell>
          <cell r="J876">
            <v>0.58503401360544205</v>
          </cell>
          <cell r="K876">
            <v>419.15599200000003</v>
          </cell>
          <cell r="L876">
            <v>1.2564450474898201</v>
          </cell>
          <cell r="M876">
            <v>72.558819</v>
          </cell>
          <cell r="N876">
            <v>0.66621438263229305</v>
          </cell>
          <cell r="O876">
            <v>3325.5161670000002</v>
          </cell>
          <cell r="P876">
            <v>2.6340136054421701</v>
          </cell>
          <cell r="Q876">
            <v>426.77968199999998</v>
          </cell>
          <cell r="R876">
            <v>1.3333333333333299</v>
          </cell>
          <cell r="S876">
            <v>600.65286600000002</v>
          </cell>
          <cell r="T876">
            <v>1.26433566433566</v>
          </cell>
          <cell r="U876">
            <v>295.51591999999999</v>
          </cell>
          <cell r="V876">
            <v>0.87552447552447499</v>
          </cell>
        </row>
        <row r="877">
          <cell r="A877" t="str">
            <v>053201</v>
          </cell>
          <cell r="B877">
            <v>1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475.05</v>
          </cell>
          <cell r="P877">
            <v>1</v>
          </cell>
          <cell r="Q877">
            <v>475.05</v>
          </cell>
          <cell r="R877">
            <v>1</v>
          </cell>
          <cell r="S877">
            <v>58.95</v>
          </cell>
          <cell r="T877">
            <v>1</v>
          </cell>
          <cell r="U877">
            <v>0</v>
          </cell>
          <cell r="V877">
            <v>0</v>
          </cell>
        </row>
        <row r="878">
          <cell r="A878" t="str">
            <v>053301</v>
          </cell>
          <cell r="B878">
            <v>698.4</v>
          </cell>
          <cell r="C878">
            <v>407.729287</v>
          </cell>
          <cell r="D878">
            <v>1.2105997210599699</v>
          </cell>
          <cell r="E878">
            <v>407.10427600000003</v>
          </cell>
          <cell r="F878">
            <v>1.2092050209205001</v>
          </cell>
          <cell r="G878">
            <v>985.00830399999995</v>
          </cell>
          <cell r="H878">
            <v>1.77571428571428</v>
          </cell>
          <cell r="I878">
            <v>385.75404500000002</v>
          </cell>
          <cell r="J878">
            <v>0.63428571428571401</v>
          </cell>
          <cell r="K878">
            <v>4759.6761280000001</v>
          </cell>
          <cell r="L878">
            <v>3.1283880171184002</v>
          </cell>
          <cell r="M878">
            <v>394.31887699999999</v>
          </cell>
          <cell r="N878">
            <v>1.5406562054208199</v>
          </cell>
          <cell r="O878">
            <v>1809.776897</v>
          </cell>
          <cell r="P878">
            <v>4.5201729106628203</v>
          </cell>
          <cell r="Q878">
            <v>658.01568199999997</v>
          </cell>
          <cell r="R878">
            <v>3.55763688760806</v>
          </cell>
          <cell r="S878">
            <v>744.17264599999999</v>
          </cell>
          <cell r="T878">
            <v>2.2455882352941101</v>
          </cell>
          <cell r="U878">
            <v>175.513578</v>
          </cell>
          <cell r="V878">
            <v>1.75588235294117</v>
          </cell>
        </row>
        <row r="879">
          <cell r="A879" t="str">
            <v>053302</v>
          </cell>
          <cell r="B879">
            <v>1787.1111109999999</v>
          </cell>
          <cell r="C879">
            <v>29.475462</v>
          </cell>
          <cell r="D879">
            <v>0.11943539630836</v>
          </cell>
          <cell r="E879">
            <v>29.475462</v>
          </cell>
          <cell r="F879">
            <v>0.11943539630836</v>
          </cell>
          <cell r="G879">
            <v>1085.1966</v>
          </cell>
          <cell r="H879">
            <v>1.9411111111111099</v>
          </cell>
          <cell r="I879">
            <v>433.02620899999999</v>
          </cell>
          <cell r="J879">
            <v>1.04111111111111</v>
          </cell>
          <cell r="K879">
            <v>3668.3546879999999</v>
          </cell>
          <cell r="L879">
            <v>2.8679665738161502</v>
          </cell>
          <cell r="M879">
            <v>122.894976</v>
          </cell>
          <cell r="N879">
            <v>0.29637883008356503</v>
          </cell>
          <cell r="O879">
            <v>1566.8366719999999</v>
          </cell>
          <cell r="P879">
            <v>3.1773288439955101</v>
          </cell>
          <cell r="Q879">
            <v>386.98677500000002</v>
          </cell>
          <cell r="R879">
            <v>1.51683501683501</v>
          </cell>
          <cell r="S879">
            <v>402.61907400000001</v>
          </cell>
          <cell r="T879">
            <v>2.35378440366972</v>
          </cell>
          <cell r="U879">
            <v>401.14845100000002</v>
          </cell>
          <cell r="V879">
            <v>2.3526376146788901</v>
          </cell>
        </row>
        <row r="880">
          <cell r="A880" t="str">
            <v>053303</v>
          </cell>
          <cell r="B880">
            <v>809.375</v>
          </cell>
          <cell r="C880">
            <v>381.21003899999999</v>
          </cell>
          <cell r="D880">
            <v>1.6046511627906901</v>
          </cell>
          <cell r="E880">
            <v>381.21003899999999</v>
          </cell>
          <cell r="F880">
            <v>1.6046511627906901</v>
          </cell>
          <cell r="G880">
            <v>684.62836900000002</v>
          </cell>
          <cell r="H880">
            <v>1.8196319018404901</v>
          </cell>
          <cell r="I880">
            <v>208.494743</v>
          </cell>
          <cell r="J880">
            <v>0.81963190184048995</v>
          </cell>
          <cell r="K880">
            <v>2723.517014</v>
          </cell>
          <cell r="L880">
            <v>2.99014778325123</v>
          </cell>
          <cell r="M880">
            <v>823.14295900000002</v>
          </cell>
          <cell r="N880">
            <v>1.9667487684728999</v>
          </cell>
          <cell r="O880">
            <v>547.25748399999998</v>
          </cell>
          <cell r="P880">
            <v>1.9565756823821301</v>
          </cell>
          <cell r="Q880">
            <v>457.48846099999997</v>
          </cell>
          <cell r="R880">
            <v>1.81761786600496</v>
          </cell>
          <cell r="S880">
            <v>164.541203</v>
          </cell>
          <cell r="T880">
            <v>0.49494949494949397</v>
          </cell>
          <cell r="U880">
            <v>164.541203</v>
          </cell>
          <cell r="V880">
            <v>0.49494949494949397</v>
          </cell>
        </row>
        <row r="881">
          <cell r="A881" t="str">
            <v>053401</v>
          </cell>
          <cell r="B881">
            <v>781.57142799999997</v>
          </cell>
          <cell r="C881">
            <v>25.662279000000002</v>
          </cell>
          <cell r="D881">
            <v>0.157190635451505</v>
          </cell>
          <cell r="E881">
            <v>25.662279000000002</v>
          </cell>
          <cell r="F881">
            <v>0.157190635451505</v>
          </cell>
          <cell r="G881">
            <v>10.658191</v>
          </cell>
          <cell r="H881">
            <v>0.16470588235294101</v>
          </cell>
          <cell r="I881">
            <v>10.658191</v>
          </cell>
          <cell r="J881">
            <v>0.16470588235294101</v>
          </cell>
          <cell r="K881">
            <v>375.87186700000001</v>
          </cell>
          <cell r="L881">
            <v>0.58892617449664397</v>
          </cell>
          <cell r="M881">
            <v>4.6490770000000001</v>
          </cell>
          <cell r="N881">
            <v>0.105704697986577</v>
          </cell>
          <cell r="O881">
            <v>22.150836999999999</v>
          </cell>
          <cell r="P881">
            <v>0.32065217391304301</v>
          </cell>
          <cell r="Q881">
            <v>22.150836999999999</v>
          </cell>
          <cell r="R881">
            <v>0.32065217391304301</v>
          </cell>
          <cell r="S881">
            <v>408.88116200000002</v>
          </cell>
          <cell r="T881">
            <v>1.10212765957446</v>
          </cell>
          <cell r="U881">
            <v>28.945247999999999</v>
          </cell>
          <cell r="V881">
            <v>8.4255319148936095E-2</v>
          </cell>
        </row>
        <row r="882">
          <cell r="A882" t="str">
            <v>053402</v>
          </cell>
          <cell r="B882">
            <v>379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225.01960700000001</v>
          </cell>
          <cell r="L882">
            <v>0.14705882352941099</v>
          </cell>
          <cell r="M882">
            <v>225.01960700000001</v>
          </cell>
          <cell r="N882">
            <v>0.14705882352941099</v>
          </cell>
          <cell r="O882">
            <v>447.36621000000002</v>
          </cell>
          <cell r="P882">
            <v>0.10958904109589</v>
          </cell>
          <cell r="Q882">
            <v>447.36621000000002</v>
          </cell>
          <cell r="R882">
            <v>0.10958904109589</v>
          </cell>
          <cell r="S882">
            <v>1121.6999470000001</v>
          </cell>
          <cell r="T882">
            <v>2.44006309148264</v>
          </cell>
          <cell r="U882">
            <v>257.25985800000001</v>
          </cell>
          <cell r="V882">
            <v>1.32807570977917</v>
          </cell>
        </row>
        <row r="883">
          <cell r="A883" t="str">
            <v>053404</v>
          </cell>
          <cell r="B883">
            <v>584.16666599999996</v>
          </cell>
          <cell r="C883">
            <v>146.12637799999999</v>
          </cell>
          <cell r="D883">
            <v>0.75483870967741895</v>
          </cell>
          <cell r="E883">
            <v>146.12637799999999</v>
          </cell>
          <cell r="F883">
            <v>0.75483870967741895</v>
          </cell>
          <cell r="G883">
            <v>109.031988</v>
          </cell>
          <cell r="H883">
            <v>0.492776886035313</v>
          </cell>
          <cell r="I883">
            <v>109.031988</v>
          </cell>
          <cell r="J883">
            <v>0.492776886035313</v>
          </cell>
          <cell r="K883">
            <v>1453.691302</v>
          </cell>
          <cell r="L883">
            <v>1.96607431340872</v>
          </cell>
          <cell r="M883">
            <v>172.263193</v>
          </cell>
          <cell r="N883">
            <v>0.86268174474959602</v>
          </cell>
          <cell r="O883">
            <v>856.39182800000003</v>
          </cell>
          <cell r="P883">
            <v>1.78515625</v>
          </cell>
          <cell r="Q883">
            <v>84.74248</v>
          </cell>
          <cell r="R883">
            <v>0.947265625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</row>
        <row r="884">
          <cell r="A884" t="str">
            <v>053501</v>
          </cell>
          <cell r="B884">
            <v>560.66666599999996</v>
          </cell>
          <cell r="C884">
            <v>58.605758999999999</v>
          </cell>
          <cell r="D884">
            <v>0.38070175438596399</v>
          </cell>
          <cell r="E884">
            <v>58.605758999999999</v>
          </cell>
          <cell r="F884">
            <v>0.38070175438596399</v>
          </cell>
          <cell r="G884">
            <v>2726.4558160000001</v>
          </cell>
          <cell r="H884">
            <v>3.2122807017543802</v>
          </cell>
          <cell r="I884">
            <v>324.17803900000001</v>
          </cell>
          <cell r="J884">
            <v>2.40350877192982</v>
          </cell>
          <cell r="K884">
            <v>3477.3660709999999</v>
          </cell>
          <cell r="L884">
            <v>3.8770053475935802</v>
          </cell>
          <cell r="M884">
            <v>194.73309499999999</v>
          </cell>
          <cell r="N884">
            <v>2.6381461675579301</v>
          </cell>
          <cell r="O884">
            <v>997.03020400000003</v>
          </cell>
          <cell r="P884">
            <v>2.8844765342960201</v>
          </cell>
          <cell r="Q884">
            <v>300.541606</v>
          </cell>
          <cell r="R884">
            <v>1.79061371841155</v>
          </cell>
          <cell r="S884">
            <v>712.92751499999997</v>
          </cell>
          <cell r="T884">
            <v>2.9367088607594898</v>
          </cell>
          <cell r="U884">
            <v>585.81326000000001</v>
          </cell>
          <cell r="V884">
            <v>2.6564195298372502</v>
          </cell>
        </row>
        <row r="885">
          <cell r="A885" t="str">
            <v>053502</v>
          </cell>
          <cell r="B885">
            <v>698.2</v>
          </cell>
          <cell r="C885">
            <v>131.04842500000001</v>
          </cell>
          <cell r="D885">
            <v>1.00702247191011</v>
          </cell>
          <cell r="E885">
            <v>122.350386</v>
          </cell>
          <cell r="F885">
            <v>0.96910112359550504</v>
          </cell>
          <cell r="G885">
            <v>3261.8908419999998</v>
          </cell>
          <cell r="H885">
            <v>1.85974754558204</v>
          </cell>
          <cell r="I885">
            <v>259.37944900000002</v>
          </cell>
          <cell r="J885">
            <v>0.89060308555399703</v>
          </cell>
          <cell r="K885">
            <v>2610.063666</v>
          </cell>
          <cell r="L885">
            <v>3.9228571428571399</v>
          </cell>
          <cell r="M885">
            <v>147.19619</v>
          </cell>
          <cell r="N885">
            <v>1.6171428571428501</v>
          </cell>
          <cell r="O885">
            <v>2669.8548820000001</v>
          </cell>
          <cell r="P885">
            <v>6.3513119533527602</v>
          </cell>
          <cell r="Q885">
            <v>1828.7668120000001</v>
          </cell>
          <cell r="R885">
            <v>4.8206997084548098</v>
          </cell>
          <cell r="S885">
            <v>1584.0132590000001</v>
          </cell>
          <cell r="T885">
            <v>2.95294117647058</v>
          </cell>
          <cell r="U885">
            <v>658.60549000000003</v>
          </cell>
          <cell r="V885">
            <v>2.07794117647058</v>
          </cell>
        </row>
        <row r="886">
          <cell r="A886" t="str">
            <v>053601</v>
          </cell>
          <cell r="B886">
            <v>2056.8000000000002</v>
          </cell>
          <cell r="C886">
            <v>132.107102</v>
          </cell>
          <cell r="D886">
            <v>0.67179240749639502</v>
          </cell>
          <cell r="E886">
            <v>131.89725000000001</v>
          </cell>
          <cell r="F886">
            <v>0.66938971648246004</v>
          </cell>
          <cell r="G886">
            <v>2110.989932</v>
          </cell>
          <cell r="H886">
            <v>2.5400192864030799</v>
          </cell>
          <cell r="I886">
            <v>297.57011499999999</v>
          </cell>
          <cell r="J886">
            <v>1.81870781099324</v>
          </cell>
          <cell r="K886">
            <v>1535.732962</v>
          </cell>
          <cell r="L886">
            <v>2.1941091260260701</v>
          </cell>
          <cell r="M886">
            <v>290.50849799999997</v>
          </cell>
          <cell r="N886">
            <v>1.0970545630130299</v>
          </cell>
          <cell r="O886">
            <v>1218.452959</v>
          </cell>
          <cell r="P886">
            <v>3.8641791044776101</v>
          </cell>
          <cell r="Q886">
            <v>511.782893</v>
          </cell>
          <cell r="R886">
            <v>3.0885572139303399</v>
          </cell>
          <cell r="S886">
            <v>609.825333</v>
          </cell>
          <cell r="T886">
            <v>2.89013671875</v>
          </cell>
          <cell r="U886">
            <v>444.96286600000002</v>
          </cell>
          <cell r="V886">
            <v>2.7744140625</v>
          </cell>
        </row>
        <row r="887">
          <cell r="A887" t="str">
            <v>053602</v>
          </cell>
          <cell r="B887">
            <v>1014.888888</v>
          </cell>
          <cell r="C887">
            <v>113.70355499999999</v>
          </cell>
          <cell r="D887">
            <v>1.5634057971014399</v>
          </cell>
          <cell r="E887">
            <v>113.70355499999999</v>
          </cell>
          <cell r="F887">
            <v>1.5634057971014399</v>
          </cell>
          <cell r="G887">
            <v>355.90519999999998</v>
          </cell>
          <cell r="H887">
            <v>2.3035055350553502</v>
          </cell>
          <cell r="I887">
            <v>185.636427</v>
          </cell>
          <cell r="J887">
            <v>2.2075645756457498</v>
          </cell>
          <cell r="K887">
            <v>690.39225999999996</v>
          </cell>
          <cell r="L887">
            <v>1.3521779425393801</v>
          </cell>
          <cell r="M887">
            <v>316.60781500000002</v>
          </cell>
          <cell r="N887">
            <v>1.03151065801668</v>
          </cell>
          <cell r="O887">
            <v>962.20718899999997</v>
          </cell>
          <cell r="P887">
            <v>2.8306527909176902</v>
          </cell>
          <cell r="Q887">
            <v>445.06362300000001</v>
          </cell>
          <cell r="R887">
            <v>2.3926206244086998</v>
          </cell>
          <cell r="S887">
            <v>448.37874199999999</v>
          </cell>
          <cell r="T887">
            <v>0.85901027077497605</v>
          </cell>
          <cell r="U887">
            <v>353.340149</v>
          </cell>
          <cell r="V887">
            <v>0.77030812324929898</v>
          </cell>
        </row>
        <row r="888">
          <cell r="A888" t="str">
            <v>053701</v>
          </cell>
          <cell r="B888">
            <v>1711.4</v>
          </cell>
          <cell r="C888">
            <v>1838.015136</v>
          </cell>
          <cell r="D888">
            <v>2.30469644902634</v>
          </cell>
          <cell r="E888">
            <v>179.54074499999999</v>
          </cell>
          <cell r="F888">
            <v>1.29152348224513</v>
          </cell>
          <cell r="G888">
            <v>248.30351899999999</v>
          </cell>
          <cell r="H888">
            <v>0.98958935801041004</v>
          </cell>
          <cell r="I888">
            <v>197.36875599999999</v>
          </cell>
          <cell r="J888">
            <v>0.84384037015615898</v>
          </cell>
          <cell r="K888">
            <v>2868.769456</v>
          </cell>
          <cell r="L888">
            <v>2.04609101516919</v>
          </cell>
          <cell r="M888">
            <v>65.413495999999995</v>
          </cell>
          <cell r="N888">
            <v>0.50933488914819103</v>
          </cell>
          <cell r="O888">
            <v>372.67711200000002</v>
          </cell>
          <cell r="P888">
            <v>1.49351415094339</v>
          </cell>
          <cell r="Q888">
            <v>369.50509</v>
          </cell>
          <cell r="R888">
            <v>1.4911556603773499</v>
          </cell>
          <cell r="S888">
            <v>2282.594028</v>
          </cell>
          <cell r="T888">
            <v>3.8528708133971201</v>
          </cell>
          <cell r="U888">
            <v>794.403997</v>
          </cell>
          <cell r="V888">
            <v>2.95155502392344</v>
          </cell>
        </row>
        <row r="889">
          <cell r="A889" t="str">
            <v>053702</v>
          </cell>
          <cell r="B889">
            <v>342</v>
          </cell>
          <cell r="C889">
            <v>795.21701099999996</v>
          </cell>
          <cell r="D889">
            <v>0.48985507246376803</v>
          </cell>
          <cell r="E889">
            <v>25.200189999999999</v>
          </cell>
          <cell r="F889">
            <v>0.12753623188405699</v>
          </cell>
          <cell r="G889">
            <v>235.17303100000001</v>
          </cell>
          <cell r="H889">
            <v>0.56811594202898497</v>
          </cell>
          <cell r="I889">
            <v>143.71196</v>
          </cell>
          <cell r="J889">
            <v>0.46956521739130402</v>
          </cell>
          <cell r="K889">
            <v>488.51282700000002</v>
          </cell>
          <cell r="L889">
            <v>0.524781341107871</v>
          </cell>
          <cell r="M889">
            <v>23.496694999999999</v>
          </cell>
          <cell r="N889">
            <v>0.18950437317784199</v>
          </cell>
          <cell r="O889">
            <v>617.63342999999998</v>
          </cell>
          <cell r="P889">
            <v>2.06451612903225</v>
          </cell>
          <cell r="Q889">
            <v>385.11304899999999</v>
          </cell>
          <cell r="R889">
            <v>1.6891495601173001</v>
          </cell>
          <cell r="S889">
            <v>555.81185400000004</v>
          </cell>
          <cell r="T889">
            <v>0.79166666666666596</v>
          </cell>
          <cell r="U889">
            <v>113.771676</v>
          </cell>
          <cell r="V889">
            <v>0.50297619047619002</v>
          </cell>
        </row>
        <row r="890">
          <cell r="A890" t="str">
            <v>053801</v>
          </cell>
          <cell r="B890">
            <v>989.55555500000003</v>
          </cell>
          <cell r="C890">
            <v>370.83007300000003</v>
          </cell>
          <cell r="D890">
            <v>2.11088709677419</v>
          </cell>
          <cell r="E890">
            <v>370.83007300000003</v>
          </cell>
          <cell r="F890">
            <v>2.11088709677419</v>
          </cell>
          <cell r="G890">
            <v>128.968705</v>
          </cell>
          <cell r="H890">
            <v>0.29476861167002</v>
          </cell>
          <cell r="I890">
            <v>42.291305000000001</v>
          </cell>
          <cell r="J890">
            <v>0.106639839034205</v>
          </cell>
          <cell r="K890">
            <v>146.29192599999999</v>
          </cell>
          <cell r="L890">
            <v>0.16817724068479301</v>
          </cell>
          <cell r="M890">
            <v>13.646844</v>
          </cell>
          <cell r="N890">
            <v>0.108761329305135</v>
          </cell>
          <cell r="O890">
            <v>39.097895999999999</v>
          </cell>
          <cell r="P890">
            <v>0.115971515768056</v>
          </cell>
          <cell r="Q890">
            <v>25.151185999999999</v>
          </cell>
          <cell r="R890">
            <v>4.9847405900305099E-2</v>
          </cell>
          <cell r="S890">
            <v>70.507564000000002</v>
          </cell>
          <cell r="T890">
            <v>0.24214792299898599</v>
          </cell>
          <cell r="U890">
            <v>67.992080000000001</v>
          </cell>
          <cell r="V890">
            <v>0.240121580547112</v>
          </cell>
        </row>
        <row r="891">
          <cell r="A891" t="str">
            <v>053802</v>
          </cell>
          <cell r="B891">
            <v>821</v>
          </cell>
          <cell r="C891">
            <v>24.284272999999999</v>
          </cell>
          <cell r="D891">
            <v>0.111650485436893</v>
          </cell>
          <cell r="E891">
            <v>20.623398000000002</v>
          </cell>
          <cell r="F891">
            <v>0.101941747572815</v>
          </cell>
          <cell r="G891">
            <v>94.972020000000001</v>
          </cell>
          <cell r="H891">
            <v>0.48677884615384598</v>
          </cell>
          <cell r="I891">
            <v>91.540704000000005</v>
          </cell>
          <cell r="J891">
            <v>0.484375</v>
          </cell>
          <cell r="K891">
            <v>1008.235714</v>
          </cell>
          <cell r="L891">
            <v>1.9255702280912299</v>
          </cell>
          <cell r="M891">
            <v>201.95022</v>
          </cell>
          <cell r="N891">
            <v>1.30492196878751</v>
          </cell>
          <cell r="O891">
            <v>200.83443600000001</v>
          </cell>
          <cell r="P891">
            <v>1.87515605493133</v>
          </cell>
          <cell r="Q891">
            <v>200.83443600000001</v>
          </cell>
          <cell r="R891">
            <v>1.87515605493133</v>
          </cell>
          <cell r="S891">
            <v>49.060702999999997</v>
          </cell>
          <cell r="T891">
            <v>0.126708074534161</v>
          </cell>
          <cell r="U891">
            <v>43.734265000000001</v>
          </cell>
          <cell r="V891">
            <v>0.100621118012422</v>
          </cell>
        </row>
        <row r="892">
          <cell r="A892" t="str">
            <v>053803</v>
          </cell>
          <cell r="B892">
            <v>44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2.7857500000000002</v>
          </cell>
          <cell r="H892">
            <v>3.3333333333333298E-2</v>
          </cell>
          <cell r="I892">
            <v>2.7857500000000002</v>
          </cell>
          <cell r="J892">
            <v>3.3333333333333298E-2</v>
          </cell>
          <cell r="K892">
            <v>132.43466599999999</v>
          </cell>
          <cell r="L892">
            <v>0.4</v>
          </cell>
          <cell r="M892">
            <v>132.43466599999999</v>
          </cell>
          <cell r="N892">
            <v>0.4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70.821567999999999</v>
          </cell>
          <cell r="T892">
            <v>5.8823529411764698E-2</v>
          </cell>
          <cell r="U892">
            <v>70.821567999999999</v>
          </cell>
          <cell r="V892">
            <v>5.8823529411764698E-2</v>
          </cell>
        </row>
        <row r="893">
          <cell r="A893" t="str">
            <v>054001</v>
          </cell>
          <cell r="B893">
            <v>1822.333333</v>
          </cell>
          <cell r="C893">
            <v>95.823313999999996</v>
          </cell>
          <cell r="D893">
            <v>1.0577405857740501</v>
          </cell>
          <cell r="E893">
            <v>91.799015999999995</v>
          </cell>
          <cell r="F893">
            <v>1.0552301255230101</v>
          </cell>
          <cell r="G893">
            <v>613.53653499999996</v>
          </cell>
          <cell r="H893">
            <v>2.7541065206570399</v>
          </cell>
          <cell r="I893">
            <v>309.38187699999997</v>
          </cell>
          <cell r="J893">
            <v>1.9392732702837201</v>
          </cell>
          <cell r="K893">
            <v>334.56607600000001</v>
          </cell>
          <cell r="L893">
            <v>0.59571286141575197</v>
          </cell>
          <cell r="M893">
            <v>101.919873</v>
          </cell>
          <cell r="N893">
            <v>0.47058823529411697</v>
          </cell>
          <cell r="O893">
            <v>243.30253099999999</v>
          </cell>
          <cell r="P893">
            <v>0.87969924812029998</v>
          </cell>
          <cell r="Q893">
            <v>243.30253099999999</v>
          </cell>
          <cell r="R893">
            <v>0.87969924812029998</v>
          </cell>
          <cell r="S893">
            <v>773.24989000000005</v>
          </cell>
          <cell r="T893">
            <v>1.38534872052182</v>
          </cell>
          <cell r="U893">
            <v>161.77635000000001</v>
          </cell>
          <cell r="V893">
            <v>0.46964375313597501</v>
          </cell>
        </row>
        <row r="894">
          <cell r="A894" t="str">
            <v>054002</v>
          </cell>
          <cell r="B894">
            <v>1765.8</v>
          </cell>
          <cell r="C894">
            <v>131.49922900000001</v>
          </cell>
          <cell r="D894">
            <v>1.2442129629629599</v>
          </cell>
          <cell r="E894">
            <v>125.890057</v>
          </cell>
          <cell r="F894">
            <v>1.22511574074074</v>
          </cell>
          <cell r="G894">
            <v>40.741691000000003</v>
          </cell>
          <cell r="H894">
            <v>0.10603496897913101</v>
          </cell>
          <cell r="I894">
            <v>35.744273999999997</v>
          </cell>
          <cell r="J894">
            <v>0.100958826847151</v>
          </cell>
          <cell r="K894">
            <v>71.157014000000004</v>
          </cell>
          <cell r="L894">
            <v>0.15588069780528899</v>
          </cell>
          <cell r="M894">
            <v>39.331710000000001</v>
          </cell>
          <cell r="N894">
            <v>0.14124929656724799</v>
          </cell>
          <cell r="O894">
            <v>128.825839</v>
          </cell>
          <cell r="P894">
            <v>0.38885762521102901</v>
          </cell>
          <cell r="Q894">
            <v>125.07073699999999</v>
          </cell>
          <cell r="R894">
            <v>0.38379290939786098</v>
          </cell>
          <cell r="S894">
            <v>838.21074699999997</v>
          </cell>
          <cell r="T894">
            <v>1.1792559188275</v>
          </cell>
          <cell r="U894">
            <v>40.354546999999997</v>
          </cell>
          <cell r="V894">
            <v>0.180947012401352</v>
          </cell>
        </row>
        <row r="895">
          <cell r="A895" t="str">
            <v>054003</v>
          </cell>
          <cell r="B895">
            <v>1011</v>
          </cell>
          <cell r="C895">
            <v>638.40229799999997</v>
          </cell>
          <cell r="D895">
            <v>2.81107814045499</v>
          </cell>
          <cell r="E895">
            <v>308.311733</v>
          </cell>
          <cell r="F895">
            <v>2.1068249258160199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</row>
        <row r="896">
          <cell r="A896" t="str">
            <v>054101</v>
          </cell>
          <cell r="B896">
            <v>797</v>
          </cell>
          <cell r="C896">
            <v>17.200423000000001</v>
          </cell>
          <cell r="D896">
            <v>0.1275</v>
          </cell>
          <cell r="E896">
            <v>9.2204669999999993</v>
          </cell>
          <cell r="F896">
            <v>0.05</v>
          </cell>
          <cell r="G896">
            <v>246.90731299999999</v>
          </cell>
          <cell r="H896">
            <v>1.15230961298377</v>
          </cell>
          <cell r="I896">
            <v>179.36191299999999</v>
          </cell>
          <cell r="J896">
            <v>1.0711610486891301</v>
          </cell>
          <cell r="K896">
            <v>94.924811000000005</v>
          </cell>
          <cell r="L896">
            <v>0.31954887218045103</v>
          </cell>
          <cell r="M896">
            <v>48.824686</v>
          </cell>
          <cell r="N896">
            <v>0.27318295739348297</v>
          </cell>
          <cell r="O896">
            <v>20.337340999999999</v>
          </cell>
          <cell r="P896">
            <v>0.16498740554156099</v>
          </cell>
          <cell r="Q896">
            <v>1.2844869999999999</v>
          </cell>
          <cell r="R896">
            <v>1.25944584382871E-2</v>
          </cell>
          <cell r="S896">
            <v>1441.410247</v>
          </cell>
          <cell r="T896">
            <v>1.0239898989898899</v>
          </cell>
          <cell r="U896">
            <v>10.690593</v>
          </cell>
          <cell r="V896">
            <v>4.29292929292929E-2</v>
          </cell>
        </row>
        <row r="897">
          <cell r="A897" t="str">
            <v>054102</v>
          </cell>
          <cell r="B897">
            <v>1881.4</v>
          </cell>
          <cell r="C897">
            <v>217.09827899999999</v>
          </cell>
          <cell r="D897">
            <v>1.20246238030095</v>
          </cell>
          <cell r="E897">
            <v>116.69523700000001</v>
          </cell>
          <cell r="F897">
            <v>0.837209302325581</v>
          </cell>
          <cell r="G897">
            <v>944.69361400000003</v>
          </cell>
          <cell r="H897">
            <v>1.4204263758056499</v>
          </cell>
          <cell r="I897">
            <v>895.21933000000001</v>
          </cell>
          <cell r="J897">
            <v>1.3782845810609801</v>
          </cell>
          <cell r="K897">
            <v>2372.0270110000001</v>
          </cell>
          <cell r="L897">
            <v>2.9616724738675901</v>
          </cell>
          <cell r="M897">
            <v>441.32287200000002</v>
          </cell>
          <cell r="N897">
            <v>0.73320059731209497</v>
          </cell>
          <cell r="O897">
            <v>48.949147000000004</v>
          </cell>
          <cell r="P897">
            <v>0.26771255060728699</v>
          </cell>
          <cell r="Q897">
            <v>38.347014000000001</v>
          </cell>
          <cell r="R897">
            <v>0.23431174089068799</v>
          </cell>
          <cell r="S897">
            <v>180.609083</v>
          </cell>
          <cell r="T897">
            <v>0.86001029336078205</v>
          </cell>
          <cell r="U897">
            <v>167.156802</v>
          </cell>
          <cell r="V897">
            <v>0.83736489963973204</v>
          </cell>
        </row>
        <row r="898">
          <cell r="A898" t="str">
            <v>054201</v>
          </cell>
          <cell r="B898">
            <v>807.2</v>
          </cell>
          <cell r="C898">
            <v>1993.0165629999999</v>
          </cell>
          <cell r="D898">
            <v>3.4432098765432002</v>
          </cell>
          <cell r="E898">
            <v>1424.6884460000001</v>
          </cell>
          <cell r="F898">
            <v>3.2061728395061699</v>
          </cell>
          <cell r="G898">
            <v>2054.4899810000002</v>
          </cell>
          <cell r="H898">
            <v>1.95694956949569</v>
          </cell>
          <cell r="I898">
            <v>241.06517400000001</v>
          </cell>
          <cell r="J898">
            <v>0.88437884378843701</v>
          </cell>
          <cell r="K898">
            <v>1493.879418</v>
          </cell>
          <cell r="L898">
            <v>2.7577255871446198</v>
          </cell>
          <cell r="M898">
            <v>520.10541799999999</v>
          </cell>
          <cell r="N898">
            <v>2.2373300370828102</v>
          </cell>
          <cell r="O898">
            <v>960.03871500000002</v>
          </cell>
          <cell r="P898">
            <v>2.50498753117206</v>
          </cell>
          <cell r="Q898">
            <v>367.66481700000003</v>
          </cell>
          <cell r="R898">
            <v>1.8965087281795501</v>
          </cell>
          <cell r="S898">
            <v>175.33992000000001</v>
          </cell>
          <cell r="T898">
            <v>0.49251870324189501</v>
          </cell>
          <cell r="U898">
            <v>99.774251000000007</v>
          </cell>
          <cell r="V898">
            <v>0.47132169576059801</v>
          </cell>
        </row>
        <row r="899">
          <cell r="A899" t="str">
            <v>054202</v>
          </cell>
          <cell r="B899">
            <v>553</v>
          </cell>
          <cell r="C899">
            <v>1854.2354829999999</v>
          </cell>
          <cell r="D899">
            <v>2.0913978494623602</v>
          </cell>
          <cell r="E899">
            <v>1345.5428710000001</v>
          </cell>
          <cell r="F899">
            <v>1.46953405017921</v>
          </cell>
          <cell r="G899">
            <v>2157.0568739999999</v>
          </cell>
          <cell r="H899">
            <v>1.7938517179023501</v>
          </cell>
          <cell r="I899">
            <v>260.38028100000002</v>
          </cell>
          <cell r="J899">
            <v>0.67631103074140997</v>
          </cell>
          <cell r="K899">
            <v>370.61184800000001</v>
          </cell>
          <cell r="L899">
            <v>0.70197486535008902</v>
          </cell>
          <cell r="M899">
            <v>364.60451799999998</v>
          </cell>
          <cell r="N899">
            <v>0.69299820466786299</v>
          </cell>
          <cell r="O899">
            <v>391.36962</v>
          </cell>
          <cell r="P899">
            <v>1.35443037974683</v>
          </cell>
          <cell r="Q899">
            <v>208.76675700000001</v>
          </cell>
          <cell r="R899">
            <v>1.20253164556962</v>
          </cell>
          <cell r="S899">
            <v>294.79448400000001</v>
          </cell>
          <cell r="T899">
            <v>0.47058823529411697</v>
          </cell>
          <cell r="U899">
            <v>34.235232000000003</v>
          </cell>
          <cell r="V899">
            <v>0.25919117647058798</v>
          </cell>
        </row>
        <row r="900">
          <cell r="A900" t="str">
            <v>054301</v>
          </cell>
          <cell r="B900">
            <v>1787.6666660000001</v>
          </cell>
          <cell r="C900">
            <v>175.41549599999999</v>
          </cell>
          <cell r="D900">
            <v>0.77487765089722604</v>
          </cell>
          <cell r="E900">
            <v>175.41549599999999</v>
          </cell>
          <cell r="F900">
            <v>0.77487765089722604</v>
          </cell>
          <cell r="G900">
            <v>109.334653</v>
          </cell>
          <cell r="H900">
            <v>0.78488692774406998</v>
          </cell>
          <cell r="I900">
            <v>82.038274000000001</v>
          </cell>
          <cell r="J900">
            <v>0.64754550468836103</v>
          </cell>
          <cell r="K900">
            <v>947.811825</v>
          </cell>
          <cell r="L900">
            <v>1.4581939799331101</v>
          </cell>
          <cell r="M900">
            <v>101.12354999999999</v>
          </cell>
          <cell r="N900">
            <v>0.798773690078037</v>
          </cell>
          <cell r="O900">
            <v>325.864892</v>
          </cell>
          <cell r="P900">
            <v>1.1948198198198099</v>
          </cell>
          <cell r="Q900">
            <v>142.21093200000001</v>
          </cell>
          <cell r="R900">
            <v>0.90765765765765705</v>
          </cell>
          <cell r="S900">
            <v>284.12009999999998</v>
          </cell>
          <cell r="T900">
            <v>1.87715269804822</v>
          </cell>
          <cell r="U900">
            <v>257.65525200000002</v>
          </cell>
          <cell r="V900">
            <v>1.78645235361653</v>
          </cell>
        </row>
        <row r="901">
          <cell r="A901" t="str">
            <v>054302</v>
          </cell>
          <cell r="B901">
            <v>1038</v>
          </cell>
          <cell r="C901">
            <v>38.002471</v>
          </cell>
          <cell r="D901">
            <v>0.20168855534709099</v>
          </cell>
          <cell r="E901">
            <v>37.860819999999997</v>
          </cell>
          <cell r="F901">
            <v>0.200750469043151</v>
          </cell>
          <cell r="G901">
            <v>132.44216800000001</v>
          </cell>
          <cell r="H901">
            <v>0.66286799620132897</v>
          </cell>
          <cell r="I901">
            <v>123.16672800000001</v>
          </cell>
          <cell r="J901">
            <v>0.65242165242165195</v>
          </cell>
          <cell r="K901">
            <v>369.489397</v>
          </cell>
          <cell r="L901">
            <v>0.60714285714285698</v>
          </cell>
          <cell r="M901">
            <v>70.369947999999994</v>
          </cell>
          <cell r="N901">
            <v>0.42374517374517301</v>
          </cell>
          <cell r="O901">
            <v>165.94399300000001</v>
          </cell>
          <cell r="P901">
            <v>0.5029296875</v>
          </cell>
          <cell r="Q901">
            <v>34.315933999999999</v>
          </cell>
          <cell r="R901">
            <v>0.271484375</v>
          </cell>
          <cell r="S901">
            <v>260.966632</v>
          </cell>
          <cell r="T901">
            <v>1.8654797230464799</v>
          </cell>
          <cell r="U901">
            <v>214.81028599999999</v>
          </cell>
          <cell r="V901">
            <v>1.7903066271018699</v>
          </cell>
        </row>
        <row r="902">
          <cell r="A902" t="str">
            <v>054401</v>
          </cell>
          <cell r="B902">
            <v>1475</v>
          </cell>
          <cell r="C902">
            <v>13.964354</v>
          </cell>
          <cell r="D902">
            <v>0.14807566862361299</v>
          </cell>
          <cell r="E902">
            <v>13.942079</v>
          </cell>
          <cell r="F902">
            <v>0.14742335290280401</v>
          </cell>
          <cell r="G902">
            <v>84.724958000000001</v>
          </cell>
          <cell r="H902">
            <v>0.70807875084860805</v>
          </cell>
          <cell r="I902">
            <v>64.767250000000004</v>
          </cell>
          <cell r="J902">
            <v>0.66938221317040003</v>
          </cell>
          <cell r="K902">
            <v>532.88820399999997</v>
          </cell>
          <cell r="L902">
            <v>1.0856560163154301</v>
          </cell>
          <cell r="M902">
            <v>60.117946000000003</v>
          </cell>
          <cell r="N902">
            <v>0.89666893269884396</v>
          </cell>
          <cell r="O902">
            <v>29.899487000000001</v>
          </cell>
          <cell r="P902">
            <v>0.159945317840054</v>
          </cell>
          <cell r="Q902">
            <v>10.041319</v>
          </cell>
          <cell r="R902">
            <v>4.1011619958988298E-2</v>
          </cell>
          <cell r="S902">
            <v>454.05873300000002</v>
          </cell>
          <cell r="T902">
            <v>2.3407665505226398</v>
          </cell>
          <cell r="U902">
            <v>241.28055699999999</v>
          </cell>
          <cell r="V902">
            <v>1.9519163763066201</v>
          </cell>
        </row>
        <row r="903">
          <cell r="A903" t="str">
            <v>054402</v>
          </cell>
          <cell r="B903">
            <v>903.66666599999996</v>
          </cell>
          <cell r="C903">
            <v>86.474050000000005</v>
          </cell>
          <cell r="D903">
            <v>0.41607565011820302</v>
          </cell>
          <cell r="E903">
            <v>54.868538000000001</v>
          </cell>
          <cell r="F903">
            <v>0.380614657210401</v>
          </cell>
          <cell r="G903">
            <v>163.05811299999999</v>
          </cell>
          <cell r="H903">
            <v>1.1045891141942299</v>
          </cell>
          <cell r="I903">
            <v>163.05811299999999</v>
          </cell>
          <cell r="J903">
            <v>1.1045891141942299</v>
          </cell>
          <cell r="K903">
            <v>420.597218</v>
          </cell>
          <cell r="L903">
            <v>0.39358288770053401</v>
          </cell>
          <cell r="M903">
            <v>23.577183000000002</v>
          </cell>
          <cell r="N903">
            <v>0.234224598930481</v>
          </cell>
          <cell r="O903">
            <v>8.0625040000000006</v>
          </cell>
          <cell r="P903">
            <v>9.8606645230439396E-2</v>
          </cell>
          <cell r="Q903">
            <v>7.9642369999999998</v>
          </cell>
          <cell r="R903">
            <v>9.7534833869239002E-2</v>
          </cell>
          <cell r="S903">
            <v>118.757088</v>
          </cell>
          <cell r="T903">
            <v>0.14366515837103999</v>
          </cell>
          <cell r="U903">
            <v>2.347982</v>
          </cell>
          <cell r="V903">
            <v>6.7873303167420795E-2</v>
          </cell>
        </row>
        <row r="904">
          <cell r="A904" t="str">
            <v>054403</v>
          </cell>
          <cell r="B904">
            <v>1870.6</v>
          </cell>
          <cell r="C904">
            <v>45.046722000000003</v>
          </cell>
          <cell r="D904">
            <v>0.290870488322717</v>
          </cell>
          <cell r="E904">
            <v>34.243935999999998</v>
          </cell>
          <cell r="F904">
            <v>0.27335456475583803</v>
          </cell>
          <cell r="G904">
            <v>1303.3033479999999</v>
          </cell>
          <cell r="H904">
            <v>2.1265957446808499</v>
          </cell>
          <cell r="I904">
            <v>266.16408000000001</v>
          </cell>
          <cell r="J904">
            <v>1.0148936170212699</v>
          </cell>
          <cell r="K904">
            <v>1091.0781199999999</v>
          </cell>
          <cell r="L904">
            <v>3.2760638297872302</v>
          </cell>
          <cell r="M904">
            <v>611.86860799999999</v>
          </cell>
          <cell r="N904">
            <v>2.1835106382978702</v>
          </cell>
          <cell r="O904">
            <v>475.62611099999998</v>
          </cell>
          <cell r="P904">
            <v>1.83217158176943</v>
          </cell>
          <cell r="Q904">
            <v>424.12056200000001</v>
          </cell>
          <cell r="R904">
            <v>1.6091152815013401</v>
          </cell>
          <cell r="S904">
            <v>1370.0311449999999</v>
          </cell>
          <cell r="T904">
            <v>2.1409978308026001</v>
          </cell>
          <cell r="U904">
            <v>128.945426</v>
          </cell>
          <cell r="V904">
            <v>0.84707158351409895</v>
          </cell>
        </row>
        <row r="905">
          <cell r="A905" t="str">
            <v>054404</v>
          </cell>
          <cell r="B905">
            <v>1513.6</v>
          </cell>
          <cell r="C905">
            <v>105.935143</v>
          </cell>
          <cell r="D905">
            <v>0.42527261064785099</v>
          </cell>
          <cell r="E905">
            <v>105.820403</v>
          </cell>
          <cell r="F905">
            <v>0.42334830019243103</v>
          </cell>
          <cell r="G905">
            <v>98.403581000000003</v>
          </cell>
          <cell r="H905">
            <v>0.38048461034708497</v>
          </cell>
          <cell r="I905">
            <v>93.899393000000003</v>
          </cell>
          <cell r="J905">
            <v>0.33202357563850599</v>
          </cell>
          <cell r="K905">
            <v>1374.280393</v>
          </cell>
          <cell r="L905">
            <v>3.5065789473684199</v>
          </cell>
          <cell r="M905">
            <v>754.132565</v>
          </cell>
          <cell r="N905">
            <v>2.9322368421052598</v>
          </cell>
          <cell r="O905">
            <v>140.935564</v>
          </cell>
          <cell r="P905">
            <v>0.846050870147255</v>
          </cell>
          <cell r="Q905">
            <v>120.71736900000001</v>
          </cell>
          <cell r="R905">
            <v>0.77710843373493899</v>
          </cell>
          <cell r="S905">
            <v>511.26807300000002</v>
          </cell>
          <cell r="T905">
            <v>1.94073569482288</v>
          </cell>
          <cell r="U905">
            <v>391.39349399999998</v>
          </cell>
          <cell r="V905">
            <v>1.68392370572207</v>
          </cell>
        </row>
        <row r="906">
          <cell r="A906" t="str">
            <v>054601</v>
          </cell>
          <cell r="B906">
            <v>1059.4000000000001</v>
          </cell>
          <cell r="C906">
            <v>364.18639300000001</v>
          </cell>
          <cell r="D906">
            <v>2.5166051660516602</v>
          </cell>
          <cell r="E906">
            <v>363.90382499999998</v>
          </cell>
          <cell r="F906">
            <v>2.51476014760147</v>
          </cell>
          <cell r="G906">
            <v>121.53622</v>
          </cell>
          <cell r="H906">
            <v>0.309925093632958</v>
          </cell>
          <cell r="I906">
            <v>120.415391</v>
          </cell>
          <cell r="J906">
            <v>0.30805243445692798</v>
          </cell>
          <cell r="K906">
            <v>2800.4153980000001</v>
          </cell>
          <cell r="L906">
            <v>1.8553990610328599</v>
          </cell>
          <cell r="M906">
            <v>968.73629100000005</v>
          </cell>
          <cell r="N906">
            <v>1.32206572769953</v>
          </cell>
          <cell r="O906">
            <v>720.32128599999999</v>
          </cell>
          <cell r="P906">
            <v>1.0946073793755899</v>
          </cell>
          <cell r="Q906">
            <v>36.914915999999998</v>
          </cell>
          <cell r="R906">
            <v>0.19867549668874099</v>
          </cell>
          <cell r="S906">
            <v>269.650308</v>
          </cell>
          <cell r="T906">
            <v>0.83968719452590401</v>
          </cell>
          <cell r="U906">
            <v>245.225594</v>
          </cell>
          <cell r="V906">
            <v>0.81427174975562</v>
          </cell>
        </row>
        <row r="907">
          <cell r="A907" t="str">
            <v>054602</v>
          </cell>
          <cell r="B907">
            <v>1298.5555549999999</v>
          </cell>
          <cell r="C907">
            <v>429.32090499999998</v>
          </cell>
          <cell r="D907">
            <v>2.5236309077269299</v>
          </cell>
          <cell r="E907">
            <v>429.32090499999998</v>
          </cell>
          <cell r="F907">
            <v>2.5236309077269299</v>
          </cell>
          <cell r="G907">
            <v>582.60465399999998</v>
          </cell>
          <cell r="H907">
            <v>2.2059046177138502</v>
          </cell>
          <cell r="I907">
            <v>401.24776100000003</v>
          </cell>
          <cell r="J907">
            <v>1.6351249053747099</v>
          </cell>
          <cell r="K907">
            <v>3476.3605539999999</v>
          </cell>
          <cell r="L907">
            <v>2.98777692895339</v>
          </cell>
          <cell r="M907">
            <v>290.801222</v>
          </cell>
          <cell r="N907">
            <v>1.2146676852559199</v>
          </cell>
          <cell r="O907">
            <v>495.339697</v>
          </cell>
          <cell r="P907">
            <v>2.1037955073586301</v>
          </cell>
          <cell r="Q907">
            <v>113.75490499999999</v>
          </cell>
          <cell r="R907">
            <v>0.46553059643687</v>
          </cell>
          <cell r="S907">
            <v>1731.5408829999999</v>
          </cell>
          <cell r="T907">
            <v>4.52229299363057</v>
          </cell>
          <cell r="U907">
            <v>1484.0775739999999</v>
          </cell>
          <cell r="V907">
            <v>4.3033439490445797</v>
          </cell>
        </row>
        <row r="908">
          <cell r="A908" t="str">
            <v>054801</v>
          </cell>
          <cell r="B908">
            <v>2555</v>
          </cell>
          <cell r="C908">
            <v>87.925839999999994</v>
          </cell>
          <cell r="D908">
            <v>0.298692360633172</v>
          </cell>
          <cell r="E908">
            <v>55.823419999999999</v>
          </cell>
          <cell r="F908">
            <v>0.19614590502408799</v>
          </cell>
          <cell r="G908">
            <v>434.41702600000002</v>
          </cell>
          <cell r="H908">
            <v>3.8802065404474999</v>
          </cell>
          <cell r="I908">
            <v>399.82670200000001</v>
          </cell>
          <cell r="J908">
            <v>3.82788296041308</v>
          </cell>
          <cell r="K908">
            <v>76.565528999999998</v>
          </cell>
          <cell r="L908">
            <v>0.257920110192837</v>
          </cell>
          <cell r="M908">
            <v>34.744444000000001</v>
          </cell>
          <cell r="N908">
            <v>0.21212121212121199</v>
          </cell>
          <cell r="O908">
            <v>47.518856999999997</v>
          </cell>
          <cell r="P908">
            <v>0.60144927536231796</v>
          </cell>
          <cell r="Q908">
            <v>46.616056999999998</v>
          </cell>
          <cell r="R908">
            <v>0.59247757073843998</v>
          </cell>
          <cell r="S908">
            <v>275.80032899999998</v>
          </cell>
          <cell r="T908">
            <v>0.46471600688468101</v>
          </cell>
          <cell r="U908">
            <v>14.989644</v>
          </cell>
          <cell r="V908">
            <v>0.17555938037865701</v>
          </cell>
        </row>
        <row r="909">
          <cell r="A909" t="str">
            <v>054802</v>
          </cell>
          <cell r="B909">
            <v>1921</v>
          </cell>
          <cell r="C909">
            <v>297.42408899999998</v>
          </cell>
          <cell r="D909">
            <v>1.7424557752341301</v>
          </cell>
          <cell r="E909">
            <v>79.928263000000001</v>
          </cell>
          <cell r="F909">
            <v>1.57440166493236</v>
          </cell>
          <cell r="G909">
            <v>835.24831500000005</v>
          </cell>
          <cell r="H909">
            <v>6.5531363400725704</v>
          </cell>
          <cell r="I909">
            <v>93.569027000000006</v>
          </cell>
          <cell r="J909">
            <v>1.10575427682737</v>
          </cell>
          <cell r="K909">
            <v>175.744325</v>
          </cell>
          <cell r="L909">
            <v>0.793980280228334</v>
          </cell>
          <cell r="M909">
            <v>110.87780600000001</v>
          </cell>
          <cell r="N909">
            <v>0.69590036325895099</v>
          </cell>
          <cell r="O909">
            <v>47.041010999999997</v>
          </cell>
          <cell r="P909">
            <v>0.17490890161374201</v>
          </cell>
          <cell r="Q909">
            <v>39.314714000000002</v>
          </cell>
          <cell r="R909">
            <v>0.14731910463300299</v>
          </cell>
          <cell r="S909">
            <v>901.67078400000003</v>
          </cell>
          <cell r="T909">
            <v>0.56453305351521499</v>
          </cell>
          <cell r="U909">
            <v>36.580061999999998</v>
          </cell>
          <cell r="V909">
            <v>0.147953830010493</v>
          </cell>
        </row>
        <row r="910">
          <cell r="A910" t="str">
            <v>054804</v>
          </cell>
          <cell r="B910">
            <v>551</v>
          </cell>
          <cell r="C910">
            <v>75.388831999999994</v>
          </cell>
          <cell r="D910">
            <v>0.98727272727272697</v>
          </cell>
          <cell r="E910">
            <v>75.317212999999995</v>
          </cell>
          <cell r="F910">
            <v>0.98545454545454503</v>
          </cell>
          <cell r="G910">
            <v>1964.8346469999999</v>
          </cell>
          <cell r="H910">
            <v>2.8378378378378302</v>
          </cell>
          <cell r="I910">
            <v>774.96845399999995</v>
          </cell>
          <cell r="J910">
            <v>1.92252252252252</v>
          </cell>
          <cell r="K910">
            <v>236.29394400000001</v>
          </cell>
          <cell r="L910">
            <v>2.91187050359712</v>
          </cell>
          <cell r="M910">
            <v>231.529256</v>
          </cell>
          <cell r="N910">
            <v>2.9082733812949599</v>
          </cell>
          <cell r="O910">
            <v>269.82518099999999</v>
          </cell>
          <cell r="P910">
            <v>3.1159420289855002</v>
          </cell>
          <cell r="Q910">
            <v>269.82518099999999</v>
          </cell>
          <cell r="R910">
            <v>3.1159420289855002</v>
          </cell>
          <cell r="S910">
            <v>19.616042</v>
          </cell>
          <cell r="T910">
            <v>4.8689138576778999E-2</v>
          </cell>
          <cell r="U910">
            <v>19.616042</v>
          </cell>
          <cell r="V910">
            <v>4.8689138576778999E-2</v>
          </cell>
        </row>
        <row r="911">
          <cell r="A911" t="str">
            <v>054901</v>
          </cell>
          <cell r="B911">
            <v>1567.875</v>
          </cell>
          <cell r="C911">
            <v>7.646522</v>
          </cell>
          <cell r="D911">
            <v>8.0357142857142794E-2</v>
          </cell>
          <cell r="E911">
            <v>7.646522</v>
          </cell>
          <cell r="F911">
            <v>8.0357142857142794E-2</v>
          </cell>
          <cell r="G911">
            <v>527.69732099999999</v>
          </cell>
          <cell r="H911">
            <v>0.93252705283258996</v>
          </cell>
          <cell r="I911">
            <v>95.091740000000001</v>
          </cell>
          <cell r="J911">
            <v>0.36791852323360902</v>
          </cell>
          <cell r="K911">
            <v>86.606645</v>
          </cell>
          <cell r="L911">
            <v>0.49617834394904398</v>
          </cell>
          <cell r="M911">
            <v>83.916517999999996</v>
          </cell>
          <cell r="N911">
            <v>0.49426751592356599</v>
          </cell>
          <cell r="O911">
            <v>162.32907299999999</v>
          </cell>
          <cell r="P911">
            <v>0.74504792332268299</v>
          </cell>
          <cell r="Q911">
            <v>76.124121000000002</v>
          </cell>
          <cell r="R911">
            <v>0.72715654952076603</v>
          </cell>
          <cell r="S911">
            <v>10.167519</v>
          </cell>
          <cell r="T911">
            <v>0.136916186820217</v>
          </cell>
          <cell r="U911">
            <v>10.167519</v>
          </cell>
          <cell r="V911">
            <v>0.136916186820217</v>
          </cell>
        </row>
        <row r="912">
          <cell r="A912" t="str">
            <v>055101</v>
          </cell>
          <cell r="B912">
            <v>1337.8</v>
          </cell>
          <cell r="C912">
            <v>82.978561999999997</v>
          </cell>
          <cell r="D912">
            <v>0.243283582089552</v>
          </cell>
          <cell r="E912">
            <v>56.919913999999999</v>
          </cell>
          <cell r="F912">
            <v>0.164179104477611</v>
          </cell>
          <cell r="G912">
            <v>39.960520000000002</v>
          </cell>
          <cell r="H912">
            <v>5.2277819268110502E-2</v>
          </cell>
          <cell r="I912">
            <v>2.7003240000000002</v>
          </cell>
          <cell r="J912">
            <v>2.2404779686333001E-2</v>
          </cell>
          <cell r="K912">
            <v>2322.2924750000002</v>
          </cell>
          <cell r="L912">
            <v>2.8871449925261499</v>
          </cell>
          <cell r="M912">
            <v>530.56590600000004</v>
          </cell>
          <cell r="N912">
            <v>1.1330343796711499</v>
          </cell>
          <cell r="O912">
            <v>677.44800399999997</v>
          </cell>
          <cell r="P912">
            <v>1.2946896035901201</v>
          </cell>
          <cell r="Q912">
            <v>73.429755</v>
          </cell>
          <cell r="R912">
            <v>0.26402393418100201</v>
          </cell>
          <cell r="S912">
            <v>21.101547</v>
          </cell>
          <cell r="T912">
            <v>0.164794007490636</v>
          </cell>
          <cell r="U912">
            <v>19.361335</v>
          </cell>
          <cell r="V912">
            <v>0.15805243445692799</v>
          </cell>
        </row>
        <row r="913">
          <cell r="A913" t="str">
            <v>055102</v>
          </cell>
          <cell r="B913">
            <v>879.375</v>
          </cell>
          <cell r="C913">
            <v>4.2586399999999998</v>
          </cell>
          <cell r="D913">
            <v>2.7932960893854698E-2</v>
          </cell>
          <cell r="E913">
            <v>4.2586399999999998</v>
          </cell>
          <cell r="F913">
            <v>2.7932960893854698E-2</v>
          </cell>
          <cell r="G913">
            <v>2649.8200630000001</v>
          </cell>
          <cell r="H913">
            <v>2.3441340782122899</v>
          </cell>
          <cell r="I913">
            <v>30.414189</v>
          </cell>
          <cell r="J913">
            <v>8.4916201117318402E-2</v>
          </cell>
          <cell r="K913">
            <v>113.865403</v>
          </cell>
          <cell r="L913">
            <v>0.41628959276018002</v>
          </cell>
          <cell r="M913">
            <v>113.865403</v>
          </cell>
          <cell r="N913">
            <v>0.41628959276018002</v>
          </cell>
          <cell r="O913">
            <v>21.692883999999999</v>
          </cell>
          <cell r="P913">
            <v>0.11368909512761</v>
          </cell>
          <cell r="Q913">
            <v>13.971344999999999</v>
          </cell>
          <cell r="R913">
            <v>0.111368909512761</v>
          </cell>
          <cell r="S913">
            <v>2.994564</v>
          </cell>
          <cell r="T913">
            <v>6.8886337543053898E-3</v>
          </cell>
          <cell r="U913">
            <v>1.0193829999999999</v>
          </cell>
          <cell r="V913">
            <v>5.7405281285878296E-3</v>
          </cell>
        </row>
        <row r="914">
          <cell r="A914" t="str">
            <v>055103</v>
          </cell>
          <cell r="B914">
            <v>1578</v>
          </cell>
          <cell r="C914">
            <v>199.02581499999999</v>
          </cell>
          <cell r="D914">
            <v>0.32124999999999998</v>
          </cell>
          <cell r="E914">
            <v>42.828918000000002</v>
          </cell>
          <cell r="F914">
            <v>0.19875000000000001</v>
          </cell>
          <cell r="G914">
            <v>277.46678800000001</v>
          </cell>
          <cell r="H914">
            <v>1.14447236180904</v>
          </cell>
          <cell r="I914">
            <v>144.062994</v>
          </cell>
          <cell r="J914">
            <v>1.03266331658291</v>
          </cell>
          <cell r="K914">
            <v>1624.7155009999999</v>
          </cell>
          <cell r="L914">
            <v>1.6236626809314001</v>
          </cell>
          <cell r="M914">
            <v>23.392374</v>
          </cell>
          <cell r="N914">
            <v>0.143486469477658</v>
          </cell>
          <cell r="O914">
            <v>175.79296199999999</v>
          </cell>
          <cell r="P914">
            <v>0.91066838046272403</v>
          </cell>
          <cell r="Q914">
            <v>174.212907</v>
          </cell>
          <cell r="R914">
            <v>0.89910025706940799</v>
          </cell>
          <cell r="S914">
            <v>27.114048</v>
          </cell>
          <cell r="T914">
            <v>5.3010471204188399E-2</v>
          </cell>
          <cell r="U914">
            <v>27.114048</v>
          </cell>
          <cell r="V914">
            <v>5.3010471204188399E-2</v>
          </cell>
        </row>
        <row r="915">
          <cell r="A915" t="str">
            <v>055104</v>
          </cell>
          <cell r="B915">
            <v>1557.2222220000001</v>
          </cell>
          <cell r="C915">
            <v>142.85761099999999</v>
          </cell>
          <cell r="D915">
            <v>0.50283553875236198</v>
          </cell>
          <cell r="E915">
            <v>142.85761099999999</v>
          </cell>
          <cell r="F915">
            <v>0.50283553875236198</v>
          </cell>
          <cell r="G915">
            <v>319.20217700000001</v>
          </cell>
          <cell r="H915">
            <v>0.36040609137055801</v>
          </cell>
          <cell r="I915">
            <v>29.429418999999999</v>
          </cell>
          <cell r="J915">
            <v>0.13642131979695399</v>
          </cell>
          <cell r="K915">
            <v>117.19567000000001</v>
          </cell>
          <cell r="L915">
            <v>0.179323548181238</v>
          </cell>
          <cell r="M915">
            <v>27.175291999999999</v>
          </cell>
          <cell r="N915">
            <v>0.14358647096362401</v>
          </cell>
          <cell r="O915">
            <v>71.335071999999997</v>
          </cell>
          <cell r="P915">
            <v>0.17120622568093299</v>
          </cell>
          <cell r="Q915">
            <v>61.872307999999997</v>
          </cell>
          <cell r="R915">
            <v>0.164072632944228</v>
          </cell>
          <cell r="S915">
            <v>19.14021</v>
          </cell>
          <cell r="T915">
            <v>0.22825376062786101</v>
          </cell>
          <cell r="U915">
            <v>17.788674</v>
          </cell>
          <cell r="V915">
            <v>0.226945716154349</v>
          </cell>
        </row>
        <row r="916">
          <cell r="A916" t="str">
            <v>055701</v>
          </cell>
          <cell r="B916">
            <v>728.88888799999995</v>
          </cell>
          <cell r="C916">
            <v>14.986019000000001</v>
          </cell>
          <cell r="D916">
            <v>0.149484536082474</v>
          </cell>
          <cell r="E916">
            <v>14.986019000000001</v>
          </cell>
          <cell r="F916">
            <v>0.149484536082474</v>
          </cell>
          <cell r="G916">
            <v>135.40314699999999</v>
          </cell>
          <cell r="H916">
            <v>1.0973574408901201</v>
          </cell>
          <cell r="I916">
            <v>135.220551</v>
          </cell>
          <cell r="J916">
            <v>1.0959666203059799</v>
          </cell>
          <cell r="K916">
            <v>401.39282400000002</v>
          </cell>
          <cell r="L916">
            <v>1.1012145748987801</v>
          </cell>
          <cell r="M916">
            <v>369.75506000000001</v>
          </cell>
          <cell r="N916">
            <v>0.94197031039136303</v>
          </cell>
          <cell r="O916">
            <v>38.468465999999999</v>
          </cell>
          <cell r="P916">
            <v>0.350415512465373</v>
          </cell>
          <cell r="Q916">
            <v>38.271028999999999</v>
          </cell>
          <cell r="R916">
            <v>0.34764542936288001</v>
          </cell>
          <cell r="S916">
            <v>1114.1432380000001</v>
          </cell>
          <cell r="T916">
            <v>1.3436619718309799</v>
          </cell>
          <cell r="U916">
            <v>131.19671299999999</v>
          </cell>
          <cell r="V916">
            <v>0.67042253521126705</v>
          </cell>
        </row>
        <row r="917">
          <cell r="A917" t="str">
            <v>055702</v>
          </cell>
          <cell r="B917">
            <v>625.20000000000005</v>
          </cell>
          <cell r="C917">
            <v>183.636887</v>
          </cell>
          <cell r="D917">
            <v>1.47068145800316</v>
          </cell>
          <cell r="E917">
            <v>177.46275499999999</v>
          </cell>
          <cell r="F917">
            <v>1.4104595879556201</v>
          </cell>
          <cell r="G917">
            <v>1925.830371</v>
          </cell>
          <cell r="H917">
            <v>4.71132376395534</v>
          </cell>
          <cell r="I917">
            <v>686.19658000000004</v>
          </cell>
          <cell r="J917">
            <v>4.0159489633173804</v>
          </cell>
          <cell r="K917">
            <v>2213.9308369999999</v>
          </cell>
          <cell r="L917">
            <v>1.75955414012738</v>
          </cell>
          <cell r="M917">
            <v>559.89575300000001</v>
          </cell>
          <cell r="N917">
            <v>1.05891719745222</v>
          </cell>
          <cell r="O917">
            <v>280.20510200000001</v>
          </cell>
          <cell r="P917">
            <v>1.59968102073365</v>
          </cell>
          <cell r="Q917">
            <v>194.50908999999999</v>
          </cell>
          <cell r="R917">
            <v>1.5007974481658599</v>
          </cell>
          <cell r="S917">
            <v>251.633251</v>
          </cell>
          <cell r="T917">
            <v>0.78955954323001598</v>
          </cell>
          <cell r="U917">
            <v>63.470118999999997</v>
          </cell>
          <cell r="V917">
            <v>0.67862969004893903</v>
          </cell>
        </row>
        <row r="918">
          <cell r="A918" t="str">
            <v>055801</v>
          </cell>
          <cell r="B918">
            <v>986.66666599999996</v>
          </cell>
          <cell r="C918">
            <v>10.029699000000001</v>
          </cell>
          <cell r="D918">
            <v>6.2248995983935698E-2</v>
          </cell>
          <cell r="E918">
            <v>10.029699000000001</v>
          </cell>
          <cell r="F918">
            <v>6.2248995983935698E-2</v>
          </cell>
          <cell r="G918">
            <v>1518.676426</v>
          </cell>
          <cell r="H918">
            <v>3.26821862348178</v>
          </cell>
          <cell r="I918">
            <v>1510.1881069999999</v>
          </cell>
          <cell r="J918">
            <v>3.1811740890688198</v>
          </cell>
          <cell r="K918">
            <v>2688.6797320000001</v>
          </cell>
          <cell r="L918">
            <v>5.8985801217038496</v>
          </cell>
          <cell r="M918">
            <v>329.64200399999999</v>
          </cell>
          <cell r="N918">
            <v>2.8133874239350898</v>
          </cell>
          <cell r="O918">
            <v>863.11470499999996</v>
          </cell>
          <cell r="P918">
            <v>2.0953346855983699</v>
          </cell>
          <cell r="Q918">
            <v>597.87506699999994</v>
          </cell>
          <cell r="R918">
            <v>1.8225152129817399</v>
          </cell>
          <cell r="S918">
            <v>236.095077</v>
          </cell>
          <cell r="T918">
            <v>0.71792260692464305</v>
          </cell>
          <cell r="U918">
            <v>164.07140100000001</v>
          </cell>
          <cell r="V918">
            <v>0.60081466395112004</v>
          </cell>
        </row>
        <row r="919">
          <cell r="A919" t="str">
            <v>055802</v>
          </cell>
          <cell r="B919">
            <v>92.142857000000006</v>
          </cell>
          <cell r="C919">
            <v>176.83153100000001</v>
          </cell>
          <cell r="D919">
            <v>0.30851063829787201</v>
          </cell>
          <cell r="E919">
            <v>176.83153100000001</v>
          </cell>
          <cell r="F919">
            <v>0.30851063829787201</v>
          </cell>
          <cell r="G919">
            <v>813.78278</v>
          </cell>
          <cell r="H919">
            <v>2.0744680851063801</v>
          </cell>
          <cell r="I919">
            <v>774.95088299999998</v>
          </cell>
          <cell r="J919">
            <v>2.0319148936170199</v>
          </cell>
          <cell r="K919">
            <v>1463.4822569999999</v>
          </cell>
          <cell r="L919">
            <v>5.6451612903225801</v>
          </cell>
          <cell r="M919">
            <v>328.47688099999999</v>
          </cell>
          <cell r="N919">
            <v>2.8924731182795602</v>
          </cell>
          <cell r="O919">
            <v>28.622284000000001</v>
          </cell>
          <cell r="P919">
            <v>0.31460674157303298</v>
          </cell>
          <cell r="Q919">
            <v>28.622284000000001</v>
          </cell>
          <cell r="R919">
            <v>0.31460674157303298</v>
          </cell>
          <cell r="S919">
            <v>221.46553</v>
          </cell>
          <cell r="T919">
            <v>1.0795454545454499</v>
          </cell>
          <cell r="U919">
            <v>221.46553</v>
          </cell>
          <cell r="V919">
            <v>1.0795454545454499</v>
          </cell>
        </row>
        <row r="920">
          <cell r="A920" t="str">
            <v>056301</v>
          </cell>
          <cell r="B920">
            <v>588.22222199999999</v>
          </cell>
          <cell r="C920">
            <v>374.25403799999998</v>
          </cell>
          <cell r="D920">
            <v>1.6879194630872401</v>
          </cell>
          <cell r="E920">
            <v>276.65928100000002</v>
          </cell>
          <cell r="F920">
            <v>1.6224832214765099</v>
          </cell>
          <cell r="G920">
            <v>660.82045900000003</v>
          </cell>
          <cell r="H920">
            <v>1.1983050847457599</v>
          </cell>
          <cell r="I920">
            <v>179.12737300000001</v>
          </cell>
          <cell r="J920">
            <v>0.88983050847457601</v>
          </cell>
          <cell r="K920">
            <v>310.53146500000003</v>
          </cell>
          <cell r="L920">
            <v>1.73174872665534</v>
          </cell>
          <cell r="M920">
            <v>223.60014100000001</v>
          </cell>
          <cell r="N920">
            <v>1.68251273344651</v>
          </cell>
          <cell r="O920">
            <v>191.666695</v>
          </cell>
          <cell r="P920">
            <v>0.59417808219178003</v>
          </cell>
          <cell r="Q920">
            <v>191.666695</v>
          </cell>
          <cell r="R920">
            <v>0.59417808219178003</v>
          </cell>
          <cell r="S920">
            <v>1680.3652870000001</v>
          </cell>
          <cell r="T920">
            <v>4.3827586206896498</v>
          </cell>
          <cell r="U920">
            <v>1212.4220399999999</v>
          </cell>
          <cell r="V920">
            <v>3.44655172413793</v>
          </cell>
        </row>
        <row r="921">
          <cell r="A921" t="str">
            <v>056302</v>
          </cell>
          <cell r="B921">
            <v>562.6</v>
          </cell>
          <cell r="C921">
            <v>188.447361</v>
          </cell>
          <cell r="D921">
            <v>1.1362831858407001</v>
          </cell>
          <cell r="E921">
            <v>134.51419899999999</v>
          </cell>
          <cell r="F921">
            <v>1.0088495575221199</v>
          </cell>
          <cell r="G921">
            <v>140.90180899999999</v>
          </cell>
          <cell r="H921">
            <v>0.69964664310953995</v>
          </cell>
          <cell r="I921">
            <v>100.157809</v>
          </cell>
          <cell r="J921">
            <v>0.66254416961130702</v>
          </cell>
          <cell r="K921">
            <v>2987.3478420000001</v>
          </cell>
          <cell r="L921">
            <v>2.9663120567375798</v>
          </cell>
          <cell r="M921">
            <v>148.985904</v>
          </cell>
          <cell r="N921">
            <v>1.5053191489361699</v>
          </cell>
          <cell r="O921">
            <v>1161.433004</v>
          </cell>
          <cell r="P921">
            <v>3.9659498207885302</v>
          </cell>
          <cell r="Q921">
            <v>797.092443</v>
          </cell>
          <cell r="R921">
            <v>2.43010752688172</v>
          </cell>
          <cell r="S921">
            <v>3518.758124</v>
          </cell>
          <cell r="T921">
            <v>4.7857142857142803</v>
          </cell>
          <cell r="U921">
            <v>1235.85247</v>
          </cell>
          <cell r="V921">
            <v>3.15</v>
          </cell>
        </row>
        <row r="922">
          <cell r="A922" t="str">
            <v>056501</v>
          </cell>
          <cell r="B922">
            <v>1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160</v>
          </cell>
          <cell r="P922">
            <v>1</v>
          </cell>
          <cell r="Q922">
            <v>160</v>
          </cell>
          <cell r="R922">
            <v>1</v>
          </cell>
          <cell r="S922">
            <v>29.45</v>
          </cell>
          <cell r="T922">
            <v>1</v>
          </cell>
          <cell r="U922">
            <v>0</v>
          </cell>
          <cell r="V922">
            <v>0</v>
          </cell>
        </row>
        <row r="923">
          <cell r="A923" t="str">
            <v>056601</v>
          </cell>
          <cell r="B923">
            <v>1484.2</v>
          </cell>
          <cell r="C923">
            <v>61.869143000000001</v>
          </cell>
          <cell r="D923">
            <v>0.38009352037408101</v>
          </cell>
          <cell r="E923">
            <v>61.341479999999997</v>
          </cell>
          <cell r="F923">
            <v>0.37675350701402799</v>
          </cell>
          <cell r="G923">
            <v>268.609103</v>
          </cell>
          <cell r="H923">
            <v>0.83055370246831195</v>
          </cell>
          <cell r="I923">
            <v>107.000293</v>
          </cell>
          <cell r="J923">
            <v>0.65110073382254796</v>
          </cell>
          <cell r="K923">
            <v>1759.095415</v>
          </cell>
          <cell r="L923">
            <v>2.8384512683578098</v>
          </cell>
          <cell r="M923">
            <v>650.90470600000003</v>
          </cell>
          <cell r="N923">
            <v>1.9025367156208199</v>
          </cell>
          <cell r="O923">
            <v>1130.5484550000001</v>
          </cell>
          <cell r="P923">
            <v>3.4638269100743702</v>
          </cell>
          <cell r="Q923">
            <v>964.08719799999994</v>
          </cell>
          <cell r="R923">
            <v>2.9121027721433399</v>
          </cell>
          <cell r="S923">
            <v>1509.9906639999999</v>
          </cell>
          <cell r="T923">
            <v>2.8176795580110401</v>
          </cell>
          <cell r="U923">
            <v>468.72083300000003</v>
          </cell>
          <cell r="V923">
            <v>1.5946132596685001</v>
          </cell>
        </row>
        <row r="924">
          <cell r="A924" t="str">
            <v>056602</v>
          </cell>
          <cell r="B924">
            <v>454.14285699999999</v>
          </cell>
          <cell r="C924">
            <v>8.8069659999999992</v>
          </cell>
          <cell r="D924">
            <v>1.5217391304347801E-2</v>
          </cell>
          <cell r="E924">
            <v>8.8069659999999992</v>
          </cell>
          <cell r="F924">
            <v>1.5217391304347801E-2</v>
          </cell>
          <cell r="G924">
            <v>0.68726699999999996</v>
          </cell>
          <cell r="H924">
            <v>6.5934065934065899E-3</v>
          </cell>
          <cell r="I924">
            <v>0.68726699999999996</v>
          </cell>
          <cell r="J924">
            <v>6.5934065934065899E-3</v>
          </cell>
          <cell r="K924">
            <v>631.55132400000002</v>
          </cell>
          <cell r="L924">
            <v>1.2207505518763699</v>
          </cell>
          <cell r="M924">
            <v>554.63738000000001</v>
          </cell>
          <cell r="N924">
            <v>1.14790286975717</v>
          </cell>
          <cell r="O924">
            <v>516.01026999999999</v>
          </cell>
          <cell r="P924">
            <v>1.8486842105263099</v>
          </cell>
          <cell r="Q924">
            <v>516.01026999999999</v>
          </cell>
          <cell r="R924">
            <v>1.8486842105263099</v>
          </cell>
          <cell r="S924">
            <v>640.35095999999999</v>
          </cell>
          <cell r="T924">
            <v>1.37028824833702</v>
          </cell>
          <cell r="U924">
            <v>164.613303</v>
          </cell>
          <cell r="V924">
            <v>0.96895787139689504</v>
          </cell>
        </row>
        <row r="925">
          <cell r="A925" t="str">
            <v>056801</v>
          </cell>
          <cell r="B925">
            <v>1276.4000000000001</v>
          </cell>
          <cell r="C925">
            <v>650.58638499999995</v>
          </cell>
          <cell r="D925">
            <v>1.21685761047463</v>
          </cell>
          <cell r="E925">
            <v>75.930018000000004</v>
          </cell>
          <cell r="F925">
            <v>0.33551554828150498</v>
          </cell>
          <cell r="G925">
            <v>286.42792700000001</v>
          </cell>
          <cell r="H925">
            <v>1.31113956466069</v>
          </cell>
          <cell r="I925">
            <v>256.49611800000002</v>
          </cell>
          <cell r="J925">
            <v>1.28681177976952</v>
          </cell>
          <cell r="K925">
            <v>2614.6226919999999</v>
          </cell>
          <cell r="L925">
            <v>1.6454487587523801</v>
          </cell>
          <cell r="M925">
            <v>44.261118000000003</v>
          </cell>
          <cell r="N925">
            <v>0.31508593252705203</v>
          </cell>
          <cell r="O925">
            <v>357.71384599999999</v>
          </cell>
          <cell r="P925">
            <v>1.6241666666666601</v>
          </cell>
          <cell r="Q925">
            <v>330.26829099999998</v>
          </cell>
          <cell r="R925">
            <v>1.6</v>
          </cell>
          <cell r="S925">
            <v>2491.5971169999998</v>
          </cell>
          <cell r="T925">
            <v>2.33978234582829</v>
          </cell>
          <cell r="U925">
            <v>68.324585999999996</v>
          </cell>
          <cell r="V925">
            <v>0.204353083434099</v>
          </cell>
        </row>
        <row r="926">
          <cell r="A926" t="str">
            <v>056802</v>
          </cell>
          <cell r="B926">
            <v>797.66666599999996</v>
          </cell>
          <cell r="C926">
            <v>935.50213599999995</v>
          </cell>
          <cell r="D926">
            <v>1.5595432300163099</v>
          </cell>
          <cell r="E926">
            <v>177.19477499999999</v>
          </cell>
          <cell r="F926">
            <v>1.1182707993474701</v>
          </cell>
          <cell r="G926">
            <v>86.249898000000002</v>
          </cell>
          <cell r="H926">
            <v>0.64530551415797299</v>
          </cell>
          <cell r="I926">
            <v>77.756964999999994</v>
          </cell>
          <cell r="J926">
            <v>0.62742175856929905</v>
          </cell>
          <cell r="K926">
            <v>22.686246000000001</v>
          </cell>
          <cell r="L926">
            <v>0.16</v>
          </cell>
          <cell r="M926">
            <v>22.686246000000001</v>
          </cell>
          <cell r="N926">
            <v>0.16</v>
          </cell>
          <cell r="O926">
            <v>280.092758</v>
          </cell>
          <cell r="P926">
            <v>1.24153166421207</v>
          </cell>
          <cell r="Q926">
            <v>24.997496000000002</v>
          </cell>
          <cell r="R926">
            <v>0.21060382916053</v>
          </cell>
          <cell r="S926">
            <v>841.98589700000002</v>
          </cell>
          <cell r="T926">
            <v>2.4896449704141999</v>
          </cell>
          <cell r="U926">
            <v>202.27369300000001</v>
          </cell>
          <cell r="V926">
            <v>1.1982248520709999</v>
          </cell>
        </row>
        <row r="927">
          <cell r="A927" t="str">
            <v>056803</v>
          </cell>
          <cell r="B927">
            <v>1092.2</v>
          </cell>
          <cell r="C927">
            <v>3118.884266</v>
          </cell>
          <cell r="D927">
            <v>5.3300813008130001</v>
          </cell>
          <cell r="E927">
            <v>407.27873099999999</v>
          </cell>
          <cell r="F927">
            <v>2.2243902439024299</v>
          </cell>
          <cell r="G927">
            <v>114.394642</v>
          </cell>
          <cell r="H927">
            <v>0.51233552631578905</v>
          </cell>
          <cell r="I927">
            <v>13.45786</v>
          </cell>
          <cell r="J927">
            <v>0.142269736842105</v>
          </cell>
          <cell r="K927">
            <v>29.119477</v>
          </cell>
          <cell r="L927">
            <v>0.29547325102880601</v>
          </cell>
          <cell r="M927">
            <v>19.180150000000001</v>
          </cell>
          <cell r="N927">
            <v>0.28641975308641898</v>
          </cell>
          <cell r="O927">
            <v>1292.79323</v>
          </cell>
          <cell r="P927">
            <v>4.2001654259718704</v>
          </cell>
          <cell r="Q927">
            <v>7.9241099999999998</v>
          </cell>
          <cell r="R927">
            <v>8.4367245657568202E-2</v>
          </cell>
          <cell r="S927">
            <v>4559.2235069999997</v>
          </cell>
          <cell r="T927">
            <v>6.9734660033167399</v>
          </cell>
          <cell r="U927">
            <v>339.31218899999999</v>
          </cell>
          <cell r="V927">
            <v>2.4701492537313401</v>
          </cell>
        </row>
        <row r="928">
          <cell r="A928" t="str">
            <v>056901</v>
          </cell>
          <cell r="B928">
            <v>1047</v>
          </cell>
          <cell r="C928">
            <v>133.76916800000001</v>
          </cell>
          <cell r="D928">
            <v>0.79659413434247806</v>
          </cell>
          <cell r="E928">
            <v>133.76916800000001</v>
          </cell>
          <cell r="F928">
            <v>0.79659413434247806</v>
          </cell>
          <cell r="G928">
            <v>862.68837399999995</v>
          </cell>
          <cell r="H928">
            <v>1.29328287606433</v>
          </cell>
          <cell r="I928">
            <v>207.836513</v>
          </cell>
          <cell r="J928">
            <v>0.65941343424787102</v>
          </cell>
          <cell r="K928">
            <v>2942.2566999999999</v>
          </cell>
          <cell r="L928">
            <v>1.8307984790874501</v>
          </cell>
          <cell r="M928">
            <v>152.42873800000001</v>
          </cell>
          <cell r="N928">
            <v>1.2110266159695799</v>
          </cell>
          <cell r="O928">
            <v>1390.639185</v>
          </cell>
          <cell r="P928">
            <v>3.1841603053435099</v>
          </cell>
          <cell r="Q928">
            <v>103.631663</v>
          </cell>
          <cell r="R928">
            <v>0.95992366412213703</v>
          </cell>
          <cell r="S928">
            <v>356.439798</v>
          </cell>
          <cell r="T928">
            <v>1.3216374269005799</v>
          </cell>
          <cell r="U928">
            <v>253.45588000000001</v>
          </cell>
          <cell r="V928">
            <v>0.86159844054580803</v>
          </cell>
        </row>
        <row r="929">
          <cell r="A929" t="str">
            <v>056902</v>
          </cell>
          <cell r="B929">
            <v>485.6</v>
          </cell>
          <cell r="C929">
            <v>100.79507</v>
          </cell>
          <cell r="D929">
            <v>0.37130801687763698</v>
          </cell>
          <cell r="E929">
            <v>76.803482000000002</v>
          </cell>
          <cell r="F929">
            <v>0.28059071729957802</v>
          </cell>
          <cell r="G929">
            <v>472.21075000000002</v>
          </cell>
          <cell r="H929">
            <v>1.2068965517241299</v>
          </cell>
          <cell r="I929">
            <v>462.24174399999998</v>
          </cell>
          <cell r="J929">
            <v>1.1663286004056701</v>
          </cell>
          <cell r="K929">
            <v>1527.3796139999999</v>
          </cell>
          <cell r="L929">
            <v>1.6511156186612499</v>
          </cell>
          <cell r="M929">
            <v>198.21058099999999</v>
          </cell>
          <cell r="N929">
            <v>1.25760649087221</v>
          </cell>
          <cell r="O929">
            <v>733.33725200000003</v>
          </cell>
          <cell r="P929">
            <v>2.1226993865030601</v>
          </cell>
          <cell r="Q929">
            <v>348.03888799999999</v>
          </cell>
          <cell r="R929">
            <v>1.02862985685071</v>
          </cell>
          <cell r="S929">
            <v>218.47501700000001</v>
          </cell>
          <cell r="T929">
            <v>1.2755741127348601</v>
          </cell>
          <cell r="U929">
            <v>174.73761300000001</v>
          </cell>
          <cell r="V929">
            <v>1.160751565762</v>
          </cell>
        </row>
        <row r="930">
          <cell r="A930" t="str">
            <v>056903</v>
          </cell>
          <cell r="B930">
            <v>222.555555</v>
          </cell>
          <cell r="C930">
            <v>120.781475</v>
          </cell>
          <cell r="D930">
            <v>1.09523809523809</v>
          </cell>
          <cell r="E930">
            <v>120.781475</v>
          </cell>
          <cell r="F930">
            <v>1.09523809523809</v>
          </cell>
          <cell r="G930">
            <v>1891.0427380000001</v>
          </cell>
          <cell r="H930">
            <v>3.4304347826086898</v>
          </cell>
          <cell r="I930">
            <v>1744.750464</v>
          </cell>
          <cell r="J930">
            <v>2.9739130434782601</v>
          </cell>
          <cell r="K930">
            <v>3204.1422510000002</v>
          </cell>
          <cell r="L930">
            <v>4.4210526315789398</v>
          </cell>
          <cell r="M930">
            <v>724.59356700000001</v>
          </cell>
          <cell r="N930">
            <v>3.5833333333333299</v>
          </cell>
          <cell r="O930">
            <v>1751.5335540000001</v>
          </cell>
          <cell r="P930">
            <v>2.79111111111111</v>
          </cell>
          <cell r="Q930">
            <v>577.27473999999995</v>
          </cell>
          <cell r="R930">
            <v>1.8088888888888801</v>
          </cell>
          <cell r="S930">
            <v>493.81633699999998</v>
          </cell>
          <cell r="T930">
            <v>0.81280788177339902</v>
          </cell>
          <cell r="U930">
            <v>115.43973699999999</v>
          </cell>
          <cell r="V930">
            <v>0.32512315270935899</v>
          </cell>
        </row>
        <row r="931">
          <cell r="A931" t="str">
            <v>057001</v>
          </cell>
          <cell r="B931">
            <v>1275.5999999999999</v>
          </cell>
          <cell r="C931">
            <v>182.91284999999999</v>
          </cell>
          <cell r="D931">
            <v>0.25389408099688399</v>
          </cell>
          <cell r="E931">
            <v>55.908223999999997</v>
          </cell>
          <cell r="F931">
            <v>0.194704049844236</v>
          </cell>
          <cell r="G931">
            <v>340.32927799999999</v>
          </cell>
          <cell r="H931">
            <v>0.83633516053249801</v>
          </cell>
          <cell r="I931">
            <v>270.98391099999998</v>
          </cell>
          <cell r="J931">
            <v>0.76507439310884795</v>
          </cell>
          <cell r="K931">
            <v>4701.3752469999999</v>
          </cell>
          <cell r="L931">
            <v>4.1140625000000002</v>
          </cell>
          <cell r="M931">
            <v>613.715104</v>
          </cell>
          <cell r="N931">
            <v>1.6039062500000001</v>
          </cell>
          <cell r="O931">
            <v>108.810957</v>
          </cell>
          <cell r="P931">
            <v>0.592913385826771</v>
          </cell>
          <cell r="Q931">
            <v>63.045892000000002</v>
          </cell>
          <cell r="R931">
            <v>0.42440944881889697</v>
          </cell>
          <cell r="S931">
            <v>988.13025400000004</v>
          </cell>
          <cell r="T931">
            <v>3.6029992107340099</v>
          </cell>
          <cell r="U931">
            <v>926.05432699999994</v>
          </cell>
          <cell r="V931">
            <v>3.41120757695343</v>
          </cell>
        </row>
        <row r="932">
          <cell r="A932" t="str">
            <v>057002</v>
          </cell>
          <cell r="B932">
            <v>1114.5999999999999</v>
          </cell>
          <cell r="C932">
            <v>211.24488600000001</v>
          </cell>
          <cell r="D932">
            <v>2.1036036036036001</v>
          </cell>
          <cell r="E932">
            <v>180.429089</v>
          </cell>
          <cell r="F932">
            <v>2.07747747747747</v>
          </cell>
          <cell r="G932">
            <v>210.51455899999999</v>
          </cell>
          <cell r="H932">
            <v>0.33452274754683298</v>
          </cell>
          <cell r="I932">
            <v>70.030393000000004</v>
          </cell>
          <cell r="J932">
            <v>0.25423728813559299</v>
          </cell>
          <cell r="K932">
            <v>7518.3745070000004</v>
          </cell>
          <cell r="L932">
            <v>5.3044642857142801</v>
          </cell>
          <cell r="M932">
            <v>830.90550499999995</v>
          </cell>
          <cell r="N932">
            <v>3.3062499999999999</v>
          </cell>
          <cell r="O932">
            <v>903.56468800000005</v>
          </cell>
          <cell r="P932">
            <v>0.60521582733812895</v>
          </cell>
          <cell r="Q932">
            <v>42.849939999999997</v>
          </cell>
          <cell r="R932">
            <v>0.30125899280575502</v>
          </cell>
          <cell r="S932">
            <v>451.23121600000002</v>
          </cell>
          <cell r="T932">
            <v>1.3855855855855801</v>
          </cell>
          <cell r="U932">
            <v>433.98415899999998</v>
          </cell>
          <cell r="V932">
            <v>1.29009009009009</v>
          </cell>
        </row>
        <row r="933">
          <cell r="A933" t="str">
            <v>057101</v>
          </cell>
          <cell r="B933">
            <v>1105.4000000000001</v>
          </cell>
          <cell r="C933">
            <v>2122.1587800000002</v>
          </cell>
          <cell r="D933">
            <v>3.4133697135061301</v>
          </cell>
          <cell r="E933">
            <v>1244.608635</v>
          </cell>
          <cell r="F933">
            <v>2.8690313778990402</v>
          </cell>
          <cell r="G933">
            <v>183.99570499999999</v>
          </cell>
          <cell r="H933">
            <v>0.89688041594454004</v>
          </cell>
          <cell r="I933">
            <v>183.579307</v>
          </cell>
          <cell r="J933">
            <v>0.89514731369150702</v>
          </cell>
          <cell r="K933">
            <v>1235.6507819999999</v>
          </cell>
          <cell r="L933">
            <v>2.5325638911788899</v>
          </cell>
          <cell r="M933">
            <v>321.24821300000002</v>
          </cell>
          <cell r="N933">
            <v>0.71228359439406397</v>
          </cell>
          <cell r="O933">
            <v>375.89104800000001</v>
          </cell>
          <cell r="P933">
            <v>1.8101059494702501</v>
          </cell>
          <cell r="Q933">
            <v>172.977574</v>
          </cell>
          <cell r="R933">
            <v>1.5052974735126301</v>
          </cell>
          <cell r="S933">
            <v>656.25437399999998</v>
          </cell>
          <cell r="T933">
            <v>1.1124999999999901</v>
          </cell>
          <cell r="U933">
            <v>74.874430000000004</v>
          </cell>
          <cell r="V933">
            <v>0.38416666666666599</v>
          </cell>
        </row>
        <row r="934">
          <cell r="A934" t="str">
            <v>057102</v>
          </cell>
          <cell r="B934">
            <v>908</v>
          </cell>
          <cell r="C934">
            <v>415.18924600000003</v>
          </cell>
          <cell r="D934">
            <v>0.44307692307692298</v>
          </cell>
          <cell r="E934">
            <v>79.065224000000001</v>
          </cell>
          <cell r="F934">
            <v>0.28102564102564098</v>
          </cell>
          <cell r="G934">
            <v>918.45424400000002</v>
          </cell>
          <cell r="H934">
            <v>1.5500515995872</v>
          </cell>
          <cell r="I934">
            <v>409.55983900000001</v>
          </cell>
          <cell r="J934">
            <v>1.2394220846233199</v>
          </cell>
          <cell r="K934">
            <v>1456.931973</v>
          </cell>
          <cell r="L934">
            <v>4.04469273743016</v>
          </cell>
          <cell r="M934">
            <v>465.021862</v>
          </cell>
          <cell r="N934">
            <v>3.2223463687150802</v>
          </cell>
          <cell r="O934">
            <v>297.648143</v>
          </cell>
          <cell r="P934">
            <v>0.48182883939038601</v>
          </cell>
          <cell r="Q934">
            <v>42.392437999999999</v>
          </cell>
          <cell r="R934">
            <v>0.302461899179366</v>
          </cell>
          <cell r="S934">
            <v>1441.476729</v>
          </cell>
          <cell r="T934">
            <v>2.2299528301886702</v>
          </cell>
          <cell r="U934">
            <v>307.85184700000002</v>
          </cell>
          <cell r="V934">
            <v>1.43396226415094</v>
          </cell>
        </row>
        <row r="935">
          <cell r="A935" t="str">
            <v>057201</v>
          </cell>
          <cell r="B935">
            <v>2</v>
          </cell>
          <cell r="C935">
            <v>61</v>
          </cell>
          <cell r="D935">
            <v>1</v>
          </cell>
          <cell r="E935">
            <v>61</v>
          </cell>
          <cell r="F935">
            <v>1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1222</v>
          </cell>
          <cell r="T935">
            <v>1</v>
          </cell>
          <cell r="U935">
            <v>1222</v>
          </cell>
          <cell r="V935">
            <v>1</v>
          </cell>
        </row>
        <row r="936">
          <cell r="A936" t="str">
            <v>057301</v>
          </cell>
          <cell r="B936">
            <v>1063.5999999999999</v>
          </cell>
          <cell r="C936">
            <v>98.757217999999995</v>
          </cell>
          <cell r="D936">
            <v>0.61359404096834202</v>
          </cell>
          <cell r="E936">
            <v>98.549144999999996</v>
          </cell>
          <cell r="F936">
            <v>0.61266294227188001</v>
          </cell>
          <cell r="G936">
            <v>227.27157700000001</v>
          </cell>
          <cell r="H936">
            <v>0.24929709465791899</v>
          </cell>
          <cell r="I936">
            <v>31.699586</v>
          </cell>
          <cell r="J936">
            <v>0.115276476101218</v>
          </cell>
          <cell r="K936">
            <v>2596.7691869999999</v>
          </cell>
          <cell r="L936">
            <v>2.6097105508870202</v>
          </cell>
          <cell r="M936">
            <v>221.819919</v>
          </cell>
          <cell r="N936">
            <v>0.66293183940242695</v>
          </cell>
          <cell r="O936">
            <v>373.14569899999998</v>
          </cell>
          <cell r="P936">
            <v>0.78424015009380799</v>
          </cell>
          <cell r="Q936">
            <v>327.395262</v>
          </cell>
          <cell r="R936">
            <v>0.68386491557223195</v>
          </cell>
          <cell r="S936">
            <v>825.29382899999996</v>
          </cell>
          <cell r="T936">
            <v>2.0884615384615302</v>
          </cell>
          <cell r="U936">
            <v>72.214759000000001</v>
          </cell>
          <cell r="V936">
            <v>0.60769230769230698</v>
          </cell>
        </row>
        <row r="937">
          <cell r="A937" t="str">
            <v>057302</v>
          </cell>
          <cell r="B937">
            <v>695.22222199999999</v>
          </cell>
          <cell r="C937">
            <v>553.19941200000005</v>
          </cell>
          <cell r="D937">
            <v>3.4471086036671301</v>
          </cell>
          <cell r="E937">
            <v>553.19941200000005</v>
          </cell>
          <cell r="F937">
            <v>3.4471086036671301</v>
          </cell>
          <cell r="G937">
            <v>39.719248</v>
          </cell>
          <cell r="H937">
            <v>0.19460227272727201</v>
          </cell>
          <cell r="I937">
            <v>23.010169000000001</v>
          </cell>
          <cell r="J937">
            <v>0.16335227272727201</v>
          </cell>
          <cell r="K937">
            <v>3640.1493359999999</v>
          </cell>
          <cell r="L937">
            <v>3.8011363636363602</v>
          </cell>
          <cell r="M937">
            <v>283.96671300000003</v>
          </cell>
          <cell r="N937">
            <v>1.99573863636363</v>
          </cell>
          <cell r="O937">
            <v>893.95502799999997</v>
          </cell>
          <cell r="P937">
            <v>2.6249999999999898</v>
          </cell>
          <cell r="Q937">
            <v>355.16551700000002</v>
          </cell>
          <cell r="R937">
            <v>1.7183908045977001</v>
          </cell>
          <cell r="S937">
            <v>1054.1812669999999</v>
          </cell>
          <cell r="T937">
            <v>2.48507462686567</v>
          </cell>
          <cell r="U937">
            <v>359.98226299999999</v>
          </cell>
          <cell r="V937">
            <v>1.64776119402985</v>
          </cell>
        </row>
        <row r="938">
          <cell r="A938" t="str">
            <v>057303</v>
          </cell>
          <cell r="B938">
            <v>1003.2</v>
          </cell>
          <cell r="C938">
            <v>483.07161300000001</v>
          </cell>
          <cell r="D938">
            <v>2.0655577299412902</v>
          </cell>
          <cell r="E938">
            <v>480.159066</v>
          </cell>
          <cell r="F938">
            <v>2.0645792563600698</v>
          </cell>
          <cell r="G938">
            <v>625.32582100000002</v>
          </cell>
          <cell r="H938">
            <v>3.38043478260869</v>
          </cell>
          <cell r="I938">
            <v>577.00219600000003</v>
          </cell>
          <cell r="J938">
            <v>3.1768774703557301</v>
          </cell>
          <cell r="K938">
            <v>7361.39786</v>
          </cell>
          <cell r="L938">
            <v>5.3741293532338297</v>
          </cell>
          <cell r="M938">
            <v>1212.6940959999999</v>
          </cell>
          <cell r="N938">
            <v>2.8696517412935298</v>
          </cell>
          <cell r="O938">
            <v>908.53810599999997</v>
          </cell>
          <cell r="P938">
            <v>3.3622754491017899</v>
          </cell>
          <cell r="Q938">
            <v>714.13216799999998</v>
          </cell>
          <cell r="R938">
            <v>2.87624750499001</v>
          </cell>
          <cell r="S938">
            <v>3083.574341</v>
          </cell>
          <cell r="T938">
            <v>4.36717948717948</v>
          </cell>
          <cell r="U938">
            <v>484.325897</v>
          </cell>
          <cell r="V938">
            <v>3.0133333333333301</v>
          </cell>
        </row>
        <row r="939">
          <cell r="A939" t="str">
            <v>057401</v>
          </cell>
          <cell r="B939">
            <v>592.6</v>
          </cell>
          <cell r="C939">
            <v>276.78119700000002</v>
          </cell>
          <cell r="D939">
            <v>1.41373534338358</v>
          </cell>
          <cell r="E939">
            <v>269.80111799999997</v>
          </cell>
          <cell r="F939">
            <v>1.3768844221105501</v>
          </cell>
          <cell r="G939">
            <v>150.63500199999999</v>
          </cell>
          <cell r="H939">
            <v>0.61976549413735305</v>
          </cell>
          <cell r="I939">
            <v>99.918481999999997</v>
          </cell>
          <cell r="J939">
            <v>0.35008375209380199</v>
          </cell>
          <cell r="K939">
            <v>3815.9694199999999</v>
          </cell>
          <cell r="L939">
            <v>2.9477234401349</v>
          </cell>
          <cell r="M939">
            <v>235.648482</v>
          </cell>
          <cell r="N939">
            <v>0.79089376053962901</v>
          </cell>
          <cell r="O939">
            <v>1255.2546110000001</v>
          </cell>
          <cell r="P939">
            <v>2.4685908319185002</v>
          </cell>
          <cell r="Q939">
            <v>231.45503600000001</v>
          </cell>
          <cell r="R939">
            <v>0.96264855687606099</v>
          </cell>
          <cell r="S939">
            <v>260.888868</v>
          </cell>
          <cell r="T939">
            <v>0.417376490630323</v>
          </cell>
          <cell r="U939">
            <v>82.945228999999998</v>
          </cell>
          <cell r="V939">
            <v>0.27427597955706901</v>
          </cell>
        </row>
        <row r="940">
          <cell r="A940" t="str">
            <v>057402</v>
          </cell>
          <cell r="B940">
            <v>2210</v>
          </cell>
          <cell r="C940">
            <v>102.432007</v>
          </cell>
          <cell r="D940">
            <v>0.42582897033158801</v>
          </cell>
          <cell r="E940">
            <v>102.432007</v>
          </cell>
          <cell r="F940">
            <v>0.42582897033158801</v>
          </cell>
          <cell r="G940">
            <v>294.67470200000002</v>
          </cell>
          <cell r="H940">
            <v>1.25121412803532</v>
          </cell>
          <cell r="I940">
            <v>282.81765100000001</v>
          </cell>
          <cell r="J940">
            <v>1.2233995584988899</v>
          </cell>
          <cell r="K940">
            <v>3308.1726319999998</v>
          </cell>
          <cell r="L940">
            <v>3.2924778761061901</v>
          </cell>
          <cell r="M940">
            <v>233.03937999999999</v>
          </cell>
          <cell r="N940">
            <v>1.0057522123893801</v>
          </cell>
          <cell r="O940">
            <v>778.16395699999998</v>
          </cell>
          <cell r="P940">
            <v>3.8379277566539902</v>
          </cell>
          <cell r="Q940">
            <v>270.39314000000002</v>
          </cell>
          <cell r="R940">
            <v>2.50903041825095</v>
          </cell>
          <cell r="S940">
            <v>267.23057499999999</v>
          </cell>
          <cell r="T940">
            <v>0.70230414746543701</v>
          </cell>
          <cell r="U940">
            <v>102.535867</v>
          </cell>
          <cell r="V940">
            <v>0.53456221198156595</v>
          </cell>
        </row>
        <row r="941">
          <cell r="A941" t="str">
            <v>057501</v>
          </cell>
          <cell r="B941">
            <v>652.79999999999995</v>
          </cell>
          <cell r="C941">
            <v>439.43458500000003</v>
          </cell>
          <cell r="D941">
            <v>0.88333333333333297</v>
          </cell>
          <cell r="E941">
            <v>108.037662</v>
          </cell>
          <cell r="F941">
            <v>0.57727272727272705</v>
          </cell>
          <cell r="G941">
            <v>133.59591599999999</v>
          </cell>
          <cell r="H941">
            <v>1.3905775075987801</v>
          </cell>
          <cell r="I941">
            <v>127.88677199999999</v>
          </cell>
          <cell r="J941">
            <v>1.3647416413373801</v>
          </cell>
          <cell r="K941">
            <v>479.81763000000001</v>
          </cell>
          <cell r="L941">
            <v>3.3074581430745802</v>
          </cell>
          <cell r="M941">
            <v>306.74241499999999</v>
          </cell>
          <cell r="N941">
            <v>2.7823439878234302</v>
          </cell>
          <cell r="O941">
            <v>238.80089799999999</v>
          </cell>
          <cell r="P941">
            <v>1.8828967642526899</v>
          </cell>
          <cell r="Q941">
            <v>223.09001000000001</v>
          </cell>
          <cell r="R941">
            <v>1.8228043143297299</v>
          </cell>
          <cell r="S941">
            <v>338.05622299999999</v>
          </cell>
          <cell r="T941">
            <v>0.61093750000000002</v>
          </cell>
          <cell r="U941">
            <v>116.43552</v>
          </cell>
          <cell r="V941">
            <v>0.29218749999999999</v>
          </cell>
        </row>
        <row r="942">
          <cell r="A942" t="str">
            <v>057502</v>
          </cell>
          <cell r="B942">
            <v>958.4</v>
          </cell>
          <cell r="C942">
            <v>525.08414500000003</v>
          </cell>
          <cell r="D942">
            <v>0.86548488008341995</v>
          </cell>
          <cell r="E942">
            <v>109.205994</v>
          </cell>
          <cell r="F942">
            <v>0.54431699687174095</v>
          </cell>
          <cell r="G942">
            <v>350.22898300000003</v>
          </cell>
          <cell r="H942">
            <v>2.1855670103092701</v>
          </cell>
          <cell r="I942">
            <v>211.36066400000001</v>
          </cell>
          <cell r="J942">
            <v>2.1340206185567001</v>
          </cell>
          <cell r="K942">
            <v>706.89791600000001</v>
          </cell>
          <cell r="L942">
            <v>3.5103305785123902</v>
          </cell>
          <cell r="M942">
            <v>667.51680399999998</v>
          </cell>
          <cell r="N942">
            <v>3.3533057851239598</v>
          </cell>
          <cell r="O942">
            <v>227.62669399999999</v>
          </cell>
          <cell r="P942">
            <v>1.7681770284510001</v>
          </cell>
          <cell r="Q942">
            <v>154.92175900000001</v>
          </cell>
          <cell r="R942">
            <v>1.4984193888303401</v>
          </cell>
          <cell r="S942">
            <v>128.62233900000001</v>
          </cell>
          <cell r="T942">
            <v>0.225158562367864</v>
          </cell>
          <cell r="U942">
            <v>49.953575999999998</v>
          </cell>
          <cell r="V942">
            <v>0.122621564482029</v>
          </cell>
        </row>
        <row r="943">
          <cell r="A943" t="str">
            <v>057601</v>
          </cell>
          <cell r="B943">
            <v>1559.4</v>
          </cell>
          <cell r="C943">
            <v>3114.7957900000001</v>
          </cell>
          <cell r="D943">
            <v>2.0586360739324401</v>
          </cell>
          <cell r="E943">
            <v>353.26434499999999</v>
          </cell>
          <cell r="F943">
            <v>0.927979604843849</v>
          </cell>
          <cell r="G943">
            <v>273.28957200000002</v>
          </cell>
          <cell r="H943">
            <v>0.26067558954748199</v>
          </cell>
          <cell r="I943">
            <v>27.878644999999999</v>
          </cell>
          <cell r="J943">
            <v>0.13129381771829099</v>
          </cell>
          <cell r="K943">
            <v>71.549425999999997</v>
          </cell>
          <cell r="L943">
            <v>0.38637810311903198</v>
          </cell>
          <cell r="M943">
            <v>40.949193000000001</v>
          </cell>
          <cell r="N943">
            <v>0.369828134945894</v>
          </cell>
          <cell r="O943">
            <v>385.22150199999999</v>
          </cell>
          <cell r="P943">
            <v>1.20435618193465</v>
          </cell>
          <cell r="Q943">
            <v>313.34664700000002</v>
          </cell>
          <cell r="R943">
            <v>1.1595131326073</v>
          </cell>
          <cell r="S943">
            <v>709.33906200000001</v>
          </cell>
          <cell r="T943">
            <v>1.86967910936476</v>
          </cell>
          <cell r="U943">
            <v>243.504616</v>
          </cell>
          <cell r="V943">
            <v>1.39882121807465</v>
          </cell>
        </row>
        <row r="944">
          <cell r="A944" t="str">
            <v>057602</v>
          </cell>
          <cell r="B944">
            <v>1391.2</v>
          </cell>
          <cell r="C944">
            <v>4656.0944719999998</v>
          </cell>
          <cell r="D944">
            <v>5.7178750897343802</v>
          </cell>
          <cell r="E944">
            <v>645.96036400000003</v>
          </cell>
          <cell r="F944">
            <v>3.6468054558506799</v>
          </cell>
          <cell r="G944">
            <v>345.98667</v>
          </cell>
          <cell r="H944">
            <v>0.76132278936017195</v>
          </cell>
          <cell r="I944">
            <v>53.322664000000003</v>
          </cell>
          <cell r="J944">
            <v>0.24946081955427701</v>
          </cell>
          <cell r="K944">
            <v>551.16497900000002</v>
          </cell>
          <cell r="L944">
            <v>1.2711496746203901</v>
          </cell>
          <cell r="M944">
            <v>85.267257000000001</v>
          </cell>
          <cell r="N944">
            <v>0.30368763557483702</v>
          </cell>
          <cell r="O944">
            <v>485.068217</v>
          </cell>
          <cell r="P944">
            <v>1.7847272727272701</v>
          </cell>
          <cell r="Q944">
            <v>360.93879900000002</v>
          </cell>
          <cell r="R944">
            <v>1.5541818181818099</v>
          </cell>
          <cell r="S944">
            <v>1021.5924199999999</v>
          </cell>
          <cell r="T944">
            <v>2.3578500707213501</v>
          </cell>
          <cell r="U944">
            <v>249.93958000000001</v>
          </cell>
          <cell r="V944">
            <v>1.2602545968882599</v>
          </cell>
        </row>
        <row r="945">
          <cell r="A945" t="str">
            <v>057701</v>
          </cell>
          <cell r="B945">
            <v>1248.75</v>
          </cell>
          <cell r="C945">
            <v>214.63350299999999</v>
          </cell>
          <cell r="D945">
            <v>1.1616814874696799</v>
          </cell>
          <cell r="E945">
            <v>214.63350299999999</v>
          </cell>
          <cell r="F945">
            <v>1.1616814874696799</v>
          </cell>
          <cell r="G945">
            <v>60.229840000000003</v>
          </cell>
          <cell r="H945">
            <v>0.42448330683624802</v>
          </cell>
          <cell r="I945">
            <v>59.285609999999998</v>
          </cell>
          <cell r="J945">
            <v>0.42209856915739202</v>
          </cell>
          <cell r="K945">
            <v>166.81380100000001</v>
          </cell>
          <cell r="L945">
            <v>0.24423229912489999</v>
          </cell>
          <cell r="M945">
            <v>28.167342000000001</v>
          </cell>
          <cell r="N945">
            <v>8.5918854415274401E-2</v>
          </cell>
          <cell r="O945">
            <v>29.765737999999999</v>
          </cell>
          <cell r="P945">
            <v>0.14608555286521299</v>
          </cell>
          <cell r="Q945">
            <v>29.765737999999999</v>
          </cell>
          <cell r="R945">
            <v>0.14608555286521299</v>
          </cell>
          <cell r="S945">
            <v>55.867215999999999</v>
          </cell>
          <cell r="T945">
            <v>0.35990338164251201</v>
          </cell>
          <cell r="U945">
            <v>10.169511</v>
          </cell>
          <cell r="V945">
            <v>9.9838969404186698E-2</v>
          </cell>
        </row>
        <row r="946">
          <cell r="A946" t="str">
            <v>057702</v>
          </cell>
          <cell r="B946">
            <v>688.11111100000005</v>
          </cell>
          <cell r="C946">
            <v>16.944078000000001</v>
          </cell>
          <cell r="D946">
            <v>8.6257309941520394E-2</v>
          </cell>
          <cell r="E946">
            <v>16.854883999999998</v>
          </cell>
          <cell r="F946">
            <v>8.4795321637426896E-2</v>
          </cell>
          <cell r="G946">
            <v>57.932155000000002</v>
          </cell>
          <cell r="H946">
            <v>0.150506512301013</v>
          </cell>
          <cell r="I946">
            <v>57.932155000000002</v>
          </cell>
          <cell r="J946">
            <v>0.150506512301013</v>
          </cell>
          <cell r="K946">
            <v>225.97233299999999</v>
          </cell>
          <cell r="L946">
            <v>0.44380403458213202</v>
          </cell>
          <cell r="M946">
            <v>108.431123</v>
          </cell>
          <cell r="N946">
            <v>0.34870317002881801</v>
          </cell>
          <cell r="O946">
            <v>267.88529899999997</v>
          </cell>
          <cell r="P946">
            <v>0.440287769784172</v>
          </cell>
          <cell r="Q946">
            <v>97.882997000000003</v>
          </cell>
          <cell r="R946">
            <v>0.28920863309352501</v>
          </cell>
          <cell r="S946">
            <v>162.89882</v>
          </cell>
          <cell r="T946">
            <v>0.50737463126843596</v>
          </cell>
          <cell r="U946">
            <v>58.665880000000001</v>
          </cell>
          <cell r="V946">
            <v>0.418879056047197</v>
          </cell>
        </row>
        <row r="947">
          <cell r="A947" t="str">
            <v>057703</v>
          </cell>
          <cell r="B947">
            <v>817.55555500000003</v>
          </cell>
          <cell r="C947">
            <v>64.099661999999995</v>
          </cell>
          <cell r="D947">
            <v>0.17610837438423599</v>
          </cell>
          <cell r="E947">
            <v>64.099661999999995</v>
          </cell>
          <cell r="F947">
            <v>0.17610837438423599</v>
          </cell>
          <cell r="G947">
            <v>34.839320000000001</v>
          </cell>
          <cell r="H947">
            <v>8.3839611178614798E-2</v>
          </cell>
          <cell r="I947">
            <v>16.325219000000001</v>
          </cell>
          <cell r="J947">
            <v>6.56136087484811E-2</v>
          </cell>
          <cell r="K947">
            <v>184.82091299999999</v>
          </cell>
          <cell r="L947">
            <v>0.67961165048543604</v>
          </cell>
          <cell r="M947">
            <v>75.071217000000004</v>
          </cell>
          <cell r="N947">
            <v>0.54975728155339798</v>
          </cell>
          <cell r="O947">
            <v>1193.3206379999999</v>
          </cell>
          <cell r="P947">
            <v>0.89557739557739502</v>
          </cell>
          <cell r="Q947">
            <v>34.097911000000003</v>
          </cell>
          <cell r="R947">
            <v>0.21621621621621601</v>
          </cell>
          <cell r="S947">
            <v>77.875778999999994</v>
          </cell>
          <cell r="T947">
            <v>0.19211822660098499</v>
          </cell>
          <cell r="U947">
            <v>26.777564999999999</v>
          </cell>
          <cell r="V947">
            <v>0.167487684729064</v>
          </cell>
        </row>
        <row r="948">
          <cell r="A948" t="str">
            <v>057801</v>
          </cell>
          <cell r="B948">
            <v>1352.6</v>
          </cell>
          <cell r="C948">
            <v>613.516347</v>
          </cell>
          <cell r="D948">
            <v>2.1395112016293201</v>
          </cell>
          <cell r="E948">
            <v>577.20338100000004</v>
          </cell>
          <cell r="F948">
            <v>2.0071283095723</v>
          </cell>
          <cell r="G948">
            <v>540.00552200000004</v>
          </cell>
          <cell r="H948">
            <v>2.2885906040268398</v>
          </cell>
          <cell r="I948">
            <v>227.81838099999999</v>
          </cell>
          <cell r="J948">
            <v>1.9167785234899299</v>
          </cell>
          <cell r="K948">
            <v>735.68361600000003</v>
          </cell>
          <cell r="L948">
            <v>3.2763784887678602</v>
          </cell>
          <cell r="M948">
            <v>535.76709700000004</v>
          </cell>
          <cell r="N948">
            <v>2.9611980939414502</v>
          </cell>
          <cell r="O948">
            <v>1514.6712050000001</v>
          </cell>
          <cell r="P948">
            <v>2.5490753911806499</v>
          </cell>
          <cell r="Q948">
            <v>314.67760700000002</v>
          </cell>
          <cell r="R948">
            <v>1.4359886201991401</v>
          </cell>
          <cell r="S948">
            <v>2015.7097329999999</v>
          </cell>
          <cell r="T948">
            <v>3.8862994350282398</v>
          </cell>
          <cell r="U948">
            <v>225.009263</v>
          </cell>
          <cell r="V948">
            <v>1.48163841807909</v>
          </cell>
        </row>
        <row r="949">
          <cell r="A949" t="str">
            <v>057802</v>
          </cell>
          <cell r="B949">
            <v>1196.5999999999999</v>
          </cell>
          <cell r="C949">
            <v>1092.179345</v>
          </cell>
          <cell r="D949">
            <v>1.8293877551020401</v>
          </cell>
          <cell r="E949">
            <v>201.06487000000001</v>
          </cell>
          <cell r="F949">
            <v>1.47591836734693</v>
          </cell>
          <cell r="G949">
            <v>353.51134000000002</v>
          </cell>
          <cell r="H949">
            <v>1.6740558292282399</v>
          </cell>
          <cell r="I949">
            <v>191.670186</v>
          </cell>
          <cell r="J949">
            <v>1.5771756978653499</v>
          </cell>
          <cell r="K949">
            <v>486.76792599999999</v>
          </cell>
          <cell r="L949">
            <v>2.21113881961762</v>
          </cell>
          <cell r="M949">
            <v>332.39667400000002</v>
          </cell>
          <cell r="N949">
            <v>2.0947630922693201</v>
          </cell>
          <cell r="O949">
            <v>136.353399</v>
          </cell>
          <cell r="P949">
            <v>0.64044943820224698</v>
          </cell>
          <cell r="Q949">
            <v>69.917976999999993</v>
          </cell>
          <cell r="R949">
            <v>0.335350043215211</v>
          </cell>
          <cell r="S949">
            <v>1965.6886710000001</v>
          </cell>
          <cell r="T949">
            <v>3.7576271186440602</v>
          </cell>
          <cell r="U949">
            <v>208.42725899999999</v>
          </cell>
          <cell r="V949">
            <v>1.67372881355932</v>
          </cell>
        </row>
        <row r="950">
          <cell r="A950" t="str">
            <v>058001</v>
          </cell>
          <cell r="B950">
            <v>1364.6666660000001</v>
          </cell>
          <cell r="C950">
            <v>778.67637000000002</v>
          </cell>
          <cell r="D950">
            <v>2.9259259259259198</v>
          </cell>
          <cell r="E950">
            <v>778.67637000000002</v>
          </cell>
          <cell r="F950">
            <v>2.9259259259259198</v>
          </cell>
          <cell r="G950">
            <v>226.22149200000001</v>
          </cell>
          <cell r="H950">
            <v>1.5384068278805101</v>
          </cell>
          <cell r="I950">
            <v>166.739904</v>
          </cell>
          <cell r="J950">
            <v>1.50142247510668</v>
          </cell>
          <cell r="K950">
            <v>317.93152300000003</v>
          </cell>
          <cell r="L950">
            <v>3.0982274741506601</v>
          </cell>
          <cell r="M950">
            <v>272.186238</v>
          </cell>
          <cell r="N950">
            <v>3.0635155096011801</v>
          </cell>
          <cell r="O950">
            <v>949.14298099999996</v>
          </cell>
          <cell r="P950">
            <v>1.60394537177541</v>
          </cell>
          <cell r="Q950">
            <v>281.38692400000002</v>
          </cell>
          <cell r="R950">
            <v>0.78983308042488598</v>
          </cell>
          <cell r="S950">
            <v>120.86845099999999</v>
          </cell>
          <cell r="T950">
            <v>0.59755164498852298</v>
          </cell>
          <cell r="U950">
            <v>90.703633999999994</v>
          </cell>
          <cell r="V950">
            <v>0.58530986993113998</v>
          </cell>
        </row>
        <row r="951">
          <cell r="A951" t="str">
            <v>058002</v>
          </cell>
          <cell r="B951">
            <v>1074</v>
          </cell>
          <cell r="C951">
            <v>27.514465999999999</v>
          </cell>
          <cell r="D951">
            <v>0.10531135531135501</v>
          </cell>
          <cell r="E951">
            <v>19.537866999999999</v>
          </cell>
          <cell r="F951">
            <v>9.8901098901098897E-2</v>
          </cell>
          <cell r="G951">
            <v>235.91516899999999</v>
          </cell>
          <cell r="H951">
            <v>0.61878453038673997</v>
          </cell>
          <cell r="I951">
            <v>124.84694</v>
          </cell>
          <cell r="J951">
            <v>0.45211786372007301</v>
          </cell>
          <cell r="K951">
            <v>766.92925400000001</v>
          </cell>
          <cell r="L951">
            <v>2.5712971481140698</v>
          </cell>
          <cell r="M951">
            <v>533.25490600000001</v>
          </cell>
          <cell r="N951">
            <v>2.4185832566697298</v>
          </cell>
          <cell r="O951">
            <v>211.57496</v>
          </cell>
          <cell r="P951">
            <v>0.89840075258701702</v>
          </cell>
          <cell r="Q951">
            <v>138.48549700000001</v>
          </cell>
          <cell r="R951">
            <v>0.83443085606773204</v>
          </cell>
          <cell r="S951">
            <v>297.53915499999999</v>
          </cell>
          <cell r="T951">
            <v>0.424184261036468</v>
          </cell>
          <cell r="U951">
            <v>166.66745</v>
          </cell>
          <cell r="V951">
            <v>0.36852207293666001</v>
          </cell>
        </row>
        <row r="952">
          <cell r="A952" t="str">
            <v>058003</v>
          </cell>
          <cell r="B952">
            <v>1043.5999999999999</v>
          </cell>
          <cell r="C952">
            <v>83.014853000000002</v>
          </cell>
          <cell r="D952">
            <v>0.160664819944598</v>
          </cell>
          <cell r="E952">
            <v>33.547654999999999</v>
          </cell>
          <cell r="F952">
            <v>0.132040627885503</v>
          </cell>
          <cell r="G952">
            <v>73.888031999999995</v>
          </cell>
          <cell r="H952">
            <v>0.264621284755512</v>
          </cell>
          <cell r="I952">
            <v>65.935899000000006</v>
          </cell>
          <cell r="J952">
            <v>0.24161073825503299</v>
          </cell>
          <cell r="K952">
            <v>680.95033599999999</v>
          </cell>
          <cell r="L952">
            <v>1.2502406159768999</v>
          </cell>
          <cell r="M952">
            <v>19.499053</v>
          </cell>
          <cell r="N952">
            <v>0.164581328200192</v>
          </cell>
          <cell r="O952">
            <v>414.45311400000003</v>
          </cell>
          <cell r="P952">
            <v>2.1694255111976601</v>
          </cell>
          <cell r="Q952">
            <v>411.62044700000001</v>
          </cell>
          <cell r="R952">
            <v>2.1684518013631902</v>
          </cell>
          <cell r="S952">
            <v>1168.0455480000001</v>
          </cell>
          <cell r="T952">
            <v>1.6617933723196801</v>
          </cell>
          <cell r="U952">
            <v>124.570922</v>
          </cell>
          <cell r="V952">
            <v>0.46393762183235798</v>
          </cell>
        </row>
        <row r="953">
          <cell r="A953" t="str">
            <v>058101</v>
          </cell>
          <cell r="B953">
            <v>704.4</v>
          </cell>
          <cell r="C953">
            <v>124.85222400000001</v>
          </cell>
          <cell r="D953">
            <v>0.412765957446808</v>
          </cell>
          <cell r="E953">
            <v>67.967601999999999</v>
          </cell>
          <cell r="F953">
            <v>0.28085106382978697</v>
          </cell>
          <cell r="G953">
            <v>161.243842</v>
          </cell>
          <cell r="H953">
            <v>0.70056497175141197</v>
          </cell>
          <cell r="I953">
            <v>110.288766</v>
          </cell>
          <cell r="J953">
            <v>0.61158192090395402</v>
          </cell>
          <cell r="K953">
            <v>781.17448100000001</v>
          </cell>
          <cell r="L953">
            <v>0.95056497175141197</v>
          </cell>
          <cell r="M953">
            <v>146.11579499999999</v>
          </cell>
          <cell r="N953">
            <v>0.62570621468926502</v>
          </cell>
          <cell r="O953">
            <v>341.10290700000002</v>
          </cell>
          <cell r="P953">
            <v>1.31914893617021</v>
          </cell>
          <cell r="Q953">
            <v>297.31929000000002</v>
          </cell>
          <cell r="R953">
            <v>1.20992907801418</v>
          </cell>
          <cell r="S953">
            <v>636.08601499999997</v>
          </cell>
          <cell r="T953">
            <v>1.73706896551724</v>
          </cell>
          <cell r="U953">
            <v>292.81154199999997</v>
          </cell>
          <cell r="V953">
            <v>1.30172413793103</v>
          </cell>
        </row>
        <row r="954">
          <cell r="A954" t="str">
            <v>058102</v>
          </cell>
          <cell r="B954">
            <v>472</v>
          </cell>
          <cell r="C954">
            <v>11.829573999999999</v>
          </cell>
          <cell r="D954">
            <v>5.5327868852459001E-2</v>
          </cell>
          <cell r="E954">
            <v>11.829573999999999</v>
          </cell>
          <cell r="F954">
            <v>5.5327868852459001E-2</v>
          </cell>
          <cell r="G954">
            <v>145.85557</v>
          </cell>
          <cell r="H954">
            <v>0.59789473684210503</v>
          </cell>
          <cell r="I954">
            <v>81.707983999999996</v>
          </cell>
          <cell r="J954">
            <v>0.35789473684210499</v>
          </cell>
          <cell r="K954">
            <v>773.45668599999999</v>
          </cell>
          <cell r="L954">
            <v>0.51804670912951101</v>
          </cell>
          <cell r="M954">
            <v>31.816417999999999</v>
          </cell>
          <cell r="N954">
            <v>0.21868365180467</v>
          </cell>
          <cell r="O954">
            <v>230.42092099999999</v>
          </cell>
          <cell r="P954">
            <v>0.89361702127659504</v>
          </cell>
          <cell r="Q954">
            <v>230.42092099999999</v>
          </cell>
          <cell r="R954">
            <v>0.89361702127659504</v>
          </cell>
          <cell r="S954">
            <v>428.17674499999998</v>
          </cell>
          <cell r="T954">
            <v>1.4535637149028</v>
          </cell>
          <cell r="U954">
            <v>282.38387299999999</v>
          </cell>
          <cell r="V954">
            <v>1.4146868250539899</v>
          </cell>
        </row>
        <row r="955">
          <cell r="A955" t="str">
            <v>058201</v>
          </cell>
          <cell r="B955">
            <v>1465.6</v>
          </cell>
          <cell r="C955">
            <v>568.99980600000004</v>
          </cell>
          <cell r="D955">
            <v>2.1632024634334099</v>
          </cell>
          <cell r="E955">
            <v>321.72868299999999</v>
          </cell>
          <cell r="F955">
            <v>1.8876058506543401</v>
          </cell>
          <cell r="G955">
            <v>383.28123900000003</v>
          </cell>
          <cell r="H955">
            <v>0.79829172141918503</v>
          </cell>
          <cell r="I955">
            <v>56.01352</v>
          </cell>
          <cell r="J955">
            <v>0.29632063074901399</v>
          </cell>
          <cell r="K955">
            <v>880.87113199999999</v>
          </cell>
          <cell r="L955">
            <v>1.99603960396039</v>
          </cell>
          <cell r="M955">
            <v>249.49524700000001</v>
          </cell>
          <cell r="N955">
            <v>0.53993399339933901</v>
          </cell>
          <cell r="O955">
            <v>217.34842900000001</v>
          </cell>
          <cell r="P955">
            <v>0.73143236074270501</v>
          </cell>
          <cell r="Q955">
            <v>156.771783</v>
          </cell>
          <cell r="R955">
            <v>0.70490716180371304</v>
          </cell>
          <cell r="S955">
            <v>1424.31898</v>
          </cell>
          <cell r="T955">
            <v>2.2068733153638802</v>
          </cell>
          <cell r="U955">
            <v>366.67549400000001</v>
          </cell>
          <cell r="V955">
            <v>1.13072776280323</v>
          </cell>
        </row>
        <row r="956">
          <cell r="A956" t="str">
            <v>058202</v>
          </cell>
          <cell r="B956">
            <v>1547.8</v>
          </cell>
          <cell r="C956">
            <v>1050.4938199999999</v>
          </cell>
          <cell r="D956">
            <v>2.0696643445218399</v>
          </cell>
          <cell r="E956">
            <v>135.72556399999999</v>
          </cell>
          <cell r="F956">
            <v>0.98796706776440701</v>
          </cell>
          <cell r="G956">
            <v>340.49439799999999</v>
          </cell>
          <cell r="H956">
            <v>1.58497772119669</v>
          </cell>
          <cell r="I956">
            <v>313.41903400000001</v>
          </cell>
          <cell r="J956">
            <v>1.5652450668364</v>
          </cell>
          <cell r="K956">
            <v>1121.1429169999999</v>
          </cell>
          <cell r="L956">
            <v>3.0281150159744401</v>
          </cell>
          <cell r="M956">
            <v>743.72774200000003</v>
          </cell>
          <cell r="N956">
            <v>2.7974440894568602</v>
          </cell>
          <cell r="O956">
            <v>117.626893</v>
          </cell>
          <cell r="P956">
            <v>0.40781758957654701</v>
          </cell>
          <cell r="Q956">
            <v>108.974744</v>
          </cell>
          <cell r="R956">
            <v>0.316612377850162</v>
          </cell>
          <cell r="S956">
            <v>6766.4935290000003</v>
          </cell>
          <cell r="T956">
            <v>3.29684351914036</v>
          </cell>
          <cell r="U956">
            <v>175.54857799999999</v>
          </cell>
          <cell r="V956">
            <v>1.2008059100067101</v>
          </cell>
        </row>
        <row r="957">
          <cell r="A957" t="str">
            <v>058301</v>
          </cell>
          <cell r="B957">
            <v>519.5</v>
          </cell>
          <cell r="C957">
            <v>0.41666599999999998</v>
          </cell>
          <cell r="D957">
            <v>3.7878787878787802E-3</v>
          </cell>
          <cell r="E957">
            <v>0.41666599999999998</v>
          </cell>
          <cell r="F957">
            <v>3.7878787878787802E-3</v>
          </cell>
          <cell r="G957">
            <v>281.83756499999998</v>
          </cell>
          <cell r="H957">
            <v>1.1398467432950099</v>
          </cell>
          <cell r="I957">
            <v>281.83756499999998</v>
          </cell>
          <cell r="J957">
            <v>1.1398467432950099</v>
          </cell>
          <cell r="K957">
            <v>4456.6545969999997</v>
          </cell>
          <cell r="L957">
            <v>2.5459770114942502</v>
          </cell>
          <cell r="M957">
            <v>67.953064999999995</v>
          </cell>
          <cell r="N957">
            <v>0.31417624521072701</v>
          </cell>
          <cell r="O957">
            <v>770.52112099999999</v>
          </cell>
          <cell r="P957">
            <v>1.95</v>
          </cell>
          <cell r="Q957">
            <v>766.43362100000002</v>
          </cell>
          <cell r="R957">
            <v>1.8</v>
          </cell>
          <cell r="S957">
            <v>7.5080869999999997</v>
          </cell>
          <cell r="T957">
            <v>6.6536203522504805E-2</v>
          </cell>
          <cell r="U957">
            <v>6.4809840000000003</v>
          </cell>
          <cell r="V957">
            <v>6.4579256360078205E-2</v>
          </cell>
        </row>
        <row r="958">
          <cell r="A958" t="str">
            <v>058302</v>
          </cell>
          <cell r="B958">
            <v>792.8</v>
          </cell>
          <cell r="C958">
            <v>439.911338</v>
          </cell>
          <cell r="D958">
            <v>2.33877038895859</v>
          </cell>
          <cell r="E958">
            <v>69.692971</v>
          </cell>
          <cell r="F958">
            <v>0.46298619824341197</v>
          </cell>
          <cell r="G958">
            <v>299.81475599999999</v>
          </cell>
          <cell r="H958">
            <v>1.29824561403508</v>
          </cell>
          <cell r="I958">
            <v>298.22579200000001</v>
          </cell>
          <cell r="J958">
            <v>1.2944862155388399</v>
          </cell>
          <cell r="K958">
            <v>4480.1486169999998</v>
          </cell>
          <cell r="L958">
            <v>1.64447236180904</v>
          </cell>
          <cell r="M958">
            <v>115.610427</v>
          </cell>
          <cell r="N958">
            <v>0.35804020100502498</v>
          </cell>
          <cell r="O958">
            <v>316.57218</v>
          </cell>
          <cell r="P958">
            <v>0.72201257861635204</v>
          </cell>
          <cell r="Q958">
            <v>116.776352</v>
          </cell>
          <cell r="R958">
            <v>0.56855345911949595</v>
          </cell>
          <cell r="S958">
            <v>901.66045299999996</v>
          </cell>
          <cell r="T958">
            <v>2.1285347043701699</v>
          </cell>
          <cell r="U958">
            <v>625.66002500000002</v>
          </cell>
          <cell r="V958">
            <v>1.9331619537275</v>
          </cell>
        </row>
        <row r="959">
          <cell r="A959" t="str">
            <v>058401</v>
          </cell>
          <cell r="B959">
            <v>1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41.2</v>
          </cell>
          <cell r="P959">
            <v>1</v>
          </cell>
          <cell r="Q959">
            <v>41.2</v>
          </cell>
          <cell r="R959">
            <v>1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</row>
        <row r="960">
          <cell r="A960" t="str">
            <v>058601</v>
          </cell>
          <cell r="B960">
            <v>808.33333300000004</v>
          </cell>
          <cell r="C960">
            <v>10.492841</v>
          </cell>
          <cell r="D960">
            <v>9.9363057324840701E-2</v>
          </cell>
          <cell r="E960">
            <v>10.492841</v>
          </cell>
          <cell r="F960">
            <v>9.9363057324840701E-2</v>
          </cell>
          <cell r="G960">
            <v>31.970343</v>
          </cell>
          <cell r="H960">
            <v>0.17758186397984799</v>
          </cell>
          <cell r="I960">
            <v>31.107384</v>
          </cell>
          <cell r="J960">
            <v>0.175062972292191</v>
          </cell>
          <cell r="K960">
            <v>1292.1657869999999</v>
          </cell>
          <cell r="L960">
            <v>1.3588456712672501</v>
          </cell>
          <cell r="M960">
            <v>695.47685000000001</v>
          </cell>
          <cell r="N960">
            <v>1.1819322459221999</v>
          </cell>
          <cell r="O960">
            <v>68.656852999999998</v>
          </cell>
          <cell r="P960">
            <v>0.285189718482252</v>
          </cell>
          <cell r="Q960">
            <v>68.545959999999994</v>
          </cell>
          <cell r="R960">
            <v>0.28151774785801698</v>
          </cell>
          <cell r="S960">
            <v>462.21706399999999</v>
          </cell>
          <cell r="T960">
            <v>1.3739545997610501</v>
          </cell>
          <cell r="U960">
            <v>454.54532</v>
          </cell>
          <cell r="V960">
            <v>1.3524492234169601</v>
          </cell>
        </row>
        <row r="961">
          <cell r="A961" t="str">
            <v>058602</v>
          </cell>
          <cell r="B961">
            <v>438.5</v>
          </cell>
          <cell r="C961">
            <v>3.4794619999999998</v>
          </cell>
          <cell r="D961">
            <v>1.1627906976744099E-2</v>
          </cell>
          <cell r="E961">
            <v>3.4794619999999998</v>
          </cell>
          <cell r="F961">
            <v>1.1627906976744099E-2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588.61204999999995</v>
          </cell>
          <cell r="L961">
            <v>2.6087912087912</v>
          </cell>
          <cell r="M961">
            <v>156.064908</v>
          </cell>
          <cell r="N961">
            <v>1.21318681318681</v>
          </cell>
          <cell r="O961">
            <v>108.523449</v>
          </cell>
          <cell r="P961">
            <v>0.18968692449355401</v>
          </cell>
          <cell r="Q961">
            <v>26.060773000000001</v>
          </cell>
          <cell r="R961">
            <v>0.13259668508287201</v>
          </cell>
          <cell r="S961">
            <v>150.91484500000001</v>
          </cell>
          <cell r="T961">
            <v>1.6539162112932599</v>
          </cell>
          <cell r="U961">
            <v>150.91484500000001</v>
          </cell>
          <cell r="V961">
            <v>1.6539162112932599</v>
          </cell>
        </row>
        <row r="962">
          <cell r="A962" t="str">
            <v>058604</v>
          </cell>
          <cell r="B962">
            <v>1213.4000000000001</v>
          </cell>
          <cell r="C962">
            <v>324.26567</v>
          </cell>
          <cell r="D962">
            <v>1.9806397306397301</v>
          </cell>
          <cell r="E962">
            <v>303.224852</v>
          </cell>
          <cell r="F962">
            <v>1.9638047138047099</v>
          </cell>
          <cell r="G962">
            <v>779.845598</v>
          </cell>
          <cell r="H962">
            <v>2.6413043478260798</v>
          </cell>
          <cell r="I962">
            <v>610.75228400000003</v>
          </cell>
          <cell r="J962">
            <v>2.5351170568561798</v>
          </cell>
          <cell r="K962">
            <v>701.83879400000001</v>
          </cell>
          <cell r="L962">
            <v>3.9368155012636801</v>
          </cell>
          <cell r="M962">
            <v>688.37534300000004</v>
          </cell>
          <cell r="N962">
            <v>3.9098567818028598</v>
          </cell>
          <cell r="O962">
            <v>249.568016</v>
          </cell>
          <cell r="P962">
            <v>0.50040096230954201</v>
          </cell>
          <cell r="Q962">
            <v>87.759889999999999</v>
          </cell>
          <cell r="R962">
            <v>0.37610264635124202</v>
          </cell>
          <cell r="S962">
            <v>684.83887000000004</v>
          </cell>
          <cell r="T962">
            <v>1.24339471577261</v>
          </cell>
          <cell r="U962">
            <v>282.07016199999998</v>
          </cell>
          <cell r="V962">
            <v>1.0536429143314601</v>
          </cell>
        </row>
        <row r="963">
          <cell r="A963" t="str">
            <v>058606</v>
          </cell>
          <cell r="B963">
            <v>1850.6</v>
          </cell>
          <cell r="C963">
            <v>142.65076400000001</v>
          </cell>
          <cell r="D963">
            <v>0.28237585199610499</v>
          </cell>
          <cell r="E963">
            <v>83.926181</v>
          </cell>
          <cell r="F963">
            <v>0.25121713729308598</v>
          </cell>
          <cell r="G963">
            <v>143.527275</v>
          </cell>
          <cell r="H963">
            <v>0.236548715462918</v>
          </cell>
          <cell r="I963">
            <v>59.153781000000002</v>
          </cell>
          <cell r="J963">
            <v>0.170140571982549</v>
          </cell>
          <cell r="K963">
            <v>80.719560000000001</v>
          </cell>
          <cell r="L963">
            <v>0.179942693409742</v>
          </cell>
          <cell r="M963">
            <v>39.607630999999998</v>
          </cell>
          <cell r="N963">
            <v>0.15014326647564399</v>
          </cell>
          <cell r="O963">
            <v>48.465052</v>
          </cell>
          <cell r="P963">
            <v>0.160332541567695</v>
          </cell>
          <cell r="Q963">
            <v>33.496831999999998</v>
          </cell>
          <cell r="R963">
            <v>0.13895486935866899</v>
          </cell>
          <cell r="S963">
            <v>111.206092</v>
          </cell>
          <cell r="T963">
            <v>0.15582893966022199</v>
          </cell>
          <cell r="U963">
            <v>33.345058999999999</v>
          </cell>
          <cell r="V963">
            <v>0.10193321616871701</v>
          </cell>
        </row>
        <row r="964">
          <cell r="A964" t="str">
            <v>058801</v>
          </cell>
          <cell r="B964">
            <v>1860.777777</v>
          </cell>
          <cell r="C964">
            <v>20.161957000000001</v>
          </cell>
          <cell r="D964">
            <v>0.116010498687664</v>
          </cell>
          <cell r="E964">
            <v>20.125800000000002</v>
          </cell>
          <cell r="F964">
            <v>0.11443569553805701</v>
          </cell>
          <cell r="G964">
            <v>72.752671000000007</v>
          </cell>
          <cell r="H964">
            <v>0.23940677966101601</v>
          </cell>
          <cell r="I964">
            <v>72.735191999999998</v>
          </cell>
          <cell r="J964">
            <v>0.23887711864406699</v>
          </cell>
          <cell r="K964">
            <v>71.083207999999999</v>
          </cell>
          <cell r="L964">
            <v>8.7935656836461096E-2</v>
          </cell>
          <cell r="M964">
            <v>71.083207999999999</v>
          </cell>
          <cell r="N964">
            <v>8.7935656836461096E-2</v>
          </cell>
          <cell r="O964">
            <v>18.783659</v>
          </cell>
          <cell r="P964">
            <v>0.209264305177111</v>
          </cell>
          <cell r="Q964">
            <v>15.881489</v>
          </cell>
          <cell r="R964">
            <v>0.20326975476839201</v>
          </cell>
          <cell r="S964">
            <v>172.72825700000001</v>
          </cell>
          <cell r="T964">
            <v>1.24600110314396</v>
          </cell>
          <cell r="U964">
            <v>140.71062599999999</v>
          </cell>
          <cell r="V964">
            <v>1.21014892443463</v>
          </cell>
        </row>
        <row r="965">
          <cell r="A965" t="str">
            <v>058802</v>
          </cell>
          <cell r="B965">
            <v>2639.2222219999999</v>
          </cell>
          <cell r="C965">
            <v>50.293066000000003</v>
          </cell>
          <cell r="D965">
            <v>0.35167286245353102</v>
          </cell>
          <cell r="E965">
            <v>42.390692000000001</v>
          </cell>
          <cell r="F965">
            <v>0.28029739776951601</v>
          </cell>
          <cell r="G965">
            <v>166.53667100000001</v>
          </cell>
          <cell r="H965">
            <v>1.25395033860045</v>
          </cell>
          <cell r="I965">
            <v>144.44420500000001</v>
          </cell>
          <cell r="J965">
            <v>1.24379232505643</v>
          </cell>
          <cell r="K965">
            <v>36.534044999999999</v>
          </cell>
          <cell r="L965">
            <v>0.23496027241770701</v>
          </cell>
          <cell r="M965">
            <v>36.534044999999999</v>
          </cell>
          <cell r="N965">
            <v>0.23496027241770701</v>
          </cell>
          <cell r="O965">
            <v>175.763634</v>
          </cell>
          <cell r="P965">
            <v>0.96262395118230304</v>
          </cell>
          <cell r="Q965">
            <v>175.682208</v>
          </cell>
          <cell r="R965">
            <v>0.96224256292906096</v>
          </cell>
          <cell r="S965">
            <v>1535.822958</v>
          </cell>
          <cell r="T965">
            <v>0.79767891682785197</v>
          </cell>
          <cell r="U965">
            <v>69.514919000000006</v>
          </cell>
          <cell r="V965">
            <v>0.42321083172147</v>
          </cell>
        </row>
        <row r="966">
          <cell r="A966" t="str">
            <v>058901</v>
          </cell>
          <cell r="B966">
            <v>528.79999999999995</v>
          </cell>
          <cell r="C966">
            <v>3475.8965459999999</v>
          </cell>
          <cell r="D966">
            <v>4.1449999999999996</v>
          </cell>
          <cell r="E966">
            <v>183.22918100000001</v>
          </cell>
          <cell r="F966">
            <v>1.6875</v>
          </cell>
          <cell r="G966">
            <v>1334.260655</v>
          </cell>
          <cell r="H966">
            <v>2.4315068493150598</v>
          </cell>
          <cell r="I966">
            <v>114.192069</v>
          </cell>
          <cell r="J966">
            <v>0.82020547945205402</v>
          </cell>
          <cell r="K966">
            <v>2021.458768</v>
          </cell>
          <cell r="L966">
            <v>1.61672473867595</v>
          </cell>
          <cell r="M966">
            <v>110.128803</v>
          </cell>
          <cell r="N966">
            <v>1.0383275261324001</v>
          </cell>
          <cell r="O966">
            <v>52.230896000000001</v>
          </cell>
          <cell r="P966">
            <v>0.44765342960288801</v>
          </cell>
          <cell r="Q966">
            <v>30.116817000000001</v>
          </cell>
          <cell r="R966">
            <v>0.33574007220216601</v>
          </cell>
          <cell r="S966">
            <v>1742.607362</v>
          </cell>
          <cell r="T966">
            <v>2.13533834586466</v>
          </cell>
          <cell r="U966">
            <v>142.645332</v>
          </cell>
          <cell r="V966">
            <v>0.84210526315789402</v>
          </cell>
        </row>
        <row r="967">
          <cell r="A967" t="str">
            <v>058902</v>
          </cell>
          <cell r="B967">
            <v>936</v>
          </cell>
          <cell r="C967">
            <v>887.97353499999997</v>
          </cell>
          <cell r="D967">
            <v>0.33928571428571402</v>
          </cell>
          <cell r="E967">
            <v>34.715963000000002</v>
          </cell>
          <cell r="F967">
            <v>0.11449579831932701</v>
          </cell>
          <cell r="G967">
            <v>638.64591099999996</v>
          </cell>
          <cell r="H967">
            <v>1.25662778366914</v>
          </cell>
          <cell r="I967">
            <v>167.85316499999999</v>
          </cell>
          <cell r="J967">
            <v>0.64793213149522699</v>
          </cell>
          <cell r="K967">
            <v>729.42295799999999</v>
          </cell>
          <cell r="L967">
            <v>2.6096256684491901</v>
          </cell>
          <cell r="M967">
            <v>710.97194200000001</v>
          </cell>
          <cell r="N967">
            <v>2.5978609625668398</v>
          </cell>
          <cell r="O967">
            <v>229.27185700000001</v>
          </cell>
          <cell r="P967">
            <v>1.34590517241379</v>
          </cell>
          <cell r="Q967">
            <v>229.27185700000001</v>
          </cell>
          <cell r="R967">
            <v>1.34590517241379</v>
          </cell>
          <cell r="S967">
            <v>3989.5288300000002</v>
          </cell>
          <cell r="T967">
            <v>5.9291938997821303</v>
          </cell>
          <cell r="U967">
            <v>144.47409200000001</v>
          </cell>
          <cell r="V967">
            <v>0.67538126361655704</v>
          </cell>
        </row>
        <row r="968">
          <cell r="A968" t="str">
            <v>058903</v>
          </cell>
          <cell r="B968">
            <v>527.20000000000005</v>
          </cell>
          <cell r="C968">
            <v>206.787487</v>
          </cell>
          <cell r="D968">
            <v>1.4507874015747999</v>
          </cell>
          <cell r="E968">
            <v>196.79764299999999</v>
          </cell>
          <cell r="F968">
            <v>1.4468503937007799</v>
          </cell>
          <cell r="G968">
            <v>231.02381399999999</v>
          </cell>
          <cell r="H968">
            <v>0.74015748031495998</v>
          </cell>
          <cell r="I968">
            <v>219.88014699999999</v>
          </cell>
          <cell r="J968">
            <v>0.73031496062992096</v>
          </cell>
          <cell r="K968">
            <v>118.655434</v>
          </cell>
          <cell r="L968">
            <v>0.499999999999999</v>
          </cell>
          <cell r="M968">
            <v>111.32440699999999</v>
          </cell>
          <cell r="N968">
            <v>0.49604743083003899</v>
          </cell>
          <cell r="O968">
            <v>13.902877999999999</v>
          </cell>
          <cell r="P968">
            <v>0.14363636363636301</v>
          </cell>
          <cell r="Q968">
            <v>7.4968180000000002</v>
          </cell>
          <cell r="R968">
            <v>0.13090909090909</v>
          </cell>
          <cell r="S968">
            <v>501.47491000000002</v>
          </cell>
          <cell r="T968">
            <v>1.1010638297872299</v>
          </cell>
          <cell r="U968">
            <v>29.521749</v>
          </cell>
          <cell r="V968">
            <v>0.26773049645390001</v>
          </cell>
        </row>
        <row r="969">
          <cell r="A969" t="str">
            <v>059101</v>
          </cell>
          <cell r="B969">
            <v>1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250</v>
          </cell>
          <cell r="P969">
            <v>1</v>
          </cell>
          <cell r="Q969">
            <v>250</v>
          </cell>
          <cell r="R969">
            <v>1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</row>
        <row r="970">
          <cell r="A970" t="str">
            <v>059401</v>
          </cell>
          <cell r="B970">
            <v>802.11111100000005</v>
          </cell>
          <cell r="C970">
            <v>864.97643000000005</v>
          </cell>
          <cell r="D970">
            <v>1.4186746987951799</v>
          </cell>
          <cell r="E970">
            <v>181.58622500000001</v>
          </cell>
          <cell r="F970">
            <v>0.67771084337349297</v>
          </cell>
          <cell r="G970">
            <v>142.750496</v>
          </cell>
          <cell r="H970">
            <v>1.25178389398572</v>
          </cell>
          <cell r="I970">
            <v>142.750496</v>
          </cell>
          <cell r="J970">
            <v>1.25178389398572</v>
          </cell>
          <cell r="K970">
            <v>60.524597999999997</v>
          </cell>
          <cell r="L970">
            <v>0.39099283520982497</v>
          </cell>
          <cell r="M970">
            <v>51.511429</v>
          </cell>
          <cell r="N970">
            <v>0.37563971340839297</v>
          </cell>
          <cell r="O970">
            <v>151.97194099999999</v>
          </cell>
          <cell r="P970">
            <v>1.59371492704826</v>
          </cell>
          <cell r="Q970">
            <v>96.510717999999997</v>
          </cell>
          <cell r="R970">
            <v>1.03591470258136</v>
          </cell>
          <cell r="S970">
            <v>1457.3237750000001</v>
          </cell>
          <cell r="T970">
            <v>1.45593035908596</v>
          </cell>
          <cell r="U970">
            <v>1418.847098</v>
          </cell>
          <cell r="V970">
            <v>1.2785636561479801</v>
          </cell>
        </row>
        <row r="971">
          <cell r="A971" t="str">
            <v>059402</v>
          </cell>
          <cell r="B971">
            <v>1959.6</v>
          </cell>
          <cell r="C971">
            <v>751.66656999999998</v>
          </cell>
          <cell r="D971">
            <v>0.70983687592684097</v>
          </cell>
          <cell r="E971">
            <v>45.045364999999997</v>
          </cell>
          <cell r="F971">
            <v>0.22639644092931199</v>
          </cell>
          <cell r="G971">
            <v>65.166471000000001</v>
          </cell>
          <cell r="H971">
            <v>0.32197530864197499</v>
          </cell>
          <cell r="I971">
            <v>36.086925000000001</v>
          </cell>
          <cell r="J971">
            <v>0.27654320987654302</v>
          </cell>
          <cell r="K971">
            <v>265.385695</v>
          </cell>
          <cell r="L971">
            <v>0.65047099652949902</v>
          </cell>
          <cell r="M971">
            <v>110.137968</v>
          </cell>
          <cell r="N971">
            <v>0.47496281606346002</v>
          </cell>
          <cell r="O971">
            <v>229.76459199999999</v>
          </cell>
          <cell r="P971">
            <v>1.11298207495926</v>
          </cell>
          <cell r="Q971">
            <v>220.22741199999999</v>
          </cell>
          <cell r="R971">
            <v>1.10211841390548</v>
          </cell>
          <cell r="S971">
            <v>168.02015399999999</v>
          </cell>
          <cell r="T971">
            <v>0.54968287526426995</v>
          </cell>
          <cell r="U971">
            <v>166.736997</v>
          </cell>
          <cell r="V971">
            <v>0.53276955602536902</v>
          </cell>
        </row>
        <row r="972">
          <cell r="A972" t="str">
            <v>059501</v>
          </cell>
          <cell r="B972">
            <v>569.4</v>
          </cell>
          <cell r="C972">
            <v>784.77531199999999</v>
          </cell>
          <cell r="D972">
            <v>1.4214162348877299</v>
          </cell>
          <cell r="E972">
            <v>135.20207400000001</v>
          </cell>
          <cell r="F972">
            <v>0.87564766839378205</v>
          </cell>
          <cell r="G972">
            <v>1592.129923</v>
          </cell>
          <cell r="H972">
            <v>5.8578947368421002</v>
          </cell>
          <cell r="I972">
            <v>291.24260099999998</v>
          </cell>
          <cell r="J972">
            <v>2.2631578947368398</v>
          </cell>
          <cell r="K972">
            <v>2025.232307</v>
          </cell>
          <cell r="L972">
            <v>3.8945518453427002</v>
          </cell>
          <cell r="M972">
            <v>485.77835299999998</v>
          </cell>
          <cell r="N972">
            <v>3.0755711775043899</v>
          </cell>
          <cell r="O972">
            <v>145.688828</v>
          </cell>
          <cell r="P972">
            <v>0.59677419354838701</v>
          </cell>
          <cell r="Q972">
            <v>91.747431000000006</v>
          </cell>
          <cell r="R972">
            <v>0.41039426523297401</v>
          </cell>
          <cell r="S972">
            <v>580.71844599999997</v>
          </cell>
          <cell r="T972">
            <v>2.2014010507880899</v>
          </cell>
          <cell r="U972">
            <v>66.743374000000003</v>
          </cell>
          <cell r="V972">
            <v>0.367775831873905</v>
          </cell>
        </row>
        <row r="973">
          <cell r="A973" t="str">
            <v>059502</v>
          </cell>
          <cell r="B973">
            <v>640.4</v>
          </cell>
          <cell r="C973">
            <v>1508.1679140000001</v>
          </cell>
          <cell r="D973">
            <v>1.2885802469135801</v>
          </cell>
          <cell r="E973">
            <v>57.554113000000001</v>
          </cell>
          <cell r="F973">
            <v>0.22839506172839499</v>
          </cell>
          <cell r="G973">
            <v>347.22533499999997</v>
          </cell>
          <cell r="H973">
            <v>0.93322981366459601</v>
          </cell>
          <cell r="I973">
            <v>225.42141000000001</v>
          </cell>
          <cell r="J973">
            <v>0.8027950310559</v>
          </cell>
          <cell r="K973">
            <v>552.767473</v>
          </cell>
          <cell r="L973">
            <v>3.6656249999999999</v>
          </cell>
          <cell r="M973">
            <v>228.02981700000001</v>
          </cell>
          <cell r="N973">
            <v>2.5015624999999999</v>
          </cell>
          <cell r="O973">
            <v>793.14028299999995</v>
          </cell>
          <cell r="P973">
            <v>1.3475513428120001</v>
          </cell>
          <cell r="Q973">
            <v>285.05023599999998</v>
          </cell>
          <cell r="R973">
            <v>1.16113744075829</v>
          </cell>
          <cell r="S973">
            <v>1579.1201719999999</v>
          </cell>
          <cell r="T973">
            <v>2.7802197802197801</v>
          </cell>
          <cell r="U973">
            <v>117.453113</v>
          </cell>
          <cell r="V973">
            <v>0.80690737833594905</v>
          </cell>
        </row>
        <row r="974">
          <cell r="A974" t="str">
            <v>059701</v>
          </cell>
          <cell r="B974">
            <v>1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23</v>
          </cell>
          <cell r="T974">
            <v>1</v>
          </cell>
          <cell r="U974">
            <v>23</v>
          </cell>
          <cell r="V974">
            <v>1</v>
          </cell>
        </row>
        <row r="975">
          <cell r="A975" t="str">
            <v>059901</v>
          </cell>
          <cell r="B975">
            <v>1029.5999999999999</v>
          </cell>
          <cell r="C975">
            <v>573.14048700000001</v>
          </cell>
          <cell r="D975">
            <v>2.92181467181467</v>
          </cell>
          <cell r="E975">
            <v>351.13668000000001</v>
          </cell>
          <cell r="F975">
            <v>2.2364864864864802</v>
          </cell>
          <cell r="G975">
            <v>536.02717399999995</v>
          </cell>
          <cell r="H975">
            <v>1.3626692456479601</v>
          </cell>
          <cell r="I975">
            <v>197.22028800000001</v>
          </cell>
          <cell r="J975">
            <v>1.15280464216634</v>
          </cell>
          <cell r="K975">
            <v>1079.340445</v>
          </cell>
          <cell r="L975">
            <v>3.4384093113482002</v>
          </cell>
          <cell r="M975">
            <v>343.616084</v>
          </cell>
          <cell r="N975">
            <v>2.0067895247332599</v>
          </cell>
          <cell r="O975">
            <v>1017.280223</v>
          </cell>
          <cell r="P975">
            <v>2.61328125</v>
          </cell>
          <cell r="Q975">
            <v>482.96956299999999</v>
          </cell>
          <cell r="R975">
            <v>1.6572265625</v>
          </cell>
          <cell r="S975">
            <v>167.20022700000001</v>
          </cell>
          <cell r="T975">
            <v>1.1016617790811301</v>
          </cell>
          <cell r="U975">
            <v>164.85933499999999</v>
          </cell>
          <cell r="V975">
            <v>1.0879765395894401</v>
          </cell>
        </row>
        <row r="976">
          <cell r="A976" t="str">
            <v>059902</v>
          </cell>
          <cell r="B976">
            <v>990.77777700000001</v>
          </cell>
          <cell r="C976">
            <v>63.193548</v>
          </cell>
          <cell r="D976">
            <v>1.1126903553299401</v>
          </cell>
          <cell r="E976">
            <v>63.193548</v>
          </cell>
          <cell r="F976">
            <v>1.1126903553299401</v>
          </cell>
          <cell r="G976">
            <v>269.91361699999999</v>
          </cell>
          <cell r="H976">
            <v>0.57921291624621496</v>
          </cell>
          <cell r="I976">
            <v>72.780612000000005</v>
          </cell>
          <cell r="J976">
            <v>0.47729566094853598</v>
          </cell>
          <cell r="K976">
            <v>525.15970300000004</v>
          </cell>
          <cell r="L976">
            <v>1.2280524722502499</v>
          </cell>
          <cell r="M976">
            <v>39.683298999999998</v>
          </cell>
          <cell r="N976">
            <v>0.13420787083753699</v>
          </cell>
          <cell r="O976">
            <v>533.40387699999997</v>
          </cell>
          <cell r="P976">
            <v>1.34743202416918</v>
          </cell>
          <cell r="Q976">
            <v>421.88887199999999</v>
          </cell>
          <cell r="R976">
            <v>1.28298086606243</v>
          </cell>
          <cell r="S976">
            <v>172.68789000000001</v>
          </cell>
          <cell r="T976">
            <v>1.05650857719475</v>
          </cell>
          <cell r="U976">
            <v>172.08067600000001</v>
          </cell>
          <cell r="V976">
            <v>1.05449041372351</v>
          </cell>
        </row>
        <row r="977">
          <cell r="A977" t="str">
            <v>060101</v>
          </cell>
          <cell r="B977">
            <v>434.55555500000003</v>
          </cell>
          <cell r="C977">
            <v>116.75560400000001</v>
          </cell>
          <cell r="D977">
            <v>0.65903890160182999</v>
          </cell>
          <cell r="E977">
            <v>114.58120700000001</v>
          </cell>
          <cell r="F977">
            <v>0.63844393592677295</v>
          </cell>
          <cell r="G977">
            <v>249.585339</v>
          </cell>
          <cell r="H977">
            <v>1.93548387096774</v>
          </cell>
          <cell r="I977">
            <v>176.98760799999999</v>
          </cell>
          <cell r="J977">
            <v>1.85023041474654</v>
          </cell>
          <cell r="K977">
            <v>510.619528</v>
          </cell>
          <cell r="L977">
            <v>1.82598607888631</v>
          </cell>
          <cell r="M977">
            <v>510.619528</v>
          </cell>
          <cell r="N977">
            <v>1.82598607888631</v>
          </cell>
          <cell r="O977">
            <v>720.33852899999999</v>
          </cell>
          <cell r="P977">
            <v>3.7806004618937599</v>
          </cell>
          <cell r="Q977">
            <v>701.28002300000003</v>
          </cell>
          <cell r="R977">
            <v>3.7644341801385601</v>
          </cell>
          <cell r="S977">
            <v>1858.319724</v>
          </cell>
          <cell r="T977">
            <v>8.0665137614678795</v>
          </cell>
          <cell r="U977">
            <v>1404.2409399999999</v>
          </cell>
          <cell r="V977">
            <v>6.4174311926605503</v>
          </cell>
        </row>
        <row r="978">
          <cell r="A978" t="str">
            <v>060102</v>
          </cell>
          <cell r="B978">
            <v>1025.444444</v>
          </cell>
          <cell r="C978">
            <v>1020.539461</v>
          </cell>
          <cell r="D978">
            <v>5.7671957671957603</v>
          </cell>
          <cell r="E978">
            <v>1020.539461</v>
          </cell>
          <cell r="F978">
            <v>5.7671957671957603</v>
          </cell>
          <cell r="G978">
            <v>826.60458900000003</v>
          </cell>
          <cell r="H978">
            <v>4.0554041780199803</v>
          </cell>
          <cell r="I978">
            <v>439.40371399999998</v>
          </cell>
          <cell r="J978">
            <v>3.11625794732061</v>
          </cell>
          <cell r="K978">
            <v>1679.668615</v>
          </cell>
          <cell r="L978">
            <v>1.7797074954296099</v>
          </cell>
          <cell r="M978">
            <v>88.764076000000003</v>
          </cell>
          <cell r="N978">
            <v>0.59506398537477101</v>
          </cell>
          <cell r="O978">
            <v>1309.7206120000001</v>
          </cell>
          <cell r="P978">
            <v>4.7446808510638201</v>
          </cell>
          <cell r="Q978">
            <v>242.829216</v>
          </cell>
          <cell r="R978">
            <v>1.7622571692876901</v>
          </cell>
          <cell r="S978">
            <v>843.59326899999996</v>
          </cell>
          <cell r="T978">
            <v>3.0985781990521302</v>
          </cell>
          <cell r="U978">
            <v>344.74107400000003</v>
          </cell>
          <cell r="V978">
            <v>2.0312796208530801</v>
          </cell>
        </row>
        <row r="979">
          <cell r="A979" t="str">
            <v>060103</v>
          </cell>
          <cell r="B979">
            <v>505.8</v>
          </cell>
          <cell r="C979">
            <v>19.380633</v>
          </cell>
          <cell r="D979">
            <v>0.13802083333333301</v>
          </cell>
          <cell r="E979">
            <v>18.434822</v>
          </cell>
          <cell r="F979">
            <v>0.1328125</v>
          </cell>
          <cell r="G979">
            <v>511.521142</v>
          </cell>
          <cell r="H979">
            <v>2.54343807763401</v>
          </cell>
          <cell r="I979">
            <v>312.66672899999998</v>
          </cell>
          <cell r="J979">
            <v>2.4269870609981501</v>
          </cell>
          <cell r="K979">
            <v>2315.7408460000001</v>
          </cell>
          <cell r="L979">
            <v>4.2189239332096404</v>
          </cell>
          <cell r="M979">
            <v>21.049009999999999</v>
          </cell>
          <cell r="N979">
            <v>0.15213358070500901</v>
          </cell>
          <cell r="O979">
            <v>393.20510100000001</v>
          </cell>
          <cell r="P979">
            <v>1.1335807050092701</v>
          </cell>
          <cell r="Q979">
            <v>250.496351</v>
          </cell>
          <cell r="R979">
            <v>0.79777365491651198</v>
          </cell>
          <cell r="S979">
            <v>1233.4434080000001</v>
          </cell>
          <cell r="T979">
            <v>4.1083650190113996</v>
          </cell>
          <cell r="U979">
            <v>1118.615082</v>
          </cell>
          <cell r="V979">
            <v>3.4125475285171101</v>
          </cell>
        </row>
        <row r="980">
          <cell r="A980" t="str">
            <v>060201</v>
          </cell>
          <cell r="B980">
            <v>499</v>
          </cell>
          <cell r="C980">
            <v>2937.3709269999999</v>
          </cell>
          <cell r="D980">
            <v>5.9226006191950402</v>
          </cell>
          <cell r="E980">
            <v>920.44810299999995</v>
          </cell>
          <cell r="F980">
            <v>4.5417956656346696</v>
          </cell>
          <cell r="G980">
            <v>233.16515799999999</v>
          </cell>
          <cell r="H980">
            <v>1.25902668759811</v>
          </cell>
          <cell r="I980">
            <v>212.50716</v>
          </cell>
          <cell r="J980">
            <v>1.22605965463108</v>
          </cell>
          <cell r="K980">
            <v>929.85167799999999</v>
          </cell>
          <cell r="L980">
            <v>1.6157480314960599</v>
          </cell>
          <cell r="M980">
            <v>45.614356000000001</v>
          </cell>
          <cell r="N980">
            <v>0.42834645669291299</v>
          </cell>
          <cell r="O980">
            <v>898.30216299999995</v>
          </cell>
          <cell r="P980">
            <v>1.3589743589743499</v>
          </cell>
          <cell r="Q980">
            <v>111.978472</v>
          </cell>
          <cell r="R980">
            <v>0.61698717948717896</v>
          </cell>
          <cell r="S980">
            <v>3551.5529580000002</v>
          </cell>
          <cell r="T980">
            <v>4.4637681159420204</v>
          </cell>
          <cell r="U980">
            <v>100.81835700000001</v>
          </cell>
          <cell r="V980">
            <v>0.98550724637681097</v>
          </cell>
        </row>
        <row r="981">
          <cell r="A981" t="str">
            <v>060202</v>
          </cell>
          <cell r="B981">
            <v>856.4</v>
          </cell>
          <cell r="C981">
            <v>4363.0739510000003</v>
          </cell>
          <cell r="D981">
            <v>9.65573770491803</v>
          </cell>
          <cell r="E981">
            <v>1790.288517</v>
          </cell>
          <cell r="F981">
            <v>8.0127504553733999</v>
          </cell>
          <cell r="G981">
            <v>1076.7406000000001</v>
          </cell>
          <cell r="H981">
            <v>3.7060465116279002</v>
          </cell>
          <cell r="I981">
            <v>482.68207000000001</v>
          </cell>
          <cell r="J981">
            <v>2.0967441860465099</v>
          </cell>
          <cell r="K981">
            <v>620.50501899999995</v>
          </cell>
          <cell r="L981">
            <v>2.1272217025257198</v>
          </cell>
          <cell r="M981">
            <v>233.60595499999999</v>
          </cell>
          <cell r="N981">
            <v>1.3395696913002799</v>
          </cell>
          <cell r="O981">
            <v>518.17715199999998</v>
          </cell>
          <cell r="P981">
            <v>2.24976167778836</v>
          </cell>
          <cell r="Q981">
            <v>426.440562</v>
          </cell>
          <cell r="R981">
            <v>2.0390848427073398</v>
          </cell>
          <cell r="S981">
            <v>4325.6370669999997</v>
          </cell>
          <cell r="T981">
            <v>3.7870370370370301</v>
          </cell>
          <cell r="U981">
            <v>763.60185100000001</v>
          </cell>
          <cell r="V981">
            <v>2.0351851851851799</v>
          </cell>
        </row>
        <row r="982">
          <cell r="A982" t="str">
            <v>060203</v>
          </cell>
          <cell r="B982">
            <v>1011.2</v>
          </cell>
          <cell r="C982">
            <v>6951.7111910000003</v>
          </cell>
          <cell r="D982">
            <v>14.824512534818901</v>
          </cell>
          <cell r="E982">
            <v>1942.6047120000001</v>
          </cell>
          <cell r="F982">
            <v>10.2144846796657</v>
          </cell>
          <cell r="G982">
            <v>271.68875500000001</v>
          </cell>
          <cell r="H982">
            <v>1.4136504653567701</v>
          </cell>
          <cell r="I982">
            <v>267.09842400000002</v>
          </cell>
          <cell r="J982">
            <v>1.4022750775594599</v>
          </cell>
          <cell r="K982">
            <v>808.01718500000004</v>
          </cell>
          <cell r="L982">
            <v>2.6141078838174199</v>
          </cell>
          <cell r="M982">
            <v>263.80359600000003</v>
          </cell>
          <cell r="N982">
            <v>2.2946058091286301</v>
          </cell>
          <cell r="O982">
            <v>447.45558299999999</v>
          </cell>
          <cell r="P982">
            <v>1.50208768267223</v>
          </cell>
          <cell r="Q982">
            <v>199.81776199999999</v>
          </cell>
          <cell r="R982">
            <v>0.78810020876826703</v>
          </cell>
          <cell r="S982">
            <v>301.19265200000001</v>
          </cell>
          <cell r="T982">
            <v>0.37721238938052998</v>
          </cell>
          <cell r="U982">
            <v>37.106369000000001</v>
          </cell>
          <cell r="V982">
            <v>0.25608407079646001</v>
          </cell>
        </row>
        <row r="983">
          <cell r="A983" t="str">
            <v>060204</v>
          </cell>
          <cell r="B983">
            <v>437.8</v>
          </cell>
          <cell r="C983">
            <v>5369.020888</v>
          </cell>
          <cell r="D983">
            <v>3.9123505976095601</v>
          </cell>
          <cell r="E983">
            <v>624.24318600000004</v>
          </cell>
          <cell r="F983">
            <v>1.87250996015936</v>
          </cell>
          <cell r="G983">
            <v>359.42091900000003</v>
          </cell>
          <cell r="H983">
            <v>1.8377281947261599</v>
          </cell>
          <cell r="I983">
            <v>242.79587900000001</v>
          </cell>
          <cell r="J983">
            <v>1.4279918864097301</v>
          </cell>
          <cell r="K983">
            <v>1160.6251850000001</v>
          </cell>
          <cell r="L983">
            <v>3.1805273833671301</v>
          </cell>
          <cell r="M983">
            <v>516.26886400000001</v>
          </cell>
          <cell r="N983">
            <v>2.3042596348884299</v>
          </cell>
          <cell r="O983">
            <v>153.856932</v>
          </cell>
          <cell r="P983">
            <v>1.0327868852458999</v>
          </cell>
          <cell r="Q983">
            <v>122.197472</v>
          </cell>
          <cell r="R983">
            <v>0.91393442622950805</v>
          </cell>
          <cell r="S983">
            <v>754.81145700000002</v>
          </cell>
          <cell r="T983">
            <v>1.2068965517241299</v>
          </cell>
          <cell r="U983">
            <v>132.89202499999999</v>
          </cell>
          <cell r="V983">
            <v>0.881465517241379</v>
          </cell>
        </row>
        <row r="984">
          <cell r="A984" t="str">
            <v>060401</v>
          </cell>
          <cell r="B984">
            <v>1076.75</v>
          </cell>
          <cell r="C984">
            <v>2344.0793600000002</v>
          </cell>
          <cell r="D984">
            <v>1.02886405959031</v>
          </cell>
          <cell r="E984">
            <v>5.4839029999999998</v>
          </cell>
          <cell r="F984">
            <v>2.1415270018621899E-2</v>
          </cell>
          <cell r="G984">
            <v>912.64627700000005</v>
          </cell>
          <cell r="H984">
            <v>2.1910946196660399</v>
          </cell>
          <cell r="I984">
            <v>4.7243339999999998</v>
          </cell>
          <cell r="J984">
            <v>3.8033395176252302E-2</v>
          </cell>
          <cell r="K984">
            <v>51.682203999999999</v>
          </cell>
          <cell r="L984">
            <v>0.21799628942485999</v>
          </cell>
          <cell r="M984">
            <v>21.856245999999999</v>
          </cell>
          <cell r="N984">
            <v>0.20686456400742101</v>
          </cell>
          <cell r="O984">
            <v>8.6168669999999992</v>
          </cell>
          <cell r="P984">
            <v>0.11688311688311601</v>
          </cell>
          <cell r="Q984">
            <v>8.6168669999999992</v>
          </cell>
          <cell r="R984">
            <v>0.11688311688311601</v>
          </cell>
          <cell r="S984">
            <v>30.050757999999998</v>
          </cell>
          <cell r="T984">
            <v>0.13382899628252701</v>
          </cell>
          <cell r="U984">
            <v>30.050757999999998</v>
          </cell>
          <cell r="V984">
            <v>0.13382899628252701</v>
          </cell>
        </row>
        <row r="985">
          <cell r="A985" t="str">
            <v>060402</v>
          </cell>
          <cell r="B985">
            <v>1095.333333</v>
          </cell>
          <cell r="C985">
            <v>161.59796800000001</v>
          </cell>
          <cell r="D985">
            <v>0.15472027972027899</v>
          </cell>
          <cell r="E985">
            <v>34.312945999999997</v>
          </cell>
          <cell r="F985">
            <v>8.3041958041958006E-2</v>
          </cell>
          <cell r="G985">
            <v>46.027613000000002</v>
          </cell>
          <cell r="H985">
            <v>0.183958151700087</v>
          </cell>
          <cell r="I985">
            <v>8.7391389999999998</v>
          </cell>
          <cell r="J985">
            <v>8.0209241499564002E-2</v>
          </cell>
          <cell r="K985">
            <v>234.27587800000001</v>
          </cell>
          <cell r="L985">
            <v>0.595466434176111</v>
          </cell>
          <cell r="M985">
            <v>215.34700599999999</v>
          </cell>
          <cell r="N985">
            <v>0.530950305143853</v>
          </cell>
          <cell r="O985">
            <v>600.17041800000004</v>
          </cell>
          <cell r="P985">
            <v>1.88505747126436</v>
          </cell>
          <cell r="Q985">
            <v>600.17041800000004</v>
          </cell>
          <cell r="R985">
            <v>1.88505747126436</v>
          </cell>
          <cell r="S985">
            <v>21.664549999999998</v>
          </cell>
          <cell r="T985">
            <v>0.13622291021671801</v>
          </cell>
          <cell r="U985">
            <v>20.195889000000001</v>
          </cell>
          <cell r="V985">
            <v>0.13519091847265199</v>
          </cell>
        </row>
        <row r="986">
          <cell r="A986" t="str">
            <v>060601</v>
          </cell>
          <cell r="B986">
            <v>1557.6</v>
          </cell>
          <cell r="C986">
            <v>2408.2300030000001</v>
          </cell>
          <cell r="D986">
            <v>2.8541666666666599</v>
          </cell>
          <cell r="E986">
            <v>214.409389</v>
          </cell>
          <cell r="F986">
            <v>1.69191919191919</v>
          </cell>
          <cell r="G986">
            <v>2904.4788760000001</v>
          </cell>
          <cell r="H986">
            <v>5.6704980842911796</v>
          </cell>
          <cell r="I986">
            <v>668.57914100000005</v>
          </cell>
          <cell r="J986">
            <v>2.47254150702426</v>
          </cell>
          <cell r="K986">
            <v>1724.008157</v>
          </cell>
          <cell r="L986">
            <v>5.6052129688493304</v>
          </cell>
          <cell r="M986">
            <v>714.42634999999996</v>
          </cell>
          <cell r="N986">
            <v>3.0228862047043799</v>
          </cell>
          <cell r="O986">
            <v>851.39261999999997</v>
          </cell>
          <cell r="P986">
            <v>2.7098886705959302</v>
          </cell>
          <cell r="Q986">
            <v>468.01345700000002</v>
          </cell>
          <cell r="R986">
            <v>1.59593975114603</v>
          </cell>
          <cell r="S986">
            <v>715.33475199999998</v>
          </cell>
          <cell r="T986">
            <v>2.3413524057217101</v>
          </cell>
          <cell r="U986">
            <v>259.80909100000002</v>
          </cell>
          <cell r="V986">
            <v>1.4791937581274299</v>
          </cell>
        </row>
        <row r="987">
          <cell r="A987" t="str">
            <v>060602</v>
          </cell>
          <cell r="B987">
            <v>822</v>
          </cell>
          <cell r="C987">
            <v>1277.2336519999999</v>
          </cell>
          <cell r="D987">
            <v>1.5758661887694101</v>
          </cell>
          <cell r="E987">
            <v>300.547169</v>
          </cell>
          <cell r="F987">
            <v>1.3859020310633201</v>
          </cell>
          <cell r="G987">
            <v>597.67724799999996</v>
          </cell>
          <cell r="H987">
            <v>1.69693251533742</v>
          </cell>
          <cell r="I987">
            <v>330.64285599999999</v>
          </cell>
          <cell r="J987">
            <v>1.4122699386502999</v>
          </cell>
          <cell r="K987">
            <v>729.88164200000006</v>
          </cell>
          <cell r="L987">
            <v>1.54830917874396</v>
          </cell>
          <cell r="M987">
            <v>215.02520100000001</v>
          </cell>
          <cell r="N987">
            <v>1.01811594202898</v>
          </cell>
          <cell r="O987">
            <v>372.801807</v>
          </cell>
          <cell r="P987">
            <v>1.6485819975339</v>
          </cell>
          <cell r="Q987">
            <v>209.07640699999999</v>
          </cell>
          <cell r="R987">
            <v>1.2046855733662101</v>
          </cell>
          <cell r="S987">
            <v>766.80602199999998</v>
          </cell>
          <cell r="T987">
            <v>1.73992673992673</v>
          </cell>
          <cell r="U987">
            <v>245.51190399999999</v>
          </cell>
          <cell r="V987">
            <v>1.0989010989010899</v>
          </cell>
        </row>
        <row r="988">
          <cell r="A988" t="str">
            <v>060701</v>
          </cell>
          <cell r="B988">
            <v>3196.6666660000001</v>
          </cell>
          <cell r="C988">
            <v>509.27408300000002</v>
          </cell>
          <cell r="D988">
            <v>1.2095119676717401</v>
          </cell>
          <cell r="E988">
            <v>69.294263999999998</v>
          </cell>
          <cell r="F988">
            <v>0.920733602735467</v>
          </cell>
          <cell r="G988">
            <v>15.060185000000001</v>
          </cell>
          <cell r="H988">
            <v>8.8327091136079894E-2</v>
          </cell>
          <cell r="I988">
            <v>14.264575000000001</v>
          </cell>
          <cell r="J988">
            <v>8.6142322097378196E-2</v>
          </cell>
          <cell r="K988">
            <v>310.02069399999999</v>
          </cell>
          <cell r="L988">
            <v>1.6437069505322399</v>
          </cell>
          <cell r="M988">
            <v>111.805218</v>
          </cell>
          <cell r="N988">
            <v>1.48497182216656</v>
          </cell>
          <cell r="O988">
            <v>324.82834000000003</v>
          </cell>
          <cell r="P988">
            <v>3.72326454033771</v>
          </cell>
          <cell r="Q988">
            <v>324.82834000000003</v>
          </cell>
          <cell r="R988">
            <v>3.72326454033771</v>
          </cell>
          <cell r="S988">
            <v>80.090873999999999</v>
          </cell>
          <cell r="T988">
            <v>0.17250078839482799</v>
          </cell>
          <cell r="U988">
            <v>36.606138000000001</v>
          </cell>
          <cell r="V988">
            <v>0.15137180700094599</v>
          </cell>
        </row>
        <row r="989">
          <cell r="A989" t="str">
            <v>060702</v>
          </cell>
          <cell r="B989">
            <v>1426.4</v>
          </cell>
          <cell r="C989">
            <v>97.906459999999996</v>
          </cell>
          <cell r="D989">
            <v>0.42557651991614198</v>
          </cell>
          <cell r="E989">
            <v>31.275193999999999</v>
          </cell>
          <cell r="F989">
            <v>0.38225017470300399</v>
          </cell>
          <cell r="G989">
            <v>54.801772999999997</v>
          </cell>
          <cell r="H989">
            <v>0.441958041958041</v>
          </cell>
          <cell r="I989">
            <v>53.595536000000003</v>
          </cell>
          <cell r="J989">
            <v>0.439860139860139</v>
          </cell>
          <cell r="K989">
            <v>18.763276000000001</v>
          </cell>
          <cell r="L989">
            <v>6.4290705800139694E-2</v>
          </cell>
          <cell r="M989">
            <v>2.5597129999999999</v>
          </cell>
          <cell r="N989">
            <v>2.3060796645702299E-2</v>
          </cell>
          <cell r="O989">
            <v>34.704234999999997</v>
          </cell>
          <cell r="P989">
            <v>3.3519553072625601E-2</v>
          </cell>
          <cell r="Q989">
            <v>0.75460799999999995</v>
          </cell>
          <cell r="R989">
            <v>1.2569832402234599E-2</v>
          </cell>
          <cell r="S989">
            <v>126.03992599999999</v>
          </cell>
          <cell r="T989">
            <v>0.12571022727272699</v>
          </cell>
          <cell r="U989">
            <v>76.986954999999995</v>
          </cell>
          <cell r="V989">
            <v>0.11221590909090901</v>
          </cell>
        </row>
        <row r="990">
          <cell r="A990" t="str">
            <v>060801</v>
          </cell>
          <cell r="B990">
            <v>320.2</v>
          </cell>
          <cell r="C990">
            <v>679.65555500000005</v>
          </cell>
          <cell r="D990">
            <v>2.13291139240506</v>
          </cell>
          <cell r="E990">
            <v>557.56305799999996</v>
          </cell>
          <cell r="F990">
            <v>2.1012658227848098</v>
          </cell>
          <cell r="G990">
            <v>2129.2801359999999</v>
          </cell>
          <cell r="H990">
            <v>4.45</v>
          </cell>
          <cell r="I990">
            <v>694.74955799999998</v>
          </cell>
          <cell r="J990">
            <v>2.3187500000000001</v>
          </cell>
          <cell r="K990">
            <v>2045.7740389999999</v>
          </cell>
          <cell r="L990">
            <v>2.7445482866043598</v>
          </cell>
          <cell r="M990">
            <v>425.370768</v>
          </cell>
          <cell r="N990">
            <v>1.09657320872274</v>
          </cell>
          <cell r="O990">
            <v>8.7541139999999995</v>
          </cell>
          <cell r="P990">
            <v>0.101851851851851</v>
          </cell>
          <cell r="Q990">
            <v>2.545061</v>
          </cell>
          <cell r="R990">
            <v>5.2469135802469098E-2</v>
          </cell>
          <cell r="S990">
            <v>864.60437400000001</v>
          </cell>
          <cell r="T990">
            <v>3.5562499999999999</v>
          </cell>
          <cell r="U990">
            <v>861.11427000000003</v>
          </cell>
          <cell r="V990">
            <v>3.4937499999999999</v>
          </cell>
        </row>
        <row r="991">
          <cell r="A991" t="str">
            <v>060802</v>
          </cell>
          <cell r="B991">
            <v>229.25</v>
          </cell>
          <cell r="C991">
            <v>972.31505900000002</v>
          </cell>
          <cell r="D991">
            <v>1.72413793103448</v>
          </cell>
          <cell r="E991">
            <v>182.198418</v>
          </cell>
          <cell r="F991">
            <v>1.40948275862068</v>
          </cell>
          <cell r="G991">
            <v>848.48058900000001</v>
          </cell>
          <cell r="H991">
            <v>2</v>
          </cell>
          <cell r="I991">
            <v>848.48058900000001</v>
          </cell>
          <cell r="J991">
            <v>2</v>
          </cell>
          <cell r="K991">
            <v>14.829824</v>
          </cell>
          <cell r="L991">
            <v>3.07017543859649E-2</v>
          </cell>
          <cell r="M991">
            <v>11.219443999999999</v>
          </cell>
          <cell r="N991">
            <v>2.1929824561403501E-2</v>
          </cell>
          <cell r="O991">
            <v>542.36747400000002</v>
          </cell>
          <cell r="P991">
            <v>4.0396475770925102</v>
          </cell>
          <cell r="Q991">
            <v>542.36747400000002</v>
          </cell>
          <cell r="R991">
            <v>4.0396475770925102</v>
          </cell>
          <cell r="S991">
            <v>431.474853</v>
          </cell>
          <cell r="T991">
            <v>1.29824561403508</v>
          </cell>
          <cell r="U991">
            <v>430.52741200000003</v>
          </cell>
          <cell r="V991">
            <v>1.2938596491228</v>
          </cell>
        </row>
        <row r="992">
          <cell r="A992" t="str">
            <v>060803</v>
          </cell>
          <cell r="B992">
            <v>252.6</v>
          </cell>
          <cell r="C992">
            <v>1872.042046</v>
          </cell>
          <cell r="D992">
            <v>0.99203187250996006</v>
          </cell>
          <cell r="E992">
            <v>40.107411999999997</v>
          </cell>
          <cell r="F992">
            <v>0.38645418326693198</v>
          </cell>
          <cell r="G992">
            <v>57.506646000000003</v>
          </cell>
          <cell r="H992">
            <v>0.21115537848605501</v>
          </cell>
          <cell r="I992">
            <v>23.56156</v>
          </cell>
          <cell r="J992">
            <v>0.19521912350597601</v>
          </cell>
          <cell r="K992">
            <v>1427.979695</v>
          </cell>
          <cell r="L992">
            <v>4.0595238095238004</v>
          </cell>
          <cell r="M992">
            <v>293.94120299999997</v>
          </cell>
          <cell r="N992">
            <v>2.3293650793650702</v>
          </cell>
          <cell r="O992">
            <v>16.355422999999998</v>
          </cell>
          <cell r="P992">
            <v>4.36507936507936E-2</v>
          </cell>
          <cell r="Q992">
            <v>5.8216929999999998</v>
          </cell>
          <cell r="R992">
            <v>3.5714285714285698E-2</v>
          </cell>
          <cell r="S992">
            <v>598.29987000000006</v>
          </cell>
          <cell r="T992">
            <v>2.2957198443579698</v>
          </cell>
          <cell r="U992">
            <v>593.35992199999998</v>
          </cell>
          <cell r="V992">
            <v>2.29182879377431</v>
          </cell>
        </row>
        <row r="993">
          <cell r="A993" t="str">
            <v>060804</v>
          </cell>
          <cell r="B993">
            <v>788</v>
          </cell>
          <cell r="C993">
            <v>82.039223000000007</v>
          </cell>
          <cell r="D993">
            <v>0.17593790426908101</v>
          </cell>
          <cell r="E993">
            <v>66.847300000000004</v>
          </cell>
          <cell r="F993">
            <v>0.16817593790426899</v>
          </cell>
          <cell r="G993">
            <v>30.980419999999999</v>
          </cell>
          <cell r="H993">
            <v>0.18158567774935999</v>
          </cell>
          <cell r="I993">
            <v>16.733418</v>
          </cell>
          <cell r="J993">
            <v>0.12531969309462901</v>
          </cell>
          <cell r="K993">
            <v>275.75771200000003</v>
          </cell>
          <cell r="L993">
            <v>1.3910256410256401</v>
          </cell>
          <cell r="M993">
            <v>245.56743499999999</v>
          </cell>
          <cell r="N993">
            <v>1.34743589743589</v>
          </cell>
          <cell r="O993">
            <v>206.52351100000001</v>
          </cell>
          <cell r="P993">
            <v>2.06632653061224</v>
          </cell>
          <cell r="Q993">
            <v>188.185969</v>
          </cell>
          <cell r="R993">
            <v>1.99744897959183</v>
          </cell>
          <cell r="S993">
            <v>1422.10925</v>
          </cell>
          <cell r="T993">
            <v>4.3009367681498798</v>
          </cell>
          <cell r="U993">
            <v>1422.10925</v>
          </cell>
          <cell r="V993">
            <v>4.3009367681498798</v>
          </cell>
        </row>
        <row r="994">
          <cell r="A994" t="str">
            <v>060805</v>
          </cell>
          <cell r="B994">
            <v>1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G994">
            <v>910.64065000000005</v>
          </cell>
          <cell r="H994">
            <v>2</v>
          </cell>
          <cell r="I994">
            <v>910.64065000000005</v>
          </cell>
          <cell r="J994">
            <v>2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332.05</v>
          </cell>
          <cell r="P994">
            <v>1</v>
          </cell>
          <cell r="Q994">
            <v>332.05</v>
          </cell>
          <cell r="R994">
            <v>1</v>
          </cell>
          <cell r="S994">
            <v>308.78333300000003</v>
          </cell>
          <cell r="T994">
            <v>1</v>
          </cell>
          <cell r="U994">
            <v>308.78333300000003</v>
          </cell>
          <cell r="V994">
            <v>1</v>
          </cell>
        </row>
        <row r="995">
          <cell r="A995" t="str">
            <v>060901</v>
          </cell>
          <cell r="B995">
            <v>602.20000000000005</v>
          </cell>
          <cell r="C995">
            <v>6026.5393320000003</v>
          </cell>
          <cell r="D995">
            <v>1.9695024077046499</v>
          </cell>
          <cell r="E995">
            <v>178.21493599999999</v>
          </cell>
          <cell r="F995">
            <v>0.38202247191011202</v>
          </cell>
          <cell r="G995">
            <v>1347.3881759999999</v>
          </cell>
          <cell r="H995">
            <v>0.73848684210526305</v>
          </cell>
          <cell r="I995">
            <v>30.622298000000001</v>
          </cell>
          <cell r="J995">
            <v>0.19243421052631501</v>
          </cell>
          <cell r="K995">
            <v>5172.1712559999996</v>
          </cell>
          <cell r="L995">
            <v>1.7545909849749499</v>
          </cell>
          <cell r="M995">
            <v>81.760294000000002</v>
          </cell>
          <cell r="N995">
            <v>0.72954924874791305</v>
          </cell>
          <cell r="O995">
            <v>219.92737099999999</v>
          </cell>
          <cell r="P995">
            <v>0.45593220338982998</v>
          </cell>
          <cell r="Q995">
            <v>96.342258999999999</v>
          </cell>
          <cell r="R995">
            <v>0.33728813559322002</v>
          </cell>
          <cell r="S995">
            <v>339.57842499999998</v>
          </cell>
          <cell r="T995">
            <v>2.38578680203045</v>
          </cell>
          <cell r="U995">
            <v>288.94760200000002</v>
          </cell>
          <cell r="V995">
            <v>2.3384094754653102</v>
          </cell>
        </row>
        <row r="996">
          <cell r="A996" t="str">
            <v>060902</v>
          </cell>
          <cell r="B996">
            <v>760.6</v>
          </cell>
          <cell r="C996">
            <v>8850.5141779999994</v>
          </cell>
          <cell r="D996">
            <v>2.28292046936114</v>
          </cell>
          <cell r="E996">
            <v>50.008386999999999</v>
          </cell>
          <cell r="F996">
            <v>0.52151238591916504</v>
          </cell>
          <cell r="G996">
            <v>189.99682300000001</v>
          </cell>
          <cell r="H996">
            <v>0.17345597897503201</v>
          </cell>
          <cell r="I996">
            <v>12.992642999999999</v>
          </cell>
          <cell r="J996">
            <v>0.118265440210249</v>
          </cell>
          <cell r="K996">
            <v>1431.8420490000001</v>
          </cell>
          <cell r="L996">
            <v>1.4336399474375801</v>
          </cell>
          <cell r="M996">
            <v>51.262811999999997</v>
          </cell>
          <cell r="N996">
            <v>0.99211563731931596</v>
          </cell>
          <cell r="O996">
            <v>99.533552</v>
          </cell>
          <cell r="P996">
            <v>0.1699604743083</v>
          </cell>
          <cell r="Q996">
            <v>10.253469000000001</v>
          </cell>
          <cell r="R996">
            <v>9.6179183135704796E-2</v>
          </cell>
          <cell r="S996">
            <v>110.93529700000001</v>
          </cell>
          <cell r="T996">
            <v>0.47549668874172102</v>
          </cell>
          <cell r="U996">
            <v>12.398852</v>
          </cell>
          <cell r="V996">
            <v>0.158940397350993</v>
          </cell>
        </row>
        <row r="997">
          <cell r="A997" t="str">
            <v>060903</v>
          </cell>
          <cell r="B997">
            <v>840.4</v>
          </cell>
          <cell r="C997">
            <v>5559.6691790000004</v>
          </cell>
          <cell r="D997">
            <v>7.5652173913043397</v>
          </cell>
          <cell r="E997">
            <v>726.89292</v>
          </cell>
          <cell r="F997">
            <v>3.1915393654524</v>
          </cell>
          <cell r="G997">
            <v>293.48055099999999</v>
          </cell>
          <cell r="H997">
            <v>0.35077288941736001</v>
          </cell>
          <cell r="I997">
            <v>45.062483999999998</v>
          </cell>
          <cell r="J997">
            <v>0.273483947681331</v>
          </cell>
          <cell r="K997">
            <v>4546.2972980000004</v>
          </cell>
          <cell r="L997">
            <v>2.5554231227651898</v>
          </cell>
          <cell r="M997">
            <v>122.284068</v>
          </cell>
          <cell r="N997">
            <v>1.8915375446960601</v>
          </cell>
          <cell r="O997">
            <v>519.13225799999998</v>
          </cell>
          <cell r="P997">
            <v>1.0847255369928399</v>
          </cell>
          <cell r="Q997">
            <v>211.797235</v>
          </cell>
          <cell r="R997">
            <v>0.63723150357995195</v>
          </cell>
          <cell r="S997">
            <v>321.61568499999998</v>
          </cell>
          <cell r="T997">
            <v>1.73949579831932</v>
          </cell>
          <cell r="U997">
            <v>213.33137199999999</v>
          </cell>
          <cell r="V997">
            <v>1.61824729891956</v>
          </cell>
        </row>
        <row r="998">
          <cell r="A998" t="str">
            <v>060904</v>
          </cell>
          <cell r="B998">
            <v>947.8</v>
          </cell>
          <cell r="C998">
            <v>12996.314528999999</v>
          </cell>
          <cell r="D998">
            <v>3.7340540540540501</v>
          </cell>
          <cell r="E998">
            <v>185.84776199999999</v>
          </cell>
          <cell r="F998">
            <v>0.88</v>
          </cell>
          <cell r="G998">
            <v>13.122792</v>
          </cell>
          <cell r="H998">
            <v>4.1841004184100403E-2</v>
          </cell>
          <cell r="I998">
            <v>10.896376</v>
          </cell>
          <cell r="J998">
            <v>4.0794979079497903E-2</v>
          </cell>
          <cell r="K998">
            <v>2280.4377730000001</v>
          </cell>
          <cell r="L998">
            <v>1.6854754440961299</v>
          </cell>
          <cell r="M998">
            <v>217.566788</v>
          </cell>
          <cell r="N998">
            <v>1.1504702194357299</v>
          </cell>
          <cell r="O998">
            <v>251.65628599999999</v>
          </cell>
          <cell r="P998">
            <v>0.57366771159874597</v>
          </cell>
          <cell r="Q998">
            <v>37.178648000000003</v>
          </cell>
          <cell r="R998">
            <v>0.41692789968652</v>
          </cell>
          <cell r="S998">
            <v>54.07687</v>
          </cell>
          <cell r="T998">
            <v>0.41207627118644002</v>
          </cell>
          <cell r="U998">
            <v>53.672297999999998</v>
          </cell>
          <cell r="V998">
            <v>0.40995762711864397</v>
          </cell>
        </row>
        <row r="999">
          <cell r="A999" t="str">
            <v>061101</v>
          </cell>
          <cell r="B999">
            <v>516.20000000000005</v>
          </cell>
          <cell r="C999">
            <v>8.7703579999999999</v>
          </cell>
          <cell r="D999">
            <v>8.72093023255813E-2</v>
          </cell>
          <cell r="E999">
            <v>8.7703579999999999</v>
          </cell>
          <cell r="F999">
            <v>8.72093023255813E-2</v>
          </cell>
          <cell r="G999">
            <v>0.27188299999999999</v>
          </cell>
          <cell r="H999">
            <v>1.9305019305019299E-3</v>
          </cell>
          <cell r="I999">
            <v>0.27188299999999999</v>
          </cell>
          <cell r="J999">
            <v>1.9305019305019299E-3</v>
          </cell>
          <cell r="K999">
            <v>246.88708</v>
          </cell>
          <cell r="L999">
            <v>1.01162790697674</v>
          </cell>
          <cell r="M999">
            <v>246.88708</v>
          </cell>
          <cell r="N999">
            <v>1.01162790697674</v>
          </cell>
          <cell r="O999">
            <v>571.66692599999999</v>
          </cell>
          <cell r="P999">
            <v>0.99610894941634198</v>
          </cell>
          <cell r="Q999">
            <v>0</v>
          </cell>
          <cell r="R999">
            <v>0</v>
          </cell>
          <cell r="S999">
            <v>0.96905200000000002</v>
          </cell>
          <cell r="T999">
            <v>2.321083172147E-2</v>
          </cell>
          <cell r="U999">
            <v>0.96905200000000002</v>
          </cell>
          <cell r="V999">
            <v>2.321083172147E-2</v>
          </cell>
        </row>
        <row r="1000">
          <cell r="A1000" t="str">
            <v>061102</v>
          </cell>
          <cell r="B1000">
            <v>2450.4</v>
          </cell>
          <cell r="C1000">
            <v>1860.8900080000001</v>
          </cell>
          <cell r="D1000">
            <v>1.7982026143790799</v>
          </cell>
          <cell r="E1000">
            <v>192.55059800000001</v>
          </cell>
          <cell r="F1000">
            <v>1.2312091503267899</v>
          </cell>
          <cell r="G1000">
            <v>108.67466400000001</v>
          </cell>
          <cell r="H1000">
            <v>0.56405042700284602</v>
          </cell>
          <cell r="I1000">
            <v>106.27693600000001</v>
          </cell>
          <cell r="J1000">
            <v>0.56283041886945895</v>
          </cell>
          <cell r="K1000">
            <v>770.73703499999999</v>
          </cell>
          <cell r="L1000">
            <v>3.4431308601712098</v>
          </cell>
          <cell r="M1000">
            <v>708.29174399999999</v>
          </cell>
          <cell r="N1000">
            <v>3.3673053403995099</v>
          </cell>
          <cell r="O1000">
            <v>1062.195878</v>
          </cell>
          <cell r="P1000">
            <v>1.2778457772337799</v>
          </cell>
          <cell r="Q1000">
            <v>68.396416000000002</v>
          </cell>
          <cell r="R1000">
            <v>0.27743778049775603</v>
          </cell>
          <cell r="S1000">
            <v>91.488932000000005</v>
          </cell>
          <cell r="T1000">
            <v>1.0909463334698799</v>
          </cell>
          <cell r="U1000">
            <v>91.441075999999995</v>
          </cell>
          <cell r="V1000">
            <v>1.0905366653010999</v>
          </cell>
        </row>
        <row r="1001">
          <cell r="A1001" t="str">
            <v>061103</v>
          </cell>
          <cell r="B1001">
            <v>1592.4</v>
          </cell>
          <cell r="C1001">
            <v>1697.4033400000001</v>
          </cell>
          <cell r="D1001">
            <v>0.92525125628140703</v>
          </cell>
          <cell r="E1001">
            <v>45.084144000000002</v>
          </cell>
          <cell r="F1001">
            <v>0.180904522613065</v>
          </cell>
          <cell r="G1001">
            <v>545.73223599999994</v>
          </cell>
          <cell r="H1001">
            <v>0.43879472693032001</v>
          </cell>
          <cell r="I1001">
            <v>22.302389999999999</v>
          </cell>
          <cell r="J1001">
            <v>0.13245448838669099</v>
          </cell>
          <cell r="K1001">
            <v>456.23591199999998</v>
          </cell>
          <cell r="L1001">
            <v>1.6167400881057199</v>
          </cell>
          <cell r="M1001">
            <v>413.94967400000002</v>
          </cell>
          <cell r="N1001">
            <v>1.5607300188797899</v>
          </cell>
          <cell r="O1001">
            <v>621.40115700000001</v>
          </cell>
          <cell r="P1001">
            <v>1.24107701941139</v>
          </cell>
          <cell r="Q1001">
            <v>24.872646</v>
          </cell>
          <cell r="R1001">
            <v>0.200375704445835</v>
          </cell>
          <cell r="S1001">
            <v>38.749999000000003</v>
          </cell>
          <cell r="T1001">
            <v>0.20238843494657399</v>
          </cell>
          <cell r="U1001">
            <v>25.070532</v>
          </cell>
          <cell r="V1001">
            <v>0.19736015084852199</v>
          </cell>
        </row>
        <row r="1002">
          <cell r="A1002" t="str">
            <v>061201</v>
          </cell>
          <cell r="B1002">
            <v>915.4</v>
          </cell>
          <cell r="C1002">
            <v>292.39843400000001</v>
          </cell>
          <cell r="D1002">
            <v>2.9446254071661202</v>
          </cell>
          <cell r="E1002">
            <v>255.548822</v>
          </cell>
          <cell r="F1002">
            <v>2.7698154180238799</v>
          </cell>
          <cell r="G1002">
            <v>591.06342600000005</v>
          </cell>
          <cell r="H1002">
            <v>2.9132321041214699</v>
          </cell>
          <cell r="I1002">
            <v>185.97643400000001</v>
          </cell>
          <cell r="J1002">
            <v>2.2451193058568299</v>
          </cell>
          <cell r="K1002">
            <v>2720.7068210000002</v>
          </cell>
          <cell r="L1002">
            <v>4.9250814332247499</v>
          </cell>
          <cell r="M1002">
            <v>481.63248199999998</v>
          </cell>
          <cell r="N1002">
            <v>1.6015200868621</v>
          </cell>
          <cell r="O1002">
            <v>868.45036500000003</v>
          </cell>
          <cell r="P1002">
            <v>3.0230769230769199</v>
          </cell>
          <cell r="Q1002">
            <v>237.235164</v>
          </cell>
          <cell r="R1002">
            <v>1.5681318681318599</v>
          </cell>
          <cell r="S1002">
            <v>2312.1180869999998</v>
          </cell>
          <cell r="T1002">
            <v>3.9136212624584701</v>
          </cell>
          <cell r="U1002">
            <v>241.888169</v>
          </cell>
          <cell r="V1002">
            <v>1.06201550387596</v>
          </cell>
        </row>
        <row r="1003">
          <cell r="A1003" t="str">
            <v>061202</v>
          </cell>
          <cell r="B1003">
            <v>624.79999999999995</v>
          </cell>
          <cell r="C1003">
            <v>402.06451399999997</v>
          </cell>
          <cell r="D1003">
            <v>3.6238244514106501</v>
          </cell>
          <cell r="E1003">
            <v>395.61045899999999</v>
          </cell>
          <cell r="F1003">
            <v>3.5407523510971699</v>
          </cell>
          <cell r="G1003">
            <v>804.11312999999996</v>
          </cell>
          <cell r="H1003">
            <v>1.02218700475435</v>
          </cell>
          <cell r="I1003">
            <v>95.288360999999995</v>
          </cell>
          <cell r="J1003">
            <v>0.44849445324881099</v>
          </cell>
          <cell r="K1003">
            <v>3238.453661</v>
          </cell>
          <cell r="L1003">
            <v>5.3343949044585903</v>
          </cell>
          <cell r="M1003">
            <v>419.68954300000001</v>
          </cell>
          <cell r="N1003">
            <v>1.9522292993630499</v>
          </cell>
          <cell r="O1003">
            <v>627.69351200000006</v>
          </cell>
          <cell r="P1003">
            <v>2.2035830618892498</v>
          </cell>
          <cell r="Q1003">
            <v>349.648371</v>
          </cell>
          <cell r="R1003">
            <v>1.9609120521172601</v>
          </cell>
          <cell r="S1003">
            <v>1090.7114999999999</v>
          </cell>
          <cell r="T1003">
            <v>2.57585644371941</v>
          </cell>
          <cell r="U1003">
            <v>282.89067399999999</v>
          </cell>
          <cell r="V1003">
            <v>1.41924959216965</v>
          </cell>
        </row>
        <row r="1004">
          <cell r="A1004" t="str">
            <v>061301</v>
          </cell>
          <cell r="B1004">
            <v>1186.8</v>
          </cell>
          <cell r="C1004">
            <v>337.49863299999998</v>
          </cell>
          <cell r="D1004">
            <v>1.14125753660637</v>
          </cell>
          <cell r="E1004">
            <v>319.39436499999999</v>
          </cell>
          <cell r="F1004">
            <v>1.06201550387596</v>
          </cell>
          <cell r="G1004">
            <v>224.12639799999999</v>
          </cell>
          <cell r="H1004">
            <v>1.06083333333333</v>
          </cell>
          <cell r="I1004">
            <v>189.242358</v>
          </cell>
          <cell r="J1004">
            <v>0.95583333333333298</v>
          </cell>
          <cell r="K1004">
            <v>1144.731025</v>
          </cell>
          <cell r="L1004">
            <v>2.91659716430358</v>
          </cell>
          <cell r="M1004">
            <v>294.29854</v>
          </cell>
          <cell r="N1004">
            <v>1.79733110925771</v>
          </cell>
          <cell r="O1004">
            <v>471.87920800000001</v>
          </cell>
          <cell r="P1004">
            <v>0.78703703703703698</v>
          </cell>
          <cell r="Q1004">
            <v>158.00634099999999</v>
          </cell>
          <cell r="R1004">
            <v>0.52946127946127897</v>
          </cell>
          <cell r="S1004">
            <v>505.18316399999998</v>
          </cell>
          <cell r="T1004">
            <v>1.70657672849915</v>
          </cell>
          <cell r="U1004">
            <v>148.169828</v>
          </cell>
          <cell r="V1004">
            <v>0.94856661045531099</v>
          </cell>
        </row>
        <row r="1005">
          <cell r="A1005" t="str">
            <v>061302</v>
          </cell>
          <cell r="B1005">
            <v>887.2</v>
          </cell>
          <cell r="C1005">
            <v>1148.2628580000001</v>
          </cell>
          <cell r="D1005">
            <v>5.19639278557114</v>
          </cell>
          <cell r="E1005">
            <v>670.91871300000003</v>
          </cell>
          <cell r="F1005">
            <v>3.8156312625250499</v>
          </cell>
          <cell r="G1005">
            <v>375.32275099999998</v>
          </cell>
          <cell r="H1005">
            <v>1.79695431472081</v>
          </cell>
          <cell r="I1005">
            <v>186.02278699999999</v>
          </cell>
          <cell r="J1005">
            <v>1.0050761421319701</v>
          </cell>
          <cell r="K1005">
            <v>753.08474100000001</v>
          </cell>
          <cell r="L1005">
            <v>2.1364562118126198</v>
          </cell>
          <cell r="M1005">
            <v>246.77817300000001</v>
          </cell>
          <cell r="N1005">
            <v>1.530549898167</v>
          </cell>
          <cell r="O1005">
            <v>687.75694599999997</v>
          </cell>
          <cell r="P1005">
            <v>2.36916835699797</v>
          </cell>
          <cell r="Q1005">
            <v>246.98725400000001</v>
          </cell>
          <cell r="R1005">
            <v>0.70486815415821502</v>
          </cell>
          <cell r="S1005">
            <v>843.258824</v>
          </cell>
          <cell r="T1005">
            <v>1.90650406504065</v>
          </cell>
          <cell r="U1005">
            <v>250.50558899999999</v>
          </cell>
          <cell r="V1005">
            <v>1.0243902439024299</v>
          </cell>
        </row>
        <row r="1006">
          <cell r="A1006" t="str">
            <v>061401</v>
          </cell>
          <cell r="B1006">
            <v>704.8</v>
          </cell>
          <cell r="C1006">
            <v>74.715869999999995</v>
          </cell>
          <cell r="D1006">
            <v>0.38122332859174901</v>
          </cell>
          <cell r="E1006">
            <v>73.028814999999994</v>
          </cell>
          <cell r="F1006">
            <v>0.37837837837837801</v>
          </cell>
          <cell r="G1006">
            <v>138.78428299999999</v>
          </cell>
          <cell r="H1006">
            <v>1.3437057991513399</v>
          </cell>
          <cell r="I1006">
            <v>66.919712000000004</v>
          </cell>
          <cell r="J1006">
            <v>1.2885431400282801</v>
          </cell>
          <cell r="K1006">
            <v>1090.226034</v>
          </cell>
          <cell r="L1006">
            <v>1.88559322033898</v>
          </cell>
          <cell r="M1006">
            <v>135.576953</v>
          </cell>
          <cell r="N1006">
            <v>0.64830508474576198</v>
          </cell>
          <cell r="O1006">
            <v>113.424144</v>
          </cell>
          <cell r="P1006">
            <v>0.64838255977496395</v>
          </cell>
          <cell r="Q1006">
            <v>72.376793000000006</v>
          </cell>
          <cell r="R1006">
            <v>0.56540084388185596</v>
          </cell>
          <cell r="S1006">
            <v>1022.644652</v>
          </cell>
          <cell r="T1006">
            <v>3.2964028776978398</v>
          </cell>
          <cell r="U1006">
            <v>571.92594699999995</v>
          </cell>
          <cell r="V1006">
            <v>2.1525179856115102</v>
          </cell>
        </row>
        <row r="1007">
          <cell r="A1007" t="str">
            <v>061402</v>
          </cell>
          <cell r="B1007">
            <v>757.88888799999995</v>
          </cell>
          <cell r="C1007">
            <v>73.336510000000004</v>
          </cell>
          <cell r="D1007">
            <v>0.61958568738229702</v>
          </cell>
          <cell r="E1007">
            <v>72.330860999999999</v>
          </cell>
          <cell r="F1007">
            <v>0.61770244821092202</v>
          </cell>
          <cell r="G1007">
            <v>129.09296000000001</v>
          </cell>
          <cell r="H1007">
            <v>1.40936374549819</v>
          </cell>
          <cell r="I1007">
            <v>129.09296000000001</v>
          </cell>
          <cell r="J1007">
            <v>1.40936374549819</v>
          </cell>
          <cell r="K1007">
            <v>1088.593969</v>
          </cell>
          <cell r="L1007">
            <v>2.6334134615384599</v>
          </cell>
          <cell r="M1007">
            <v>260.80308400000001</v>
          </cell>
          <cell r="N1007">
            <v>1.8858173076922999</v>
          </cell>
          <cell r="O1007">
            <v>79.447130999999999</v>
          </cell>
          <cell r="P1007">
            <v>0.64019253910950602</v>
          </cell>
          <cell r="Q1007">
            <v>79.079001000000005</v>
          </cell>
          <cell r="R1007">
            <v>0.63537906137184097</v>
          </cell>
          <cell r="S1007">
            <v>785.246894</v>
          </cell>
          <cell r="T1007">
            <v>2.38625</v>
          </cell>
          <cell r="U1007">
            <v>459.09587399999998</v>
          </cell>
          <cell r="V1007">
            <v>1.2887500000000001</v>
          </cell>
        </row>
        <row r="1008">
          <cell r="A1008" t="str">
            <v>061501</v>
          </cell>
          <cell r="B1008">
            <v>398.2</v>
          </cell>
          <cell r="C1008">
            <v>849.70907599999998</v>
          </cell>
          <cell r="D1008">
            <v>1.5536159600997499</v>
          </cell>
          <cell r="E1008">
            <v>168.58431899999999</v>
          </cell>
          <cell r="F1008">
            <v>1.0349127182044799</v>
          </cell>
          <cell r="G1008">
            <v>342.03832199999999</v>
          </cell>
          <cell r="H1008">
            <v>1.7914572864321601</v>
          </cell>
          <cell r="I1008">
            <v>190.46844999999999</v>
          </cell>
          <cell r="J1008">
            <v>1.65829145728643</v>
          </cell>
          <cell r="K1008">
            <v>154.99549500000001</v>
          </cell>
          <cell r="L1008">
            <v>0.45454545454545398</v>
          </cell>
          <cell r="M1008">
            <v>91.996632000000005</v>
          </cell>
          <cell r="N1008">
            <v>0.38636363636363602</v>
          </cell>
          <cell r="O1008">
            <v>176.183583</v>
          </cell>
          <cell r="P1008">
            <v>1.3793969849246199</v>
          </cell>
          <cell r="Q1008">
            <v>138.131113</v>
          </cell>
          <cell r="R1008">
            <v>1.2537688442210999</v>
          </cell>
          <cell r="S1008">
            <v>168.84765400000001</v>
          </cell>
          <cell r="T1008">
            <v>0.41206030150753697</v>
          </cell>
          <cell r="U1008">
            <v>13.443216</v>
          </cell>
          <cell r="V1008">
            <v>0.113065326633165</v>
          </cell>
        </row>
        <row r="1009">
          <cell r="A1009" t="str">
            <v>061502</v>
          </cell>
          <cell r="B1009">
            <v>731.4</v>
          </cell>
          <cell r="C1009">
            <v>1595.092255</v>
          </cell>
          <cell r="D1009">
            <v>1.23680649526387</v>
          </cell>
          <cell r="E1009">
            <v>32.802256</v>
          </cell>
          <cell r="F1009">
            <v>0.22733423545331499</v>
          </cell>
          <cell r="G1009">
            <v>804.91269499999999</v>
          </cell>
          <cell r="H1009">
            <v>1.0095367847411401</v>
          </cell>
          <cell r="I1009">
            <v>220.15478300000001</v>
          </cell>
          <cell r="J1009">
            <v>0.60626702997275195</v>
          </cell>
          <cell r="K1009">
            <v>443.17852099999999</v>
          </cell>
          <cell r="L1009">
            <v>1.1997264021887799</v>
          </cell>
          <cell r="M1009">
            <v>212.67692600000001</v>
          </cell>
          <cell r="N1009">
            <v>1</v>
          </cell>
          <cell r="O1009">
            <v>796.85585200000003</v>
          </cell>
          <cell r="P1009">
            <v>4.0150891632373096</v>
          </cell>
          <cell r="Q1009">
            <v>552.53022399999998</v>
          </cell>
          <cell r="R1009">
            <v>2.9698216735253702</v>
          </cell>
          <cell r="S1009">
            <v>1269.9467770000001</v>
          </cell>
          <cell r="T1009">
            <v>2.9779005524861799</v>
          </cell>
          <cell r="U1009">
            <v>203.69215</v>
          </cell>
          <cell r="V1009">
            <v>1.69337016574585</v>
          </cell>
        </row>
        <row r="1010">
          <cell r="A1010" t="str">
            <v>061601</v>
          </cell>
          <cell r="B1010">
            <v>1797</v>
          </cell>
          <cell r="C1010">
            <v>1621.309604</v>
          </cell>
          <cell r="D1010">
            <v>1.3187361419068699</v>
          </cell>
          <cell r="E1010">
            <v>8.7064620000000001</v>
          </cell>
          <cell r="F1010">
            <v>5.2660753880265997E-2</v>
          </cell>
          <cell r="G1010">
            <v>1153.886968</v>
          </cell>
          <cell r="H1010">
            <v>1.23438363736871</v>
          </cell>
          <cell r="I1010">
            <v>27.319583000000002</v>
          </cell>
          <cell r="J1010">
            <v>9.7291321171918105E-2</v>
          </cell>
          <cell r="K1010">
            <v>31.766417000000001</v>
          </cell>
          <cell r="L1010">
            <v>0.216380741560597</v>
          </cell>
          <cell r="M1010">
            <v>20.952065999999999</v>
          </cell>
          <cell r="N1010">
            <v>0.21195351411178701</v>
          </cell>
          <cell r="O1010">
            <v>2410.1545900000001</v>
          </cell>
          <cell r="P1010">
            <v>1.51959686450167</v>
          </cell>
          <cell r="Q1010">
            <v>37.660879999999999</v>
          </cell>
          <cell r="R1010">
            <v>0.49720044792833101</v>
          </cell>
          <cell r="S1010">
            <v>1388.722708</v>
          </cell>
          <cell r="T1010">
            <v>1.47892074198988</v>
          </cell>
          <cell r="U1010">
            <v>33.888607</v>
          </cell>
          <cell r="V1010">
            <v>0.441821247892074</v>
          </cell>
        </row>
        <row r="1011">
          <cell r="A1011" t="str">
            <v>061602</v>
          </cell>
          <cell r="B1011">
            <v>509</v>
          </cell>
          <cell r="C1011">
            <v>2394.4091830000002</v>
          </cell>
          <cell r="D1011">
            <v>1.6964285714285701</v>
          </cell>
          <cell r="E1011">
            <v>60.149545000000003</v>
          </cell>
          <cell r="F1011">
            <v>0.62896825396825295</v>
          </cell>
          <cell r="G1011">
            <v>780.72093900000004</v>
          </cell>
          <cell r="H1011">
            <v>2.2857142857142798</v>
          </cell>
          <cell r="I1011">
            <v>328.37334700000002</v>
          </cell>
          <cell r="J1011">
            <v>1.9295499021526401</v>
          </cell>
          <cell r="K1011">
            <v>705.22730100000001</v>
          </cell>
          <cell r="L1011">
            <v>0.84824902723735396</v>
          </cell>
          <cell r="M1011">
            <v>50.647049000000003</v>
          </cell>
          <cell r="N1011">
            <v>0.53501945525291805</v>
          </cell>
          <cell r="O1011">
            <v>5646.6159479999997</v>
          </cell>
          <cell r="P1011">
            <v>3.87084148727984</v>
          </cell>
          <cell r="Q1011">
            <v>551.15032599999995</v>
          </cell>
          <cell r="R1011">
            <v>2.2270058708414799</v>
          </cell>
          <cell r="S1011">
            <v>1633.580659</v>
          </cell>
          <cell r="T1011">
            <v>2.7267326732673198</v>
          </cell>
          <cell r="U1011">
            <v>186.613564</v>
          </cell>
          <cell r="V1011">
            <v>1.6415841584158399</v>
          </cell>
        </row>
        <row r="1012">
          <cell r="A1012" t="str">
            <v>061701</v>
          </cell>
          <cell r="B1012">
            <v>345.4</v>
          </cell>
          <cell r="C1012">
            <v>83.285099000000002</v>
          </cell>
          <cell r="D1012">
            <v>0.26956521739130401</v>
          </cell>
          <cell r="E1012">
            <v>83.285099000000002</v>
          </cell>
          <cell r="F1012">
            <v>0.26956521739130401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43.762861000000001</v>
          </cell>
          <cell r="L1012">
            <v>0.15028901734104</v>
          </cell>
          <cell r="M1012">
            <v>43.762861000000001</v>
          </cell>
          <cell r="N1012">
            <v>0.15028901734104</v>
          </cell>
          <cell r="O1012">
            <v>101.636714</v>
          </cell>
          <cell r="P1012">
            <v>1.0434782608695601</v>
          </cell>
          <cell r="Q1012">
            <v>99.377536000000006</v>
          </cell>
          <cell r="R1012">
            <v>1.0405797101449199</v>
          </cell>
          <cell r="S1012">
            <v>811.67129</v>
          </cell>
          <cell r="T1012">
            <v>3.71676300578034</v>
          </cell>
          <cell r="U1012">
            <v>811.67129</v>
          </cell>
          <cell r="V1012">
            <v>3.71676300578034</v>
          </cell>
        </row>
        <row r="1013">
          <cell r="A1013" t="str">
            <v>061702</v>
          </cell>
          <cell r="B1013">
            <v>1824</v>
          </cell>
          <cell r="C1013">
            <v>314.83362699999998</v>
          </cell>
          <cell r="D1013">
            <v>1.0972477064220101</v>
          </cell>
          <cell r="E1013">
            <v>314.83362699999998</v>
          </cell>
          <cell r="F1013">
            <v>1.0972477064220101</v>
          </cell>
          <cell r="G1013">
            <v>409.13586900000001</v>
          </cell>
          <cell r="H1013">
            <v>1.0145757418011401</v>
          </cell>
          <cell r="I1013">
            <v>256.19311399999998</v>
          </cell>
          <cell r="J1013">
            <v>0.87818844351900005</v>
          </cell>
          <cell r="K1013">
            <v>388.17030499999998</v>
          </cell>
          <cell r="L1013">
            <v>1.15767634854771</v>
          </cell>
          <cell r="M1013">
            <v>187.81646699999999</v>
          </cell>
          <cell r="N1013">
            <v>0.914937759336099</v>
          </cell>
          <cell r="O1013">
            <v>663.32093599999996</v>
          </cell>
          <cell r="P1013">
            <v>4.0576923076923004</v>
          </cell>
          <cell r="Q1013">
            <v>503.58465799999999</v>
          </cell>
          <cell r="R1013">
            <v>3.4080041580041498</v>
          </cell>
          <cell r="S1013">
            <v>999.08394899999996</v>
          </cell>
          <cell r="T1013">
            <v>3.6730158730158702</v>
          </cell>
          <cell r="U1013">
            <v>944.04747699999996</v>
          </cell>
          <cell r="V1013">
            <v>3.3994708994708902</v>
          </cell>
        </row>
        <row r="1014">
          <cell r="A1014" t="str">
            <v>061703</v>
          </cell>
          <cell r="B1014">
            <v>875.33333300000004</v>
          </cell>
          <cell r="C1014">
            <v>54.977677</v>
          </cell>
          <cell r="D1014">
            <v>0.88851351351351304</v>
          </cell>
          <cell r="E1014">
            <v>54.977677</v>
          </cell>
          <cell r="F1014">
            <v>0.88851351351351304</v>
          </cell>
          <cell r="G1014">
            <v>427.88801899999999</v>
          </cell>
          <cell r="H1014">
            <v>0.60702151755379297</v>
          </cell>
          <cell r="I1014">
            <v>273.82539500000001</v>
          </cell>
          <cell r="J1014">
            <v>0.54360135900339701</v>
          </cell>
          <cell r="K1014">
            <v>1038.0203919999999</v>
          </cell>
          <cell r="L1014">
            <v>2.3575482406356398</v>
          </cell>
          <cell r="M1014">
            <v>92.830684000000005</v>
          </cell>
          <cell r="N1014">
            <v>1.23155505107832</v>
          </cell>
          <cell r="O1014">
            <v>389.23757999999998</v>
          </cell>
          <cell r="P1014">
            <v>1.95542857142857</v>
          </cell>
          <cell r="Q1014">
            <v>146.924361</v>
          </cell>
          <cell r="R1014">
            <v>1.71657142857142</v>
          </cell>
          <cell r="S1014">
            <v>1002.959968</v>
          </cell>
          <cell r="T1014">
            <v>3.2698598130841101</v>
          </cell>
          <cell r="U1014">
            <v>973.91762000000006</v>
          </cell>
          <cell r="V1014">
            <v>3.23247663551401</v>
          </cell>
        </row>
        <row r="1015">
          <cell r="A1015" t="str">
            <v>061704</v>
          </cell>
          <cell r="B1015">
            <v>567.77777700000001</v>
          </cell>
          <cell r="C1015">
            <v>27.376628</v>
          </cell>
          <cell r="D1015">
            <v>0.25087108013937198</v>
          </cell>
          <cell r="E1015">
            <v>27.376628</v>
          </cell>
          <cell r="F1015">
            <v>0.25087108013937198</v>
          </cell>
          <cell r="G1015">
            <v>1117.190288</v>
          </cell>
          <cell r="H1015">
            <v>2.8257042253521099</v>
          </cell>
          <cell r="I1015">
            <v>870.74245499999995</v>
          </cell>
          <cell r="J1015">
            <v>2.28169014084507</v>
          </cell>
          <cell r="K1015">
            <v>860.59719199999995</v>
          </cell>
          <cell r="L1015">
            <v>1.5508771929824501</v>
          </cell>
          <cell r="M1015">
            <v>290.49406399999998</v>
          </cell>
          <cell r="N1015">
            <v>0.77192982456140302</v>
          </cell>
          <cell r="O1015">
            <v>1962.0944730000001</v>
          </cell>
          <cell r="P1015">
            <v>2.9298245614035001</v>
          </cell>
          <cell r="Q1015">
            <v>532.71239700000001</v>
          </cell>
          <cell r="R1015">
            <v>1.9719298245614001</v>
          </cell>
          <cell r="S1015">
            <v>1510.8897910000001</v>
          </cell>
          <cell r="T1015">
            <v>3.81785714285714</v>
          </cell>
          <cell r="U1015">
            <v>1115.028452</v>
          </cell>
          <cell r="V1015">
            <v>3.3125</v>
          </cell>
        </row>
        <row r="1016">
          <cell r="A1016" t="str">
            <v>061801</v>
          </cell>
          <cell r="B1016">
            <v>170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232.14107799999999</v>
          </cell>
          <cell r="L1016">
            <v>1.21176470588235</v>
          </cell>
          <cell r="M1016">
            <v>232.14107799999999</v>
          </cell>
          <cell r="N1016">
            <v>1.21176470588235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</row>
        <row r="1017">
          <cell r="A1017" t="str">
            <v>061802</v>
          </cell>
          <cell r="B1017">
            <v>158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0</v>
          </cell>
          <cell r="K1017">
            <v>173.09837300000001</v>
          </cell>
          <cell r="L1017">
            <v>0.80487804878048697</v>
          </cell>
          <cell r="M1017">
            <v>173.09837300000001</v>
          </cell>
          <cell r="N1017">
            <v>0.80487804878048697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35.109844000000002</v>
          </cell>
          <cell r="T1017">
            <v>8.8082901554404097E-2</v>
          </cell>
          <cell r="U1017">
            <v>35.109844000000002</v>
          </cell>
          <cell r="V1017">
            <v>8.8082901554404097E-2</v>
          </cell>
        </row>
        <row r="1018">
          <cell r="A1018" t="str">
            <v>061803</v>
          </cell>
          <cell r="B1018">
            <v>1</v>
          </cell>
          <cell r="C1018">
            <v>168.53181699999999</v>
          </cell>
          <cell r="D1018">
            <v>1</v>
          </cell>
          <cell r="E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</row>
        <row r="1019">
          <cell r="A1019" t="str">
            <v>061805</v>
          </cell>
          <cell r="B1019">
            <v>115.2</v>
          </cell>
          <cell r="C1019">
            <v>1.494802</v>
          </cell>
          <cell r="D1019">
            <v>9.6153846153846107E-3</v>
          </cell>
          <cell r="E1019">
            <v>1.494802</v>
          </cell>
          <cell r="F1019">
            <v>9.6153846153846107E-3</v>
          </cell>
          <cell r="G1019">
            <v>729.53537700000004</v>
          </cell>
          <cell r="H1019">
            <v>0.99056603773584895</v>
          </cell>
          <cell r="I1019">
            <v>729.53537700000004</v>
          </cell>
          <cell r="J1019">
            <v>0.99056603773584895</v>
          </cell>
          <cell r="K1019">
            <v>7.5429899999999996</v>
          </cell>
          <cell r="L1019">
            <v>5.6074766355140103E-2</v>
          </cell>
          <cell r="M1019">
            <v>7.5429899999999996</v>
          </cell>
          <cell r="N1019">
            <v>5.6074766355140103E-2</v>
          </cell>
          <cell r="O1019">
            <v>32.553702999999999</v>
          </cell>
          <cell r="P1019">
            <v>0.73015873015873001</v>
          </cell>
          <cell r="Q1019">
            <v>32.553702999999999</v>
          </cell>
          <cell r="R1019">
            <v>0.73015873015873001</v>
          </cell>
          <cell r="S1019">
            <v>1089.061027</v>
          </cell>
          <cell r="T1019">
            <v>2.9849624060150299</v>
          </cell>
          <cell r="U1019">
            <v>1089.061027</v>
          </cell>
          <cell r="V1019">
            <v>2.9849624060150299</v>
          </cell>
        </row>
        <row r="1020">
          <cell r="A1020" t="str">
            <v>061806</v>
          </cell>
          <cell r="B1020">
            <v>194.33333300000001</v>
          </cell>
          <cell r="C1020">
            <v>1.6048690000000001</v>
          </cell>
          <cell r="D1020">
            <v>7.1942446043165402E-3</v>
          </cell>
          <cell r="E1020">
            <v>1.6048690000000001</v>
          </cell>
          <cell r="F1020">
            <v>7.1942446043165402E-3</v>
          </cell>
          <cell r="G1020">
            <v>22.528642999999999</v>
          </cell>
          <cell r="H1020">
            <v>4.7337278106508798E-2</v>
          </cell>
          <cell r="I1020">
            <v>14.304747000000001</v>
          </cell>
          <cell r="J1020">
            <v>4.14201183431952E-2</v>
          </cell>
          <cell r="K1020">
            <v>1.940828</v>
          </cell>
          <cell r="L1020">
            <v>5.9171597633135998E-3</v>
          </cell>
          <cell r="M1020">
            <v>1.940828</v>
          </cell>
          <cell r="N1020">
            <v>5.9171597633135998E-3</v>
          </cell>
          <cell r="O1020">
            <v>59.023978</v>
          </cell>
          <cell r="P1020">
            <v>0.22134387351778601</v>
          </cell>
          <cell r="Q1020">
            <v>59.023978</v>
          </cell>
          <cell r="R1020">
            <v>0.22134387351778601</v>
          </cell>
          <cell r="S1020">
            <v>0.89631700000000003</v>
          </cell>
          <cell r="T1020">
            <v>3.7453183520599199E-3</v>
          </cell>
          <cell r="U1020">
            <v>0</v>
          </cell>
          <cell r="V1020">
            <v>0</v>
          </cell>
        </row>
        <row r="1021">
          <cell r="A1021" t="str">
            <v>061901</v>
          </cell>
          <cell r="B1021">
            <v>1705.2</v>
          </cell>
          <cell r="C1021">
            <v>754.06666600000005</v>
          </cell>
          <cell r="D1021">
            <v>1.49999999999999</v>
          </cell>
          <cell r="E1021">
            <v>91.480414999999994</v>
          </cell>
          <cell r="F1021">
            <v>0.87669683257918496</v>
          </cell>
          <cell r="G1021">
            <v>328.86059699999998</v>
          </cell>
          <cell r="H1021">
            <v>1.9884326200115601</v>
          </cell>
          <cell r="I1021">
            <v>325.749483</v>
          </cell>
          <cell r="J1021">
            <v>1.97744360902255</v>
          </cell>
          <cell r="K1021">
            <v>164.36517799999999</v>
          </cell>
          <cell r="L1021">
            <v>0.54052478134110704</v>
          </cell>
          <cell r="M1021">
            <v>82.908861999999999</v>
          </cell>
          <cell r="N1021">
            <v>0.44373177842565498</v>
          </cell>
          <cell r="O1021">
            <v>141.215318</v>
          </cell>
          <cell r="P1021">
            <v>0.95100354191263203</v>
          </cell>
          <cell r="Q1021">
            <v>122.925905</v>
          </cell>
          <cell r="R1021">
            <v>0.93506493506493504</v>
          </cell>
          <cell r="S1021">
            <v>328.03065800000002</v>
          </cell>
          <cell r="T1021">
            <v>1.7074074074073999</v>
          </cell>
          <cell r="U1021">
            <v>204.90518499999999</v>
          </cell>
          <cell r="V1021">
            <v>1.62654320987654</v>
          </cell>
        </row>
        <row r="1022">
          <cell r="A1022" t="str">
            <v>061902</v>
          </cell>
          <cell r="B1022">
            <v>1045</v>
          </cell>
          <cell r="C1022">
            <v>1119.8064059999999</v>
          </cell>
          <cell r="D1022">
            <v>3.4558404558404501</v>
          </cell>
          <cell r="E1022">
            <v>196.19302500000001</v>
          </cell>
          <cell r="F1022">
            <v>2.1538461538461502</v>
          </cell>
          <cell r="G1022">
            <v>26.110554</v>
          </cell>
          <cell r="H1022">
            <v>0.125714285714285</v>
          </cell>
          <cell r="I1022">
            <v>14.921348</v>
          </cell>
          <cell r="J1022">
            <v>0.10666666666666599</v>
          </cell>
          <cell r="K1022">
            <v>228.77484799999999</v>
          </cell>
          <cell r="L1022">
            <v>0.54832535885167399</v>
          </cell>
          <cell r="M1022">
            <v>5.7295689999999997</v>
          </cell>
          <cell r="N1022">
            <v>4.4019138755980798E-2</v>
          </cell>
          <cell r="O1022">
            <v>137.651262</v>
          </cell>
          <cell r="P1022">
            <v>1.2380038387715899</v>
          </cell>
          <cell r="Q1022">
            <v>115.119865</v>
          </cell>
          <cell r="R1022">
            <v>1.2255278310940401</v>
          </cell>
          <cell r="S1022">
            <v>722.062141</v>
          </cell>
          <cell r="T1022">
            <v>1.4328502415458899</v>
          </cell>
          <cell r="U1022">
            <v>179.84895299999999</v>
          </cell>
          <cell r="V1022">
            <v>0.37004830917874298</v>
          </cell>
        </row>
        <row r="1023">
          <cell r="A1023" t="str">
            <v>061903</v>
          </cell>
          <cell r="B1023">
            <v>60.333333000000003</v>
          </cell>
          <cell r="C1023">
            <v>94.877360999999993</v>
          </cell>
          <cell r="D1023">
            <v>1.0655737704918</v>
          </cell>
          <cell r="E1023">
            <v>94.877360999999993</v>
          </cell>
          <cell r="F1023">
            <v>1.0655737704918</v>
          </cell>
          <cell r="G1023">
            <v>0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7.1794440000000002</v>
          </cell>
          <cell r="P1023">
            <v>3.3333333333333298E-2</v>
          </cell>
          <cell r="Q1023">
            <v>7.1794440000000002</v>
          </cell>
          <cell r="R1023">
            <v>3.3333333333333298E-2</v>
          </cell>
          <cell r="S1023">
            <v>7.752777</v>
          </cell>
          <cell r="T1023">
            <v>3.3333333333333298E-2</v>
          </cell>
          <cell r="U1023">
            <v>7.752777</v>
          </cell>
          <cell r="V1023">
            <v>3.3333333333333298E-2</v>
          </cell>
        </row>
        <row r="1024">
          <cell r="A1024" t="str">
            <v>062001</v>
          </cell>
          <cell r="B1024">
            <v>374.5</v>
          </cell>
          <cell r="C1024">
            <v>76.317227000000003</v>
          </cell>
          <cell r="D1024">
            <v>0.49870129870129798</v>
          </cell>
          <cell r="E1024">
            <v>76.317227000000003</v>
          </cell>
          <cell r="F1024">
            <v>0.49870129870129798</v>
          </cell>
          <cell r="G1024">
            <v>285.12313899999998</v>
          </cell>
          <cell r="H1024">
            <v>0.84615384615384603</v>
          </cell>
          <cell r="I1024">
            <v>285.12313899999998</v>
          </cell>
          <cell r="J1024">
            <v>0.84615384615384603</v>
          </cell>
          <cell r="K1024">
            <v>144.152424</v>
          </cell>
          <cell r="L1024">
            <v>0.19841269841269801</v>
          </cell>
          <cell r="M1024">
            <v>13.808906</v>
          </cell>
          <cell r="N1024">
            <v>0.15343915343915299</v>
          </cell>
          <cell r="O1024">
            <v>249.24213499999999</v>
          </cell>
          <cell r="P1024">
            <v>1.3485254691688999</v>
          </cell>
          <cell r="Q1024">
            <v>239.476809</v>
          </cell>
          <cell r="R1024">
            <v>1.34316353887399</v>
          </cell>
          <cell r="S1024">
            <v>86.740662999999998</v>
          </cell>
          <cell r="T1024">
            <v>0.49726775956284103</v>
          </cell>
          <cell r="U1024">
            <v>24.821173999999999</v>
          </cell>
          <cell r="V1024">
            <v>0.191256830601092</v>
          </cell>
        </row>
        <row r="1025">
          <cell r="A1025" t="str">
            <v>062002</v>
          </cell>
          <cell r="B1025">
            <v>472.55555500000003</v>
          </cell>
          <cell r="C1025">
            <v>4.1043880000000001</v>
          </cell>
          <cell r="D1025">
            <v>3.2989690721649402E-2</v>
          </cell>
          <cell r="E1025">
            <v>4.1043880000000001</v>
          </cell>
          <cell r="F1025">
            <v>3.2989690721649402E-2</v>
          </cell>
          <cell r="G1025">
            <v>450.155396</v>
          </cell>
          <cell r="H1025">
            <v>1.2299578059071701</v>
          </cell>
          <cell r="I1025">
            <v>212.69283899999999</v>
          </cell>
          <cell r="J1025">
            <v>1.1160337552742601</v>
          </cell>
          <cell r="K1025">
            <v>583.54732100000001</v>
          </cell>
          <cell r="L1025">
            <v>0.71035940803382602</v>
          </cell>
          <cell r="M1025">
            <v>147.817195</v>
          </cell>
          <cell r="N1025">
            <v>0.610993657505285</v>
          </cell>
          <cell r="O1025">
            <v>676.89734499999997</v>
          </cell>
          <cell r="P1025">
            <v>0.88535031847133705</v>
          </cell>
          <cell r="Q1025">
            <v>36.630785000000003</v>
          </cell>
          <cell r="R1025">
            <v>0.225053078556263</v>
          </cell>
          <cell r="S1025">
            <v>536.89642200000003</v>
          </cell>
          <cell r="T1025">
            <v>3.1030042918454899</v>
          </cell>
          <cell r="U1025">
            <v>361.31348300000002</v>
          </cell>
          <cell r="V1025">
            <v>2.4549356223175902</v>
          </cell>
        </row>
        <row r="1026">
          <cell r="A1026" t="str">
            <v>062301</v>
          </cell>
          <cell r="B1026">
            <v>728.22222199999999</v>
          </cell>
          <cell r="C1026">
            <v>82.408929999999998</v>
          </cell>
          <cell r="D1026">
            <v>0.95297029702970204</v>
          </cell>
          <cell r="E1026">
            <v>82.408929999999998</v>
          </cell>
          <cell r="F1026">
            <v>0.95297029702970204</v>
          </cell>
          <cell r="G1026">
            <v>352.10323799999998</v>
          </cell>
          <cell r="H1026">
            <v>0.776913099870298</v>
          </cell>
          <cell r="I1026">
            <v>188.39929100000001</v>
          </cell>
          <cell r="J1026">
            <v>0.67055771725032398</v>
          </cell>
          <cell r="K1026">
            <v>1501.7861849999999</v>
          </cell>
          <cell r="L1026">
            <v>1.3294422827496699</v>
          </cell>
          <cell r="M1026">
            <v>23.672523999999999</v>
          </cell>
          <cell r="N1026">
            <v>0.31128404669260701</v>
          </cell>
          <cell r="O1026">
            <v>2111.7417850000002</v>
          </cell>
          <cell r="P1026">
            <v>2.6644993498049399</v>
          </cell>
          <cell r="Q1026">
            <v>171.103532</v>
          </cell>
          <cell r="R1026">
            <v>1.15084525357607</v>
          </cell>
          <cell r="S1026">
            <v>178.51692700000001</v>
          </cell>
          <cell r="T1026">
            <v>1.89528795811518</v>
          </cell>
          <cell r="U1026">
            <v>178.355322</v>
          </cell>
          <cell r="V1026">
            <v>1.89397905759162</v>
          </cell>
        </row>
        <row r="1027">
          <cell r="A1027" t="str">
            <v>062302</v>
          </cell>
          <cell r="B1027">
            <v>775.77777700000001</v>
          </cell>
          <cell r="C1027">
            <v>21.333828</v>
          </cell>
          <cell r="D1027">
            <v>0.18123393316195299</v>
          </cell>
          <cell r="E1027">
            <v>21.333828</v>
          </cell>
          <cell r="F1027">
            <v>0.18123393316195299</v>
          </cell>
          <cell r="G1027">
            <v>141.68024500000001</v>
          </cell>
          <cell r="H1027">
            <v>0.62051282051281997</v>
          </cell>
          <cell r="I1027">
            <v>101.69322099999999</v>
          </cell>
          <cell r="J1027">
            <v>0.51410256410256405</v>
          </cell>
          <cell r="K1027">
            <v>806.35966900000005</v>
          </cell>
          <cell r="L1027">
            <v>2.2901155327342702</v>
          </cell>
          <cell r="M1027">
            <v>299.568827</v>
          </cell>
          <cell r="N1027">
            <v>1.85494223363286</v>
          </cell>
          <cell r="O1027">
            <v>1472.446009</v>
          </cell>
          <cell r="P1027">
            <v>2.3873873873873799</v>
          </cell>
          <cell r="Q1027">
            <v>348.25742100000002</v>
          </cell>
          <cell r="R1027">
            <v>1.96782496782496</v>
          </cell>
          <cell r="S1027">
            <v>478.433288</v>
          </cell>
          <cell r="T1027">
            <v>3.0456919060052199</v>
          </cell>
          <cell r="U1027">
            <v>324.65728799999999</v>
          </cell>
          <cell r="V1027">
            <v>2.83028720626631</v>
          </cell>
        </row>
        <row r="1028">
          <cell r="A1028" t="str">
            <v>062401</v>
          </cell>
          <cell r="B1028">
            <v>1029</v>
          </cell>
          <cell r="C1028">
            <v>4594.9497929999998</v>
          </cell>
          <cell r="D1028">
            <v>1.7923444976076499</v>
          </cell>
          <cell r="E1028">
            <v>132.20783499999999</v>
          </cell>
          <cell r="F1028">
            <v>0.54545454545454497</v>
          </cell>
          <cell r="G1028">
            <v>2710.9132519999998</v>
          </cell>
          <cell r="H1028">
            <v>4.13746369796708</v>
          </cell>
          <cell r="I1028">
            <v>905.24963400000001</v>
          </cell>
          <cell r="J1028">
            <v>1.02807357212003</v>
          </cell>
          <cell r="K1028">
            <v>5024.7211729999999</v>
          </cell>
          <cell r="L1028">
            <v>1.24221789883268</v>
          </cell>
          <cell r="M1028">
            <v>34.997422</v>
          </cell>
          <cell r="N1028">
            <v>0.24027237354085601</v>
          </cell>
          <cell r="O1028">
            <v>670.06527400000004</v>
          </cell>
          <cell r="P1028">
            <v>2.2318271119842801</v>
          </cell>
          <cell r="Q1028">
            <v>426.1472</v>
          </cell>
          <cell r="R1028">
            <v>1.66994106090373</v>
          </cell>
          <cell r="S1028">
            <v>258.54026900000002</v>
          </cell>
          <cell r="T1028">
            <v>1.50342801175318</v>
          </cell>
          <cell r="U1028">
            <v>252.210936</v>
          </cell>
          <cell r="V1028">
            <v>1.4789422135161601</v>
          </cell>
        </row>
        <row r="1029">
          <cell r="A1029" t="str">
            <v>062402</v>
          </cell>
          <cell r="B1029">
            <v>1368.2222220000001</v>
          </cell>
          <cell r="C1029">
            <v>2088.9184070000001</v>
          </cell>
          <cell r="D1029">
            <v>2.8463219227967902</v>
          </cell>
          <cell r="E1029">
            <v>11.64086</v>
          </cell>
          <cell r="F1029">
            <v>0.13255644573925701</v>
          </cell>
          <cell r="G1029">
            <v>25.300941000000002</v>
          </cell>
          <cell r="H1029">
            <v>0.210795040116703</v>
          </cell>
          <cell r="I1029">
            <v>23.539660999999999</v>
          </cell>
          <cell r="J1029">
            <v>0.20933625091174299</v>
          </cell>
          <cell r="K1029">
            <v>6088.4544729999998</v>
          </cell>
          <cell r="L1029">
            <v>1.75346462436177</v>
          </cell>
          <cell r="M1029">
            <v>74.131303000000003</v>
          </cell>
          <cell r="N1029">
            <v>0.40408460977388699</v>
          </cell>
          <cell r="O1029">
            <v>1485.678488</v>
          </cell>
          <cell r="P1029">
            <v>1.87554904831625</v>
          </cell>
          <cell r="Q1029">
            <v>1480.245058</v>
          </cell>
          <cell r="R1029">
            <v>1.84333821376281</v>
          </cell>
          <cell r="S1029">
            <v>10.624642</v>
          </cell>
          <cell r="T1029">
            <v>0.12943786982248501</v>
          </cell>
          <cell r="U1029">
            <v>10.624642</v>
          </cell>
          <cell r="V1029">
            <v>0.12943786982248501</v>
          </cell>
        </row>
        <row r="1030">
          <cell r="A1030" t="str">
            <v>062901</v>
          </cell>
          <cell r="B1030">
            <v>1327.8</v>
          </cell>
          <cell r="C1030">
            <v>81.489687000000004</v>
          </cell>
          <cell r="D1030">
            <v>1.0774436090225501</v>
          </cell>
          <cell r="E1030">
            <v>80.465597000000002</v>
          </cell>
          <cell r="F1030">
            <v>1.0721804511278099</v>
          </cell>
          <cell r="G1030">
            <v>598.48480800000004</v>
          </cell>
          <cell r="H1030">
            <v>1.8798798798798699</v>
          </cell>
          <cell r="I1030">
            <v>427.56498099999999</v>
          </cell>
          <cell r="J1030">
            <v>1.6201201201201201</v>
          </cell>
          <cell r="K1030">
            <v>57.699585999999996</v>
          </cell>
          <cell r="L1030">
            <v>0.31381381381381301</v>
          </cell>
          <cell r="M1030">
            <v>47.80294</v>
          </cell>
          <cell r="N1030">
            <v>0.30780780780780698</v>
          </cell>
          <cell r="O1030">
            <v>19.518799999999999</v>
          </cell>
          <cell r="P1030">
            <v>0.12650602409638501</v>
          </cell>
          <cell r="Q1030">
            <v>19.368134999999999</v>
          </cell>
          <cell r="R1030">
            <v>0.125753012048192</v>
          </cell>
          <cell r="S1030">
            <v>158.88649599999999</v>
          </cell>
          <cell r="T1030">
            <v>0.47608200455580801</v>
          </cell>
          <cell r="U1030">
            <v>40.935977999999999</v>
          </cell>
          <cell r="V1030">
            <v>0.36902050113895202</v>
          </cell>
        </row>
        <row r="1031">
          <cell r="A1031" t="str">
            <v>062902</v>
          </cell>
          <cell r="B1031">
            <v>1339.8</v>
          </cell>
          <cell r="C1031">
            <v>116.91342299999999</v>
          </cell>
          <cell r="D1031">
            <v>0.717135086128739</v>
          </cell>
          <cell r="E1031">
            <v>113.683751</v>
          </cell>
          <cell r="F1031">
            <v>0.71441523118766903</v>
          </cell>
          <cell r="G1031">
            <v>290.66956699999997</v>
          </cell>
          <cell r="H1031">
            <v>1.0502832861189799</v>
          </cell>
          <cell r="I1031">
            <v>205.045547</v>
          </cell>
          <cell r="J1031">
            <v>0.81019830028328599</v>
          </cell>
          <cell r="K1031">
            <v>817.495271</v>
          </cell>
          <cell r="L1031">
            <v>2.9978723404255301</v>
          </cell>
          <cell r="M1031">
            <v>317.29288400000002</v>
          </cell>
          <cell r="N1031">
            <v>2.6943262411347502</v>
          </cell>
          <cell r="O1031">
            <v>314.54830800000002</v>
          </cell>
          <cell r="P1031">
            <v>1.11499999999999</v>
          </cell>
          <cell r="Q1031">
            <v>62.040272999999999</v>
          </cell>
          <cell r="R1031">
            <v>0.65857142857142803</v>
          </cell>
          <cell r="S1031">
            <v>488.71127899999999</v>
          </cell>
          <cell r="T1031">
            <v>2.8588064046579298</v>
          </cell>
          <cell r="U1031">
            <v>242.30409900000001</v>
          </cell>
          <cell r="V1031">
            <v>2.47234352256186</v>
          </cell>
        </row>
        <row r="1032">
          <cell r="A1032" t="str">
            <v>063001</v>
          </cell>
          <cell r="B1032">
            <v>336.55555500000003</v>
          </cell>
          <cell r="C1032">
            <v>3500.752082</v>
          </cell>
          <cell r="D1032">
            <v>3.2182890855457198</v>
          </cell>
          <cell r="E1032">
            <v>163.66188199999999</v>
          </cell>
          <cell r="F1032">
            <v>0.86135693215339204</v>
          </cell>
          <cell r="G1032">
            <v>726.52443800000003</v>
          </cell>
          <cell r="H1032">
            <v>2.23893805309734</v>
          </cell>
          <cell r="I1032">
            <v>655.32049400000005</v>
          </cell>
          <cell r="J1032">
            <v>2.2094395280235899</v>
          </cell>
          <cell r="K1032">
            <v>1750.573371</v>
          </cell>
          <cell r="L1032">
            <v>2.4437869822485201</v>
          </cell>
          <cell r="M1032">
            <v>126.711439</v>
          </cell>
          <cell r="N1032">
            <v>0.890532544378698</v>
          </cell>
          <cell r="O1032">
            <v>46.498739999999998</v>
          </cell>
          <cell r="P1032">
            <v>0.24773413897280899</v>
          </cell>
          <cell r="Q1032">
            <v>21.180916</v>
          </cell>
          <cell r="R1032">
            <v>0.22054380664652501</v>
          </cell>
          <cell r="S1032">
            <v>538.53910399999995</v>
          </cell>
          <cell r="T1032">
            <v>2.23880597014925</v>
          </cell>
          <cell r="U1032">
            <v>538.53910399999995</v>
          </cell>
          <cell r="V1032">
            <v>2.23880597014925</v>
          </cell>
        </row>
        <row r="1033">
          <cell r="A1033" t="str">
            <v>063002</v>
          </cell>
          <cell r="B1033">
            <v>438.8</v>
          </cell>
          <cell r="C1033">
            <v>1238.4797940000001</v>
          </cell>
          <cell r="D1033">
            <v>1.45662100456621</v>
          </cell>
          <cell r="E1033">
            <v>43.551405000000003</v>
          </cell>
          <cell r="F1033">
            <v>0.18264840182648401</v>
          </cell>
          <cell r="G1033">
            <v>455.997208</v>
          </cell>
          <cell r="H1033">
            <v>2.7038724373576302</v>
          </cell>
          <cell r="I1033">
            <v>254.396581</v>
          </cell>
          <cell r="J1033">
            <v>1.6879271070615001</v>
          </cell>
          <cell r="K1033">
            <v>1628.2545930000001</v>
          </cell>
          <cell r="L1033">
            <v>1.81548974943052</v>
          </cell>
          <cell r="M1033">
            <v>95.934016</v>
          </cell>
          <cell r="N1033">
            <v>0.78359908883826801</v>
          </cell>
          <cell r="O1033">
            <v>21.776201</v>
          </cell>
          <cell r="P1033">
            <v>0.157894736842105</v>
          </cell>
          <cell r="Q1033">
            <v>19.439855000000001</v>
          </cell>
          <cell r="R1033">
            <v>0.132723112128146</v>
          </cell>
          <cell r="S1033">
            <v>875.12838199999999</v>
          </cell>
          <cell r="T1033">
            <v>3.59863945578231</v>
          </cell>
          <cell r="U1033">
            <v>709.22222199999999</v>
          </cell>
          <cell r="V1033">
            <v>2.5963718820861601</v>
          </cell>
        </row>
        <row r="1034">
          <cell r="A1034" t="str">
            <v>063101</v>
          </cell>
          <cell r="B1034">
            <v>1052.4000000000001</v>
          </cell>
          <cell r="C1034">
            <v>319.05512199999998</v>
          </cell>
          <cell r="D1034">
            <v>0.89924670433145004</v>
          </cell>
          <cell r="E1034">
            <v>84.848823999999993</v>
          </cell>
          <cell r="F1034">
            <v>0.72316384180790905</v>
          </cell>
          <cell r="G1034">
            <v>1364.544138</v>
          </cell>
          <cell r="H1034">
            <v>1.9622285174693099</v>
          </cell>
          <cell r="I1034">
            <v>321.14706899999999</v>
          </cell>
          <cell r="J1034">
            <v>0.90368271954674195</v>
          </cell>
          <cell r="K1034">
            <v>1034.176381</v>
          </cell>
          <cell r="L1034">
            <v>1.76682464454976</v>
          </cell>
          <cell r="M1034">
            <v>318.41781900000001</v>
          </cell>
          <cell r="N1034">
            <v>1.38388625592417</v>
          </cell>
          <cell r="O1034">
            <v>264.42256500000002</v>
          </cell>
          <cell r="P1034">
            <v>0.80343511450381599</v>
          </cell>
          <cell r="Q1034">
            <v>211.935225</v>
          </cell>
          <cell r="R1034">
            <v>0.76908396946564805</v>
          </cell>
          <cell r="S1034">
            <v>793.05016000000001</v>
          </cell>
          <cell r="T1034">
            <v>1.6695568400770699</v>
          </cell>
          <cell r="U1034">
            <v>188.81830400000001</v>
          </cell>
          <cell r="V1034">
            <v>1.1936416184970999</v>
          </cell>
        </row>
        <row r="1035">
          <cell r="A1035" t="str">
            <v>063102</v>
          </cell>
          <cell r="B1035">
            <v>579.79999999999995</v>
          </cell>
          <cell r="C1035">
            <v>128.12985599999999</v>
          </cell>
          <cell r="D1035">
            <v>0.53321976149914796</v>
          </cell>
          <cell r="E1035">
            <v>106.244392</v>
          </cell>
          <cell r="F1035">
            <v>0.40034071550255501</v>
          </cell>
          <cell r="G1035">
            <v>632.95417799999996</v>
          </cell>
          <cell r="H1035">
            <v>2.15897435897435</v>
          </cell>
          <cell r="I1035">
            <v>136.964573</v>
          </cell>
          <cell r="J1035">
            <v>1.4034188034188</v>
          </cell>
          <cell r="K1035">
            <v>282.861244</v>
          </cell>
          <cell r="L1035">
            <v>0.49913941480206497</v>
          </cell>
          <cell r="M1035">
            <v>107.224985</v>
          </cell>
          <cell r="N1035">
            <v>0.42685025817555899</v>
          </cell>
          <cell r="O1035">
            <v>221.07201800000001</v>
          </cell>
          <cell r="P1035">
            <v>0.59201388888888795</v>
          </cell>
          <cell r="Q1035">
            <v>74.163454000000002</v>
          </cell>
          <cell r="R1035">
            <v>0.421875</v>
          </cell>
          <cell r="S1035">
            <v>2012.325292</v>
          </cell>
          <cell r="T1035">
            <v>1.5333333333333301</v>
          </cell>
          <cell r="U1035">
            <v>39.943567000000002</v>
          </cell>
          <cell r="V1035">
            <v>0.14210526315789401</v>
          </cell>
        </row>
        <row r="1036">
          <cell r="A1036" t="str">
            <v>063201</v>
          </cell>
          <cell r="B1036">
            <v>125.75</v>
          </cell>
          <cell r="C1036">
            <v>152.36188300000001</v>
          </cell>
          <cell r="D1036">
            <v>0.40944881889763701</v>
          </cell>
          <cell r="E1036">
            <v>152.36188300000001</v>
          </cell>
          <cell r="F1036">
            <v>0.40944881889763701</v>
          </cell>
          <cell r="G1036">
            <v>6.6107899999999997</v>
          </cell>
          <cell r="H1036">
            <v>3.1496062992125901E-2</v>
          </cell>
          <cell r="I1036">
            <v>5.0153020000000001</v>
          </cell>
          <cell r="J1036">
            <v>2.3622047244094401E-2</v>
          </cell>
          <cell r="K1036">
            <v>1.4070860000000001</v>
          </cell>
          <cell r="L1036">
            <v>3.9370078740157403E-2</v>
          </cell>
          <cell r="M1036">
            <v>1.4070860000000001</v>
          </cell>
          <cell r="N1036">
            <v>3.9370078740157403E-2</v>
          </cell>
          <cell r="O1036">
            <v>2913.3547990000002</v>
          </cell>
          <cell r="P1036">
            <v>1.8720000000000001</v>
          </cell>
          <cell r="Q1036">
            <v>448.18759899999998</v>
          </cell>
          <cell r="R1036">
            <v>1.1439999999999999</v>
          </cell>
          <cell r="S1036">
            <v>486.156451</v>
          </cell>
          <cell r="T1036">
            <v>0.749999999999999</v>
          </cell>
          <cell r="U1036">
            <v>121.954032</v>
          </cell>
          <cell r="V1036">
            <v>0.61290322580645096</v>
          </cell>
        </row>
        <row r="1037">
          <cell r="A1037" t="str">
            <v>063202</v>
          </cell>
          <cell r="B1037">
            <v>788.77777700000001</v>
          </cell>
          <cell r="C1037">
            <v>19.006132000000001</v>
          </cell>
          <cell r="D1037">
            <v>0.14857744994731201</v>
          </cell>
          <cell r="E1037">
            <v>19.006132000000001</v>
          </cell>
          <cell r="F1037">
            <v>0.14857744994731201</v>
          </cell>
          <cell r="G1037">
            <v>4.3460200000000002</v>
          </cell>
          <cell r="H1037">
            <v>1.7819706498951701E-2</v>
          </cell>
          <cell r="I1037">
            <v>0.86433400000000005</v>
          </cell>
          <cell r="J1037">
            <v>1.0482180293501E-2</v>
          </cell>
          <cell r="K1037">
            <v>1267.059982</v>
          </cell>
          <cell r="L1037">
            <v>0.44707347447073398</v>
          </cell>
          <cell r="M1037">
            <v>39.443088000000003</v>
          </cell>
          <cell r="N1037">
            <v>0.18929016189290099</v>
          </cell>
          <cell r="O1037">
            <v>551.51248599999997</v>
          </cell>
          <cell r="P1037">
            <v>0.81570996978851895</v>
          </cell>
          <cell r="Q1037">
            <v>6.6607750000000001</v>
          </cell>
          <cell r="R1037">
            <v>1.8126888217522601E-2</v>
          </cell>
          <cell r="S1037">
            <v>1069.2226109999999</v>
          </cell>
          <cell r="T1037">
            <v>1.6265243902438999</v>
          </cell>
          <cell r="U1037">
            <v>415.91285499999998</v>
          </cell>
          <cell r="V1037">
            <v>1.1783536585365799</v>
          </cell>
        </row>
        <row r="1038">
          <cell r="A1038" t="str">
            <v>063203</v>
          </cell>
          <cell r="B1038">
            <v>242</v>
          </cell>
          <cell r="C1038">
            <v>121.62381499999999</v>
          </cell>
          <cell r="D1038">
            <v>0.38842975206611502</v>
          </cell>
          <cell r="E1038">
            <v>121.62381499999999</v>
          </cell>
          <cell r="F1038">
            <v>0.38842975206611502</v>
          </cell>
          <cell r="G1038">
            <v>144.151894</v>
          </cell>
          <cell r="H1038">
            <v>0.42213114754098302</v>
          </cell>
          <cell r="I1038">
            <v>32.714196000000001</v>
          </cell>
          <cell r="J1038">
            <v>0.33196721311475402</v>
          </cell>
          <cell r="K1038">
            <v>1421.313911</v>
          </cell>
          <cell r="L1038">
            <v>0.91735537190082606</v>
          </cell>
          <cell r="M1038">
            <v>56.339461999999997</v>
          </cell>
          <cell r="N1038">
            <v>0.44628099173553698</v>
          </cell>
          <cell r="O1038">
            <v>1285.0114309999999</v>
          </cell>
          <cell r="P1038">
            <v>0.75619834710743805</v>
          </cell>
          <cell r="Q1038">
            <v>73.560880999999995</v>
          </cell>
          <cell r="R1038">
            <v>0.40082644628099101</v>
          </cell>
          <cell r="S1038">
            <v>400.14916599999998</v>
          </cell>
          <cell r="T1038">
            <v>1.0458333333333301</v>
          </cell>
          <cell r="U1038">
            <v>354.49895800000002</v>
          </cell>
          <cell r="V1038">
            <v>1.0249999999999999</v>
          </cell>
        </row>
        <row r="1039">
          <cell r="A1039" t="str">
            <v>063301</v>
          </cell>
          <cell r="B1039">
            <v>533.22222199999999</v>
          </cell>
          <cell r="C1039">
            <v>4905.8709769999996</v>
          </cell>
          <cell r="D1039">
            <v>2.4981412639405201</v>
          </cell>
          <cell r="E1039">
            <v>417.613877</v>
          </cell>
          <cell r="F1039">
            <v>1.55762081784386</v>
          </cell>
          <cell r="G1039">
            <v>282.92331999999999</v>
          </cell>
          <cell r="H1039">
            <v>1.4542056074766301</v>
          </cell>
          <cell r="I1039">
            <v>282.92331999999999</v>
          </cell>
          <cell r="J1039">
            <v>1.4542056074766301</v>
          </cell>
          <cell r="K1039">
            <v>2346.3706149999998</v>
          </cell>
          <cell r="L1039">
            <v>1.78544776119402</v>
          </cell>
          <cell r="M1039">
            <v>320.12767400000001</v>
          </cell>
          <cell r="N1039">
            <v>1.25186567164179</v>
          </cell>
          <cell r="O1039">
            <v>544.48691699999995</v>
          </cell>
          <cell r="P1039">
            <v>1.22830188679245</v>
          </cell>
          <cell r="Q1039">
            <v>11.962797999999999</v>
          </cell>
          <cell r="R1039">
            <v>0.15849056603773501</v>
          </cell>
          <cell r="S1039">
            <v>27.021021999999999</v>
          </cell>
          <cell r="T1039">
            <v>0.10606060606060599</v>
          </cell>
          <cell r="U1039">
            <v>25.966256000000001</v>
          </cell>
          <cell r="V1039">
            <v>0.10416666666666601</v>
          </cell>
        </row>
        <row r="1040">
          <cell r="A1040" t="str">
            <v>063302</v>
          </cell>
          <cell r="B1040">
            <v>945.4</v>
          </cell>
          <cell r="C1040">
            <v>3597.2976119999998</v>
          </cell>
          <cell r="D1040">
            <v>2.4161358811040299</v>
          </cell>
          <cell r="E1040">
            <v>594.60043800000005</v>
          </cell>
          <cell r="F1040">
            <v>1.43736730360934</v>
          </cell>
          <cell r="G1040">
            <v>86.595703999999998</v>
          </cell>
          <cell r="H1040">
            <v>0.559196617336152</v>
          </cell>
          <cell r="I1040">
            <v>86.542466000000005</v>
          </cell>
          <cell r="J1040">
            <v>0.55813953488372003</v>
          </cell>
          <cell r="K1040">
            <v>5020.3018330000004</v>
          </cell>
          <cell r="L1040">
            <v>3.3100529100529101</v>
          </cell>
          <cell r="M1040">
            <v>535.24700099999995</v>
          </cell>
          <cell r="N1040">
            <v>2.2518518518518502</v>
          </cell>
          <cell r="O1040">
            <v>264.82840499999998</v>
          </cell>
          <cell r="P1040">
            <v>1.0591341077085501</v>
          </cell>
          <cell r="Q1040">
            <v>4.3035899999999998</v>
          </cell>
          <cell r="R1040">
            <v>5.8078141499471998E-2</v>
          </cell>
          <cell r="S1040">
            <v>172.678686</v>
          </cell>
          <cell r="T1040">
            <v>0.27666314677930298</v>
          </cell>
          <cell r="U1040">
            <v>170.722509</v>
          </cell>
          <cell r="V1040">
            <v>0.26610348468848899</v>
          </cell>
        </row>
        <row r="1041">
          <cell r="A1041" t="str">
            <v>063401</v>
          </cell>
          <cell r="B1041">
            <v>707.875</v>
          </cell>
          <cell r="C1041">
            <v>580.55163800000003</v>
          </cell>
          <cell r="D1041">
            <v>0.42998585572842901</v>
          </cell>
          <cell r="E1041">
            <v>19.681329999999999</v>
          </cell>
          <cell r="F1041">
            <v>5.7991513437057898E-2</v>
          </cell>
          <cell r="G1041">
            <v>40.973005999999998</v>
          </cell>
          <cell r="H1041">
            <v>0.161016949152542</v>
          </cell>
          <cell r="I1041">
            <v>40.973005999999998</v>
          </cell>
          <cell r="J1041">
            <v>0.161016949152542</v>
          </cell>
          <cell r="K1041">
            <v>25.053854999999999</v>
          </cell>
          <cell r="L1041">
            <v>0.12976022566995701</v>
          </cell>
          <cell r="M1041">
            <v>8.9988480000000006</v>
          </cell>
          <cell r="N1041">
            <v>0.104372355430183</v>
          </cell>
          <cell r="O1041">
            <v>81.643940999999998</v>
          </cell>
          <cell r="P1041">
            <v>0.35926449787835901</v>
          </cell>
          <cell r="Q1041">
            <v>9.5755300000000005</v>
          </cell>
          <cell r="R1041">
            <v>0.14710042432814699</v>
          </cell>
          <cell r="S1041">
            <v>42.984602000000002</v>
          </cell>
          <cell r="T1041">
            <v>1.1734837799717901</v>
          </cell>
          <cell r="U1041">
            <v>42.984602000000002</v>
          </cell>
          <cell r="V1041">
            <v>1.1734837799717901</v>
          </cell>
        </row>
        <row r="1042">
          <cell r="A1042" t="str">
            <v>063402</v>
          </cell>
          <cell r="B1042">
            <v>1067</v>
          </cell>
          <cell r="C1042">
            <v>168.225919</v>
          </cell>
          <cell r="D1042">
            <v>0.50419287211740005</v>
          </cell>
          <cell r="E1042">
            <v>146.30923799999999</v>
          </cell>
          <cell r="F1042">
            <v>0.48742138364779802</v>
          </cell>
          <cell r="G1042">
            <v>1576.9829520000001</v>
          </cell>
          <cell r="H1042">
            <v>1.2215256008359401</v>
          </cell>
          <cell r="I1042">
            <v>17.433420000000002</v>
          </cell>
          <cell r="J1042">
            <v>0.109717868338557</v>
          </cell>
          <cell r="K1042">
            <v>168.27042399999999</v>
          </cell>
          <cell r="L1042">
            <v>0.23057432432432401</v>
          </cell>
          <cell r="M1042">
            <v>152.747423</v>
          </cell>
          <cell r="N1042">
            <v>0.222972972972972</v>
          </cell>
          <cell r="O1042">
            <v>307.79280699999998</v>
          </cell>
          <cell r="P1042">
            <v>1.05675146771037</v>
          </cell>
          <cell r="Q1042">
            <v>285.91908000000001</v>
          </cell>
          <cell r="R1042">
            <v>1.04794520547945</v>
          </cell>
          <cell r="S1042">
            <v>66.536643999999995</v>
          </cell>
          <cell r="T1042">
            <v>1.2200328407224901</v>
          </cell>
          <cell r="U1042">
            <v>65.312014000000005</v>
          </cell>
          <cell r="V1042">
            <v>1.2101806239737201</v>
          </cell>
        </row>
        <row r="1043">
          <cell r="A1043" t="str">
            <v>063403</v>
          </cell>
          <cell r="B1043">
            <v>1265.777777</v>
          </cell>
          <cell r="C1043">
            <v>439.50512900000001</v>
          </cell>
          <cell r="D1043">
            <v>0.42766798418972302</v>
          </cell>
          <cell r="E1043">
            <v>17.509284000000001</v>
          </cell>
          <cell r="F1043">
            <v>0.15889328063241101</v>
          </cell>
          <cell r="G1043">
            <v>56.485512</v>
          </cell>
          <cell r="H1043">
            <v>0.124110671936758</v>
          </cell>
          <cell r="I1043">
            <v>15.670306999999999</v>
          </cell>
          <cell r="J1043">
            <v>8.4584980237154106E-2</v>
          </cell>
          <cell r="K1043">
            <v>305.63385799999998</v>
          </cell>
          <cell r="L1043">
            <v>0.68927444794952597</v>
          </cell>
          <cell r="M1043">
            <v>219.52072799999999</v>
          </cell>
          <cell r="N1043">
            <v>0.58280757097791702</v>
          </cell>
          <cell r="O1043">
            <v>40.893416999999999</v>
          </cell>
          <cell r="P1043">
            <v>0.114533965244865</v>
          </cell>
          <cell r="Q1043">
            <v>40.893416999999999</v>
          </cell>
          <cell r="R1043">
            <v>0.114533965244865</v>
          </cell>
          <cell r="S1043">
            <v>51.244584000000003</v>
          </cell>
          <cell r="T1043">
            <v>1.27272727272727</v>
          </cell>
          <cell r="U1043">
            <v>49.879367000000002</v>
          </cell>
          <cell r="V1043">
            <v>1.25691699604743</v>
          </cell>
        </row>
        <row r="1044">
          <cell r="A1044" t="str">
            <v>063404</v>
          </cell>
          <cell r="B1044">
            <v>851.8</v>
          </cell>
          <cell r="C1044">
            <v>2035.136148</v>
          </cell>
          <cell r="D1044">
            <v>1.27764705882352</v>
          </cell>
          <cell r="E1044">
            <v>137.22036900000001</v>
          </cell>
          <cell r="F1044">
            <v>0.79882352941176404</v>
          </cell>
          <cell r="G1044">
            <v>633.93148399999995</v>
          </cell>
          <cell r="H1044">
            <v>0.55516431924882603</v>
          </cell>
          <cell r="I1044">
            <v>55.385027000000001</v>
          </cell>
          <cell r="J1044">
            <v>0.38732394366197098</v>
          </cell>
          <cell r="K1044">
            <v>627.90972999999997</v>
          </cell>
          <cell r="L1044">
            <v>2.9706916764361</v>
          </cell>
          <cell r="M1044">
            <v>383.56465400000002</v>
          </cell>
          <cell r="N1044">
            <v>1.2450175849941301</v>
          </cell>
          <cell r="O1044">
            <v>251.269228</v>
          </cell>
          <cell r="P1044">
            <v>1.18309859154929</v>
          </cell>
          <cell r="Q1044">
            <v>185.36576600000001</v>
          </cell>
          <cell r="R1044">
            <v>1.1244131455399</v>
          </cell>
          <cell r="S1044">
            <v>283.77601600000003</v>
          </cell>
          <cell r="T1044">
            <v>1.2758215962441299</v>
          </cell>
          <cell r="U1044">
            <v>34.055593999999999</v>
          </cell>
          <cell r="V1044">
            <v>1.0962441314553899</v>
          </cell>
        </row>
        <row r="1045">
          <cell r="A1045" t="str">
            <v>063501</v>
          </cell>
          <cell r="B1045">
            <v>1514</v>
          </cell>
          <cell r="C1045">
            <v>1885.6611720000001</v>
          </cell>
          <cell r="D1045">
            <v>0.95418848167539205</v>
          </cell>
          <cell r="E1045">
            <v>76.077898000000005</v>
          </cell>
          <cell r="F1045">
            <v>0.524214659685863</v>
          </cell>
          <cell r="G1045">
            <v>1394.501763</v>
          </cell>
          <cell r="H1045">
            <v>3.25804333552199</v>
          </cell>
          <cell r="I1045">
            <v>114.298563</v>
          </cell>
          <cell r="J1045">
            <v>1.3296126066973</v>
          </cell>
          <cell r="K1045">
            <v>395.67917899999998</v>
          </cell>
          <cell r="L1045">
            <v>1.8108108108108101</v>
          </cell>
          <cell r="M1045">
            <v>215.06840199999999</v>
          </cell>
          <cell r="N1045">
            <v>1.6235992089650599</v>
          </cell>
          <cell r="O1045">
            <v>552.09117200000003</v>
          </cell>
          <cell r="P1045">
            <v>3.0333111259160499</v>
          </cell>
          <cell r="Q1045">
            <v>143.86758800000001</v>
          </cell>
          <cell r="R1045">
            <v>1.73151232511658</v>
          </cell>
          <cell r="S1045">
            <v>789.22167400000001</v>
          </cell>
          <cell r="T1045">
            <v>1.49700199866755</v>
          </cell>
          <cell r="U1045">
            <v>266.50707299999999</v>
          </cell>
          <cell r="V1045">
            <v>1.2351765489673501</v>
          </cell>
        </row>
        <row r="1046">
          <cell r="A1046" t="str">
            <v>063502</v>
          </cell>
          <cell r="B1046">
            <v>1808.2</v>
          </cell>
          <cell r="C1046">
            <v>948.96837700000003</v>
          </cell>
          <cell r="D1046">
            <v>4.3999999999999897</v>
          </cell>
          <cell r="E1046">
            <v>465.10732100000001</v>
          </cell>
          <cell r="F1046">
            <v>4.1315789473684204</v>
          </cell>
          <cell r="G1046">
            <v>1512.172546</v>
          </cell>
          <cell r="H1046">
            <v>2.89693313222724</v>
          </cell>
          <cell r="I1046">
            <v>159.211445</v>
          </cell>
          <cell r="J1046">
            <v>1.5656108597284999</v>
          </cell>
          <cell r="K1046">
            <v>843.20585700000004</v>
          </cell>
          <cell r="L1046">
            <v>1.17371601208459</v>
          </cell>
          <cell r="M1046">
            <v>184.126913</v>
          </cell>
          <cell r="N1046">
            <v>0.57250755287009003</v>
          </cell>
          <cell r="O1046">
            <v>687.37156700000003</v>
          </cell>
          <cell r="P1046">
            <v>2.4736308316429998</v>
          </cell>
          <cell r="Q1046">
            <v>48.341911000000003</v>
          </cell>
          <cell r="R1046">
            <v>0.35091277890466499</v>
          </cell>
          <cell r="S1046">
            <v>60.481361999999997</v>
          </cell>
          <cell r="T1046">
            <v>0.126919140225179</v>
          </cell>
          <cell r="U1046">
            <v>12.314551</v>
          </cell>
          <cell r="V1046">
            <v>8.8536335721596707E-2</v>
          </cell>
        </row>
        <row r="1047">
          <cell r="A1047" t="str">
            <v>063601</v>
          </cell>
          <cell r="B1047">
            <v>2105</v>
          </cell>
          <cell r="C1047">
            <v>133.272381</v>
          </cell>
          <cell r="D1047">
            <v>0.718775847808105</v>
          </cell>
          <cell r="E1047">
            <v>126.20951100000001</v>
          </cell>
          <cell r="F1047">
            <v>0.62117452440033005</v>
          </cell>
          <cell r="G1047">
            <v>261.84453000000002</v>
          </cell>
          <cell r="H1047">
            <v>0.85574883326262097</v>
          </cell>
          <cell r="I1047">
            <v>82.678107999999995</v>
          </cell>
          <cell r="J1047">
            <v>0.69749681798896901</v>
          </cell>
          <cell r="K1047">
            <v>1330.527654</v>
          </cell>
          <cell r="L1047">
            <v>2.1793015332197601</v>
          </cell>
          <cell r="M1047">
            <v>177.95241300000001</v>
          </cell>
          <cell r="N1047">
            <v>1.4953151618398599</v>
          </cell>
          <cell r="O1047">
            <v>670.67857500000002</v>
          </cell>
          <cell r="P1047">
            <v>2.66523605150214</v>
          </cell>
          <cell r="Q1047">
            <v>450.09957700000001</v>
          </cell>
          <cell r="R1047">
            <v>2.0133047210300399</v>
          </cell>
          <cell r="S1047">
            <v>1050.3140860000001</v>
          </cell>
          <cell r="T1047">
            <v>5.3792196405085404</v>
          </cell>
          <cell r="U1047">
            <v>848.25951999999995</v>
          </cell>
          <cell r="V1047">
            <v>4.15037264357737</v>
          </cell>
        </row>
        <row r="1048">
          <cell r="A1048" t="str">
            <v>063602</v>
          </cell>
          <cell r="B1048">
            <v>1746.2</v>
          </cell>
          <cell r="C1048">
            <v>311.46810499999998</v>
          </cell>
          <cell r="D1048">
            <v>2.9789915966386502</v>
          </cell>
          <cell r="E1048">
            <v>311.29583700000001</v>
          </cell>
          <cell r="F1048">
            <v>2.9779411764705799</v>
          </cell>
          <cell r="G1048">
            <v>956.84078699999998</v>
          </cell>
          <cell r="H1048">
            <v>3.1592875318066098</v>
          </cell>
          <cell r="I1048">
            <v>285.33729299999999</v>
          </cell>
          <cell r="J1048">
            <v>1.82391857506361</v>
          </cell>
          <cell r="K1048">
            <v>1298.6846820000001</v>
          </cell>
          <cell r="L1048">
            <v>2.5415180845644398</v>
          </cell>
          <cell r="M1048">
            <v>350.93829099999999</v>
          </cell>
          <cell r="N1048">
            <v>1.32246561385634</v>
          </cell>
          <cell r="O1048">
            <v>1253.3748270000001</v>
          </cell>
          <cell r="P1048">
            <v>4.6073271413828598</v>
          </cell>
          <cell r="Q1048">
            <v>626.70521099999996</v>
          </cell>
          <cell r="R1048">
            <v>3.1991744066047398</v>
          </cell>
          <cell r="S1048">
            <v>730.18666099999996</v>
          </cell>
          <cell r="T1048">
            <v>3.6027182435964402</v>
          </cell>
          <cell r="U1048">
            <v>650.69238499999994</v>
          </cell>
          <cell r="V1048">
            <v>3.3491897543125901</v>
          </cell>
        </row>
        <row r="1049">
          <cell r="A1049" t="str">
            <v>063603</v>
          </cell>
          <cell r="B1049">
            <v>1743.4</v>
          </cell>
          <cell r="C1049">
            <v>352.402872</v>
          </cell>
          <cell r="D1049">
            <v>2.4034988713318199</v>
          </cell>
          <cell r="E1049">
            <v>352.36272700000001</v>
          </cell>
          <cell r="F1049">
            <v>2.4029345372460398</v>
          </cell>
          <cell r="G1049">
            <v>722.35107900000003</v>
          </cell>
          <cell r="H1049">
            <v>2.10511363636363</v>
          </cell>
          <cell r="I1049">
            <v>189.676343</v>
          </cell>
          <cell r="J1049">
            <v>0.92045454545454497</v>
          </cell>
          <cell r="K1049">
            <v>2268.4894439999998</v>
          </cell>
          <cell r="L1049">
            <v>2.6464530892448499</v>
          </cell>
          <cell r="M1049">
            <v>259.18492500000002</v>
          </cell>
          <cell r="N1049">
            <v>1.4845537757437</v>
          </cell>
          <cell r="O1049">
            <v>774.72706200000005</v>
          </cell>
          <cell r="P1049">
            <v>1.6445470282746599</v>
          </cell>
          <cell r="Q1049">
            <v>382.79816299999999</v>
          </cell>
          <cell r="R1049">
            <v>1.4177726485862601</v>
          </cell>
          <cell r="S1049">
            <v>785.04293700000005</v>
          </cell>
          <cell r="T1049">
            <v>2.1742957746478799</v>
          </cell>
          <cell r="U1049">
            <v>658.68368499999997</v>
          </cell>
          <cell r="V1049">
            <v>1.9694835680751099</v>
          </cell>
        </row>
        <row r="1050">
          <cell r="A1050" t="str">
            <v>063604</v>
          </cell>
          <cell r="B1050">
            <v>4.6666660000000002</v>
          </cell>
          <cell r="C1050">
            <v>0</v>
          </cell>
          <cell r="D1050">
            <v>0</v>
          </cell>
          <cell r="E1050">
            <v>0</v>
          </cell>
          <cell r="F1050">
            <v>0</v>
          </cell>
          <cell r="G1050">
            <v>43.843333000000001</v>
          </cell>
          <cell r="H1050">
            <v>0.4</v>
          </cell>
          <cell r="I1050">
            <v>43.843333000000001</v>
          </cell>
          <cell r="J1050">
            <v>0.4</v>
          </cell>
          <cell r="K1050">
            <v>170.95666600000001</v>
          </cell>
          <cell r="L1050">
            <v>0.6</v>
          </cell>
          <cell r="M1050">
            <v>170.95666600000001</v>
          </cell>
          <cell r="N1050">
            <v>0.6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298.34166599999998</v>
          </cell>
          <cell r="T1050">
            <v>1</v>
          </cell>
          <cell r="U1050">
            <v>298.34166599999998</v>
          </cell>
          <cell r="V1050">
            <v>1</v>
          </cell>
        </row>
        <row r="1051">
          <cell r="A1051" t="str">
            <v>063701</v>
          </cell>
          <cell r="B1051">
            <v>1091.888888</v>
          </cell>
          <cell r="C1051">
            <v>1148.1286379999999</v>
          </cell>
          <cell r="D1051">
            <v>3.3996737357259299</v>
          </cell>
          <cell r="E1051">
            <v>1148.1286379999999</v>
          </cell>
          <cell r="F1051">
            <v>3.3996737357259299</v>
          </cell>
          <cell r="G1051">
            <v>279.64725700000002</v>
          </cell>
          <cell r="H1051">
            <v>1.6672268907562999</v>
          </cell>
          <cell r="I1051">
            <v>109.672701</v>
          </cell>
          <cell r="J1051">
            <v>1.27563025210084</v>
          </cell>
          <cell r="K1051">
            <v>269.45639699999998</v>
          </cell>
          <cell r="L1051">
            <v>1.19404255319148</v>
          </cell>
          <cell r="M1051">
            <v>192.94516300000001</v>
          </cell>
          <cell r="N1051">
            <v>1.02893617021276</v>
          </cell>
          <cell r="O1051">
            <v>465.38098500000001</v>
          </cell>
          <cell r="P1051">
            <v>1.8311461067366499</v>
          </cell>
          <cell r="Q1051">
            <v>394.40581800000001</v>
          </cell>
          <cell r="R1051">
            <v>1.7839020122484599</v>
          </cell>
          <cell r="S1051">
            <v>3762.8063229999998</v>
          </cell>
          <cell r="T1051">
            <v>2.3339399454049099</v>
          </cell>
          <cell r="U1051">
            <v>69.210538999999997</v>
          </cell>
          <cell r="V1051">
            <v>0.27661510464058198</v>
          </cell>
        </row>
        <row r="1052">
          <cell r="A1052" t="str">
            <v>063702</v>
          </cell>
          <cell r="B1052">
            <v>1281.2</v>
          </cell>
          <cell r="C1052">
            <v>569.01020800000003</v>
          </cell>
          <cell r="D1052">
            <v>1.82565284178187</v>
          </cell>
          <cell r="E1052">
            <v>367.17785500000002</v>
          </cell>
          <cell r="F1052">
            <v>1.76420890937019</v>
          </cell>
          <cell r="G1052">
            <v>236.59371400000001</v>
          </cell>
          <cell r="H1052">
            <v>0.94699922057677299</v>
          </cell>
          <cell r="I1052">
            <v>109.747621</v>
          </cell>
          <cell r="J1052">
            <v>0.88074824629773896</v>
          </cell>
          <cell r="K1052">
            <v>390.17627399999998</v>
          </cell>
          <cell r="L1052">
            <v>0.72941176470588198</v>
          </cell>
          <cell r="M1052">
            <v>90.908366000000001</v>
          </cell>
          <cell r="N1052">
            <v>0.672156862745098</v>
          </cell>
          <cell r="O1052">
            <v>227.601438</v>
          </cell>
          <cell r="P1052">
            <v>0.30298273155416</v>
          </cell>
          <cell r="Q1052">
            <v>45.650914999999998</v>
          </cell>
          <cell r="R1052">
            <v>0.25824175824175799</v>
          </cell>
          <cell r="S1052">
            <v>2657.3027510000002</v>
          </cell>
          <cell r="T1052">
            <v>1.3875786163521999</v>
          </cell>
          <cell r="U1052">
            <v>25.419823999999998</v>
          </cell>
          <cell r="V1052">
            <v>0.286163522012578</v>
          </cell>
        </row>
        <row r="1053">
          <cell r="A1053" t="str">
            <v>063703</v>
          </cell>
          <cell r="B1053">
            <v>1206.5999999999999</v>
          </cell>
          <cell r="C1053">
            <v>1005.693585</v>
          </cell>
          <cell r="D1053">
            <v>1.73730862207896</v>
          </cell>
          <cell r="E1053">
            <v>815.83057199999996</v>
          </cell>
          <cell r="F1053">
            <v>1.69298952457695</v>
          </cell>
          <cell r="G1053">
            <v>90.078249999999997</v>
          </cell>
          <cell r="H1053">
            <v>0.57096512570965097</v>
          </cell>
          <cell r="I1053">
            <v>88.916279000000003</v>
          </cell>
          <cell r="J1053">
            <v>0.56853203568531996</v>
          </cell>
          <cell r="K1053">
            <v>573.93649200000004</v>
          </cell>
          <cell r="L1053">
            <v>0.36423841059602602</v>
          </cell>
          <cell r="M1053">
            <v>45.622239999999998</v>
          </cell>
          <cell r="N1053">
            <v>0.18791390728476801</v>
          </cell>
          <cell r="O1053">
            <v>456.74095799999998</v>
          </cell>
          <cell r="P1053">
            <v>0.68292682926829196</v>
          </cell>
          <cell r="Q1053">
            <v>161.72528700000001</v>
          </cell>
          <cell r="R1053">
            <v>0.61900756938603796</v>
          </cell>
          <cell r="S1053">
            <v>2596.3425259999999</v>
          </cell>
          <cell r="T1053">
            <v>1.58777969018932</v>
          </cell>
          <cell r="U1053">
            <v>215.65152</v>
          </cell>
          <cell r="V1053">
            <v>0.25817555938037801</v>
          </cell>
        </row>
        <row r="1054">
          <cell r="A1054" t="str">
            <v>063801</v>
          </cell>
          <cell r="B1054">
            <v>329.6</v>
          </cell>
          <cell r="C1054">
            <v>1327.7712509999999</v>
          </cell>
          <cell r="D1054">
            <v>4.6066066066065998</v>
          </cell>
          <cell r="E1054">
            <v>979.00492999999994</v>
          </cell>
          <cell r="F1054">
            <v>4.5375375375375304</v>
          </cell>
          <cell r="G1054">
            <v>1237.5224499999999</v>
          </cell>
          <cell r="H1054">
            <v>3.2462006079027299</v>
          </cell>
          <cell r="I1054">
            <v>201.36688100000001</v>
          </cell>
          <cell r="J1054">
            <v>1.57750759878419</v>
          </cell>
          <cell r="K1054">
            <v>994.38414299999999</v>
          </cell>
          <cell r="L1054">
            <v>2.3130699088145801</v>
          </cell>
          <cell r="M1054">
            <v>424.24711200000002</v>
          </cell>
          <cell r="N1054">
            <v>2.0911854103343401</v>
          </cell>
          <cell r="O1054">
            <v>319.045592</v>
          </cell>
          <cell r="P1054">
            <v>1.44680851063829</v>
          </cell>
          <cell r="Q1054">
            <v>217.236626</v>
          </cell>
          <cell r="R1054">
            <v>1.3556231003039501</v>
          </cell>
          <cell r="S1054">
            <v>4652.3868380000004</v>
          </cell>
          <cell r="T1054">
            <v>4.0396341463414602</v>
          </cell>
          <cell r="U1054">
            <v>644.23765200000003</v>
          </cell>
          <cell r="V1054">
            <v>0.96951219512195097</v>
          </cell>
        </row>
        <row r="1055">
          <cell r="A1055" t="str">
            <v>063802</v>
          </cell>
          <cell r="B1055">
            <v>526.20000000000005</v>
          </cell>
          <cell r="C1055">
            <v>467.42123099999998</v>
          </cell>
          <cell r="D1055">
            <v>1.4365671641791</v>
          </cell>
          <cell r="E1055">
            <v>459.42671999999999</v>
          </cell>
          <cell r="F1055">
            <v>1.4309701492537299</v>
          </cell>
          <cell r="G1055">
            <v>1456.6955089999999</v>
          </cell>
          <cell r="H1055">
            <v>2.3712121212121202</v>
          </cell>
          <cell r="I1055">
            <v>128.616266</v>
          </cell>
          <cell r="J1055">
            <v>1.2935606060606</v>
          </cell>
          <cell r="K1055">
            <v>532.27638000000002</v>
          </cell>
          <cell r="L1055">
            <v>1.27428571428571</v>
          </cell>
          <cell r="M1055">
            <v>61.015841000000002</v>
          </cell>
          <cell r="N1055">
            <v>1.1828571428571399</v>
          </cell>
          <cell r="O1055">
            <v>486.10522500000002</v>
          </cell>
          <cell r="P1055">
            <v>1.89101338432122</v>
          </cell>
          <cell r="Q1055">
            <v>289.12791499999997</v>
          </cell>
          <cell r="R1055">
            <v>1.8068833652007601</v>
          </cell>
          <cell r="S1055">
            <v>1509.898907</v>
          </cell>
          <cell r="T1055">
            <v>1.4990366088631899</v>
          </cell>
          <cell r="U1055">
            <v>179.64588900000001</v>
          </cell>
          <cell r="V1055">
            <v>0.69171483622350605</v>
          </cell>
        </row>
        <row r="1056">
          <cell r="A1056" t="str">
            <v>063901</v>
          </cell>
          <cell r="B1056">
            <v>1</v>
          </cell>
          <cell r="C1056">
            <v>0</v>
          </cell>
          <cell r="D1056">
            <v>0</v>
          </cell>
          <cell r="E1056">
            <v>0</v>
          </cell>
          <cell r="F1056">
            <v>0</v>
          </cell>
          <cell r="G1056">
            <v>11.1622</v>
          </cell>
          <cell r="H1056">
            <v>1</v>
          </cell>
          <cell r="I1056">
            <v>11.1622</v>
          </cell>
          <cell r="J1056">
            <v>1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</row>
        <row r="1057">
          <cell r="A1057" t="str">
            <v>063902</v>
          </cell>
          <cell r="B1057">
            <v>1704.4</v>
          </cell>
          <cell r="C1057">
            <v>1155.3946020000001</v>
          </cell>
          <cell r="D1057">
            <v>1.8971608832807501</v>
          </cell>
          <cell r="E1057">
            <v>107.645786</v>
          </cell>
          <cell r="F1057">
            <v>1.1886435331230201</v>
          </cell>
          <cell r="G1057">
            <v>953.35729600000002</v>
          </cell>
          <cell r="H1057">
            <v>2.1495702005730601</v>
          </cell>
          <cell r="I1057">
            <v>428.77841799999999</v>
          </cell>
          <cell r="J1057">
            <v>1.05616045845272</v>
          </cell>
          <cell r="K1057">
            <v>255.34191799999999</v>
          </cell>
          <cell r="L1057">
            <v>0.32455638236977602</v>
          </cell>
          <cell r="M1057">
            <v>58.508651999999998</v>
          </cell>
          <cell r="N1057">
            <v>0.244419004006868</v>
          </cell>
          <cell r="O1057">
            <v>853.98386000000005</v>
          </cell>
          <cell r="P1057">
            <v>5.5988472622478298</v>
          </cell>
          <cell r="Q1057">
            <v>468.89863500000001</v>
          </cell>
          <cell r="R1057">
            <v>4.5734870317002798</v>
          </cell>
          <cell r="S1057">
            <v>155.80805899999999</v>
          </cell>
          <cell r="T1057">
            <v>1.34210526315789</v>
          </cell>
          <cell r="U1057">
            <v>142.00958</v>
          </cell>
          <cell r="V1057">
            <v>1.22631578947368</v>
          </cell>
        </row>
        <row r="1058">
          <cell r="A1058" t="str">
            <v>063903</v>
          </cell>
          <cell r="B1058">
            <v>1395.2</v>
          </cell>
          <cell r="C1058">
            <v>1370.007916</v>
          </cell>
          <cell r="D1058">
            <v>1.8880226789510901</v>
          </cell>
          <cell r="E1058">
            <v>130.56235699999999</v>
          </cell>
          <cell r="F1058">
            <v>1.1878100637845399</v>
          </cell>
          <cell r="G1058">
            <v>450.23744599999998</v>
          </cell>
          <cell r="H1058">
            <v>2.0532670454545401</v>
          </cell>
          <cell r="I1058">
            <v>191.147659</v>
          </cell>
          <cell r="J1058">
            <v>0.94105113636363602</v>
          </cell>
          <cell r="K1058">
            <v>312.12511799999999</v>
          </cell>
          <cell r="L1058">
            <v>0.91642857142857104</v>
          </cell>
          <cell r="M1058">
            <v>182.096464</v>
          </cell>
          <cell r="N1058">
            <v>0.78</v>
          </cell>
          <cell r="O1058">
            <v>260.81185199999999</v>
          </cell>
          <cell r="P1058">
            <v>1.3098693759071101</v>
          </cell>
          <cell r="Q1058">
            <v>127.330648</v>
          </cell>
          <cell r="R1058">
            <v>1.0486211901306199</v>
          </cell>
          <cell r="S1058">
            <v>10.232934</v>
          </cell>
          <cell r="T1058">
            <v>0.10804931109499601</v>
          </cell>
          <cell r="U1058">
            <v>3.1524529999999999</v>
          </cell>
          <cell r="V1058">
            <v>1.5953589557650399E-2</v>
          </cell>
        </row>
        <row r="1059">
          <cell r="A1059" t="str">
            <v>063904</v>
          </cell>
          <cell r="B1059">
            <v>0</v>
          </cell>
          <cell r="C1059">
            <v>0</v>
          </cell>
          <cell r="D1059">
            <v>0</v>
          </cell>
          <cell r="E1059">
            <v>0</v>
          </cell>
          <cell r="F1059">
            <v>0</v>
          </cell>
          <cell r="G1059">
            <v>0</v>
          </cell>
          <cell r="H1059">
            <v>0</v>
          </cell>
          <cell r="I1059">
            <v>0</v>
          </cell>
          <cell r="J1059">
            <v>0</v>
          </cell>
          <cell r="K1059" t="str">
            <v>NULL</v>
          </cell>
          <cell r="L1059" t="str">
            <v>NULL</v>
          </cell>
          <cell r="M1059" t="str">
            <v>NULL</v>
          </cell>
          <cell r="N1059" t="str">
            <v>NULL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</row>
        <row r="1060">
          <cell r="A1060" t="str">
            <v>064101</v>
          </cell>
          <cell r="B1060">
            <v>445.42857099999998</v>
          </cell>
          <cell r="C1060">
            <v>108.048731</v>
          </cell>
          <cell r="D1060">
            <v>0.62074829931972697</v>
          </cell>
          <cell r="E1060">
            <v>101.46726700000001</v>
          </cell>
          <cell r="F1060">
            <v>0.61904761904761896</v>
          </cell>
          <cell r="G1060">
            <v>63.150101999999997</v>
          </cell>
          <cell r="H1060">
            <v>0.35800344234079101</v>
          </cell>
          <cell r="I1060">
            <v>63.150101999999997</v>
          </cell>
          <cell r="J1060">
            <v>0.35800344234079101</v>
          </cell>
          <cell r="K1060">
            <v>302.13510200000002</v>
          </cell>
          <cell r="L1060">
            <v>1.9285714285714199</v>
          </cell>
          <cell r="M1060">
            <v>283.45267000000001</v>
          </cell>
          <cell r="N1060">
            <v>1.79343629343629</v>
          </cell>
          <cell r="O1060">
            <v>0.28453600000000001</v>
          </cell>
          <cell r="P1060">
            <v>5.1546391752577301E-3</v>
          </cell>
          <cell r="Q1060">
            <v>0.28453600000000001</v>
          </cell>
          <cell r="R1060">
            <v>5.1546391752577301E-3</v>
          </cell>
          <cell r="S1060">
            <v>0.80801500000000004</v>
          </cell>
          <cell r="T1060">
            <v>7.63358778625954E-3</v>
          </cell>
          <cell r="U1060">
            <v>0.80801500000000004</v>
          </cell>
          <cell r="V1060">
            <v>7.63358778625954E-3</v>
          </cell>
        </row>
        <row r="1061">
          <cell r="A1061" t="str">
            <v>064103</v>
          </cell>
          <cell r="B1061">
            <v>280.5</v>
          </cell>
          <cell r="C1061">
            <v>60.264136000000001</v>
          </cell>
          <cell r="D1061">
            <v>0.51335311572700204</v>
          </cell>
          <cell r="E1061">
            <v>60.264136000000001</v>
          </cell>
          <cell r="F1061">
            <v>0.51335311572700204</v>
          </cell>
          <cell r="G1061">
            <v>527.46214899999995</v>
          </cell>
          <cell r="H1061">
            <v>1.62403100775193</v>
          </cell>
          <cell r="I1061">
            <v>31.450637</v>
          </cell>
          <cell r="J1061">
            <v>0.36821705426356499</v>
          </cell>
          <cell r="K1061">
            <v>146.575399</v>
          </cell>
          <cell r="L1061">
            <v>1.01277955271565</v>
          </cell>
          <cell r="M1061">
            <v>146.575399</v>
          </cell>
          <cell r="N1061">
            <v>1.01277955271565</v>
          </cell>
          <cell r="O1061">
            <v>9.3179230000000004</v>
          </cell>
          <cell r="P1061">
            <v>0.32786885245901598</v>
          </cell>
          <cell r="Q1061">
            <v>9.3179230000000004</v>
          </cell>
          <cell r="R1061">
            <v>0.32786885245901598</v>
          </cell>
          <cell r="S1061">
            <v>17.701021999999998</v>
          </cell>
          <cell r="T1061">
            <v>6.6037735849056603E-2</v>
          </cell>
          <cell r="U1061">
            <v>17.701021999999998</v>
          </cell>
          <cell r="V1061">
            <v>6.6037735849056603E-2</v>
          </cell>
        </row>
        <row r="1062">
          <cell r="A1062" t="str">
            <v>064104</v>
          </cell>
          <cell r="B1062">
            <v>1310.4285709999999</v>
          </cell>
          <cell r="C1062">
            <v>161.56069400000001</v>
          </cell>
          <cell r="D1062">
            <v>2.99049429657794</v>
          </cell>
          <cell r="E1062">
            <v>161.56069400000001</v>
          </cell>
          <cell r="F1062">
            <v>2.99049429657794</v>
          </cell>
          <cell r="G1062">
            <v>1051.3307689999999</v>
          </cell>
          <cell r="H1062">
            <v>3.21032504780114</v>
          </cell>
          <cell r="I1062">
            <v>298.67497300000002</v>
          </cell>
          <cell r="J1062">
            <v>2.2415551306564598</v>
          </cell>
          <cell r="K1062">
            <v>346.99507999999997</v>
          </cell>
          <cell r="L1062">
            <v>2.79890185312285</v>
          </cell>
          <cell r="M1062">
            <v>306.58134200000001</v>
          </cell>
          <cell r="N1062">
            <v>2.4495538778311499</v>
          </cell>
          <cell r="O1062">
            <v>93.546103000000002</v>
          </cell>
          <cell r="P1062">
            <v>1.41822173435784</v>
          </cell>
          <cell r="Q1062">
            <v>93.546103000000002</v>
          </cell>
          <cell r="R1062">
            <v>1.41822173435784</v>
          </cell>
          <cell r="S1062">
            <v>0.18549499999999999</v>
          </cell>
          <cell r="T1062">
            <v>3.1645569620253099E-3</v>
          </cell>
          <cell r="U1062">
            <v>0.18549499999999999</v>
          </cell>
          <cell r="V1062">
            <v>3.1645569620253099E-3</v>
          </cell>
        </row>
        <row r="1063">
          <cell r="A1063" t="str">
            <v>064201</v>
          </cell>
          <cell r="B1063">
            <v>644.20000000000005</v>
          </cell>
          <cell r="C1063">
            <v>2949.2367290000002</v>
          </cell>
          <cell r="D1063">
            <v>2.5255023183925802</v>
          </cell>
          <cell r="E1063">
            <v>337.72659299999998</v>
          </cell>
          <cell r="F1063">
            <v>1.2210200927357</v>
          </cell>
          <cell r="G1063">
            <v>455.24665900000002</v>
          </cell>
          <cell r="H1063">
            <v>1.65023112480739</v>
          </cell>
          <cell r="I1063">
            <v>332.69462499999997</v>
          </cell>
          <cell r="J1063">
            <v>1.4714946070878201</v>
          </cell>
          <cell r="K1063">
            <v>6120.0733110000001</v>
          </cell>
          <cell r="L1063">
            <v>4.5919629057186997</v>
          </cell>
          <cell r="M1063">
            <v>504.92985499999998</v>
          </cell>
          <cell r="N1063">
            <v>3.4358578052550199</v>
          </cell>
          <cell r="O1063">
            <v>4272.9403160000002</v>
          </cell>
          <cell r="P1063">
            <v>4.2305295950155699</v>
          </cell>
          <cell r="Q1063">
            <v>924.539174</v>
          </cell>
          <cell r="R1063">
            <v>3.1728971962616801</v>
          </cell>
          <cell r="S1063">
            <v>1147.644601</v>
          </cell>
          <cell r="T1063">
            <v>2.4135220125786101</v>
          </cell>
          <cell r="U1063">
            <v>185.13215400000001</v>
          </cell>
          <cell r="V1063">
            <v>0.93710691823899295</v>
          </cell>
        </row>
        <row r="1064">
          <cell r="A1064" t="str">
            <v>064202</v>
          </cell>
          <cell r="B1064">
            <v>891.8</v>
          </cell>
          <cell r="C1064">
            <v>6118.6144459999996</v>
          </cell>
          <cell r="D1064">
            <v>2.4882154882154799</v>
          </cell>
          <cell r="E1064">
            <v>149.15622099999999</v>
          </cell>
          <cell r="F1064">
            <v>0.55331088664421901</v>
          </cell>
          <cell r="G1064">
            <v>369.80645299999998</v>
          </cell>
          <cell r="H1064">
            <v>2.3434684684684601</v>
          </cell>
          <cell r="I1064">
            <v>178.58594099999999</v>
          </cell>
          <cell r="J1064">
            <v>1.5641891891891799</v>
          </cell>
          <cell r="K1064">
            <v>2202.9344510000001</v>
          </cell>
          <cell r="L1064">
            <v>3.6062639821029001</v>
          </cell>
          <cell r="M1064">
            <v>341.02725500000003</v>
          </cell>
          <cell r="N1064">
            <v>3.3165548098433999</v>
          </cell>
          <cell r="O1064">
            <v>1253.3342259999999</v>
          </cell>
          <cell r="P1064">
            <v>1.6111731843575401</v>
          </cell>
          <cell r="Q1064">
            <v>487.26837899999998</v>
          </cell>
          <cell r="R1064">
            <v>1.31508379888268</v>
          </cell>
          <cell r="S1064">
            <v>2896.1113340000002</v>
          </cell>
          <cell r="T1064">
            <v>3.6071829405162701</v>
          </cell>
          <cell r="U1064">
            <v>140.26743300000001</v>
          </cell>
          <cell r="V1064">
            <v>0.66329966329966294</v>
          </cell>
        </row>
        <row r="1065">
          <cell r="A1065" t="str">
            <v>064401</v>
          </cell>
          <cell r="B1065">
            <v>469</v>
          </cell>
          <cell r="C1065">
            <v>376.59357799999998</v>
          </cell>
          <cell r="D1065">
            <v>1.83478260869565</v>
          </cell>
          <cell r="E1065">
            <v>375.96363200000002</v>
          </cell>
          <cell r="F1065">
            <v>1.8318840579710101</v>
          </cell>
          <cell r="G1065">
            <v>143.407792</v>
          </cell>
          <cell r="H1065">
            <v>0.50492610837438401</v>
          </cell>
          <cell r="I1065">
            <v>53.674892</v>
          </cell>
          <cell r="J1065">
            <v>0.29310344827586199</v>
          </cell>
          <cell r="K1065">
            <v>1103.6296609999999</v>
          </cell>
          <cell r="L1065">
            <v>1.7029702970297</v>
          </cell>
          <cell r="M1065">
            <v>183.53304399999999</v>
          </cell>
          <cell r="N1065">
            <v>0.633663366336633</v>
          </cell>
          <cell r="O1065">
            <v>1282.192517</v>
          </cell>
          <cell r="P1065">
            <v>5.9177777777777703</v>
          </cell>
          <cell r="Q1065">
            <v>359.65270299999997</v>
          </cell>
          <cell r="R1065">
            <v>4.4577777777777703</v>
          </cell>
          <cell r="S1065">
            <v>760.35763399999996</v>
          </cell>
          <cell r="T1065">
            <v>1.9513513513513501</v>
          </cell>
          <cell r="U1065">
            <v>138.032049</v>
          </cell>
          <cell r="V1065">
            <v>1.2540540540540499</v>
          </cell>
        </row>
        <row r="1066">
          <cell r="A1066" t="str">
            <v>064402</v>
          </cell>
          <cell r="B1066">
            <v>361.85714200000001</v>
          </cell>
          <cell r="C1066">
            <v>362.78376400000002</v>
          </cell>
          <cell r="D1066">
            <v>2.5678160919540201</v>
          </cell>
          <cell r="E1066">
            <v>362.78376400000002</v>
          </cell>
          <cell r="F1066">
            <v>2.5678160919540201</v>
          </cell>
          <cell r="G1066">
            <v>1663.3744859999999</v>
          </cell>
          <cell r="H1066">
            <v>3.43396226415094</v>
          </cell>
          <cell r="I1066">
            <v>367.734917</v>
          </cell>
          <cell r="J1066">
            <v>2.5849056603773501</v>
          </cell>
          <cell r="K1066">
            <v>4108.1237099999998</v>
          </cell>
          <cell r="L1066">
            <v>2.4668508287292799</v>
          </cell>
          <cell r="M1066">
            <v>355.32670300000001</v>
          </cell>
          <cell r="N1066">
            <v>0.98066298342541403</v>
          </cell>
          <cell r="O1066">
            <v>2577.884861</v>
          </cell>
          <cell r="P1066">
            <v>7.3069620253164498</v>
          </cell>
          <cell r="Q1066">
            <v>900.75532599999997</v>
          </cell>
          <cell r="R1066">
            <v>5.5094936708860702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</row>
        <row r="1067">
          <cell r="A1067" t="str">
            <v>064601</v>
          </cell>
          <cell r="B1067">
            <v>1</v>
          </cell>
          <cell r="C1067">
            <v>0</v>
          </cell>
          <cell r="D1067">
            <v>0</v>
          </cell>
          <cell r="E1067">
            <v>0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164</v>
          </cell>
          <cell r="P1067">
            <v>1</v>
          </cell>
          <cell r="Q1067">
            <v>164</v>
          </cell>
          <cell r="R1067">
            <v>1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</row>
        <row r="1068">
          <cell r="A1068" t="str">
            <v>064701</v>
          </cell>
          <cell r="B1068">
            <v>38.25</v>
          </cell>
          <cell r="C1068">
            <v>546.16006300000004</v>
          </cell>
          <cell r="D1068">
            <v>1.84210526315789</v>
          </cell>
          <cell r="E1068">
            <v>444.23106200000001</v>
          </cell>
          <cell r="F1068">
            <v>1.73684210526315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  <cell r="K1068">
            <v>454.94298199999997</v>
          </cell>
          <cell r="L1068">
            <v>4.1842105263157796</v>
          </cell>
          <cell r="M1068">
            <v>454.94298199999997</v>
          </cell>
          <cell r="N1068">
            <v>4.1842105263157796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224.374786</v>
          </cell>
          <cell r="T1068">
            <v>1.17948717948717</v>
          </cell>
          <cell r="U1068">
            <v>224.374786</v>
          </cell>
          <cell r="V1068">
            <v>1.17948717948717</v>
          </cell>
        </row>
        <row r="1069">
          <cell r="A1069" t="str">
            <v>064702</v>
          </cell>
          <cell r="B1069">
            <v>473.75</v>
          </cell>
          <cell r="C1069">
            <v>0</v>
          </cell>
          <cell r="D1069">
            <v>0</v>
          </cell>
          <cell r="E1069">
            <v>0</v>
          </cell>
          <cell r="F1069">
            <v>0</v>
          </cell>
          <cell r="G1069">
            <v>847.02954699999998</v>
          </cell>
          <cell r="H1069">
            <v>1.3036093418259</v>
          </cell>
          <cell r="I1069">
            <v>417.59770800000001</v>
          </cell>
          <cell r="J1069">
            <v>0.97664543524416103</v>
          </cell>
          <cell r="K1069">
            <v>342.28213499999998</v>
          </cell>
          <cell r="L1069">
            <v>1.5158562367864601</v>
          </cell>
          <cell r="M1069">
            <v>295.79464400000001</v>
          </cell>
          <cell r="N1069">
            <v>1.34038054968287</v>
          </cell>
          <cell r="O1069">
            <v>113.97116200000001</v>
          </cell>
          <cell r="P1069">
            <v>0.20985010706638099</v>
          </cell>
          <cell r="Q1069">
            <v>24.622983000000001</v>
          </cell>
          <cell r="R1069">
            <v>0.111349036402569</v>
          </cell>
          <cell r="S1069">
            <v>309.42599799999999</v>
          </cell>
          <cell r="T1069">
            <v>1.51652892561983</v>
          </cell>
          <cell r="U1069">
            <v>90.381336000000005</v>
          </cell>
          <cell r="V1069">
            <v>1.13636363636363</v>
          </cell>
        </row>
        <row r="1070">
          <cell r="A1070" t="str">
            <v>064703</v>
          </cell>
          <cell r="B1070">
            <v>952.77777700000001</v>
          </cell>
          <cell r="C1070">
            <v>30.265695999999998</v>
          </cell>
          <cell r="D1070">
            <v>9.3980992608236502E-2</v>
          </cell>
          <cell r="E1070">
            <v>27.726361000000001</v>
          </cell>
          <cell r="F1070">
            <v>9.1869060190073903E-2</v>
          </cell>
          <cell r="G1070">
            <v>505.84269899999998</v>
          </cell>
          <cell r="H1070">
            <v>1.16230366492146</v>
          </cell>
          <cell r="I1070">
            <v>505.84269899999998</v>
          </cell>
          <cell r="J1070">
            <v>1.16230366492146</v>
          </cell>
          <cell r="K1070">
            <v>687.93806900000004</v>
          </cell>
          <cell r="L1070">
            <v>1.3281086729362499</v>
          </cell>
          <cell r="M1070">
            <v>54.569592</v>
          </cell>
          <cell r="N1070">
            <v>0.25705329153605</v>
          </cell>
          <cell r="O1070">
            <v>233.49598</v>
          </cell>
          <cell r="P1070">
            <v>0.85281837160751495</v>
          </cell>
          <cell r="Q1070">
            <v>81.167501000000001</v>
          </cell>
          <cell r="R1070">
            <v>0.80688935281837104</v>
          </cell>
          <cell r="S1070">
            <v>33.660108000000001</v>
          </cell>
          <cell r="T1070">
            <v>0.18248945147679299</v>
          </cell>
          <cell r="U1070">
            <v>31.059246999999999</v>
          </cell>
          <cell r="V1070">
            <v>0.18143459915611801</v>
          </cell>
        </row>
        <row r="1071">
          <cell r="A1071" t="str">
            <v>064704</v>
          </cell>
          <cell r="B1071">
            <v>1815.8</v>
          </cell>
          <cell r="C1071">
            <v>290.94852100000003</v>
          </cell>
          <cell r="D1071">
            <v>2.0605895196506498</v>
          </cell>
          <cell r="E1071">
            <v>202.45166499999999</v>
          </cell>
          <cell r="F1071">
            <v>2.0098253275109101</v>
          </cell>
          <cell r="G1071">
            <v>105.225195</v>
          </cell>
          <cell r="H1071">
            <v>0.38063806380637999</v>
          </cell>
          <cell r="I1071">
            <v>93.793926999999996</v>
          </cell>
          <cell r="J1071">
            <v>0.33828382838283799</v>
          </cell>
          <cell r="K1071">
            <v>159.299587</v>
          </cell>
          <cell r="L1071">
            <v>0.44615384615384601</v>
          </cell>
          <cell r="M1071">
            <v>108.886776</v>
          </cell>
          <cell r="N1071">
            <v>0.4</v>
          </cell>
          <cell r="O1071">
            <v>979.27407500000004</v>
          </cell>
          <cell r="P1071">
            <v>1.49806949806949</v>
          </cell>
          <cell r="Q1071">
            <v>102.042581</v>
          </cell>
          <cell r="R1071">
            <v>0.38720353006067199</v>
          </cell>
          <cell r="S1071">
            <v>237.903581</v>
          </cell>
          <cell r="T1071">
            <v>1.37639198218262</v>
          </cell>
          <cell r="U1071">
            <v>209.96662000000001</v>
          </cell>
          <cell r="V1071">
            <v>1.34855233853006</v>
          </cell>
        </row>
        <row r="1072">
          <cell r="A1072" t="str">
            <v>064705</v>
          </cell>
          <cell r="B1072">
            <v>1200.4000000000001</v>
          </cell>
          <cell r="C1072">
            <v>112.92450700000001</v>
          </cell>
          <cell r="D1072">
            <v>0.62487852283770595</v>
          </cell>
          <cell r="E1072">
            <v>110.48366900000001</v>
          </cell>
          <cell r="F1072">
            <v>0.62099125364431396</v>
          </cell>
          <cell r="G1072">
            <v>409.17012699999998</v>
          </cell>
          <cell r="H1072">
            <v>0.53346265761396705</v>
          </cell>
          <cell r="I1072">
            <v>102.472697</v>
          </cell>
          <cell r="J1072">
            <v>0.41610087293889397</v>
          </cell>
          <cell r="K1072">
            <v>325.64392600000002</v>
          </cell>
          <cell r="L1072">
            <v>1.5418908531898501</v>
          </cell>
          <cell r="M1072">
            <v>254.68444700000001</v>
          </cell>
          <cell r="N1072">
            <v>1.4558032282859299</v>
          </cell>
          <cell r="O1072">
            <v>259.43160699999999</v>
          </cell>
          <cell r="P1072">
            <v>0.35449735449735398</v>
          </cell>
          <cell r="Q1072">
            <v>161.5565</v>
          </cell>
          <cell r="R1072">
            <v>0.32879818594104299</v>
          </cell>
          <cell r="S1072">
            <v>90.449177000000006</v>
          </cell>
          <cell r="T1072">
            <v>0.33232169954476398</v>
          </cell>
          <cell r="U1072">
            <v>87.861165</v>
          </cell>
          <cell r="V1072">
            <v>0.33156297420333802</v>
          </cell>
        </row>
        <row r="1073">
          <cell r="A1073" t="str">
            <v>064706</v>
          </cell>
          <cell r="B1073">
            <v>1622.6</v>
          </cell>
          <cell r="C1073">
            <v>157.90769299999999</v>
          </cell>
          <cell r="D1073">
            <v>0.246517262265293</v>
          </cell>
          <cell r="E1073">
            <v>45.785845999999999</v>
          </cell>
          <cell r="F1073">
            <v>0.187764990914597</v>
          </cell>
          <cell r="G1073">
            <v>190.090181</v>
          </cell>
          <cell r="H1073">
            <v>0.768427518427518</v>
          </cell>
          <cell r="I1073">
            <v>70.719548000000003</v>
          </cell>
          <cell r="J1073">
            <v>0.55651105651105603</v>
          </cell>
          <cell r="K1073">
            <v>269.93894299999999</v>
          </cell>
          <cell r="L1073">
            <v>1.0216182828906699</v>
          </cell>
          <cell r="M1073">
            <v>214.14833200000001</v>
          </cell>
          <cell r="N1073">
            <v>1.0030883261272301</v>
          </cell>
          <cell r="O1073">
            <v>171.47216700000001</v>
          </cell>
          <cell r="P1073">
            <v>0.95398773006134896</v>
          </cell>
          <cell r="Q1073">
            <v>156.36968300000001</v>
          </cell>
          <cell r="R1073">
            <v>0.93987730061349595</v>
          </cell>
          <cell r="S1073">
            <v>243.56741199999999</v>
          </cell>
          <cell r="T1073">
            <v>0.77476340694006296</v>
          </cell>
          <cell r="U1073">
            <v>179.56840099999999</v>
          </cell>
          <cell r="V1073">
            <v>0.76025236593059897</v>
          </cell>
        </row>
        <row r="1074">
          <cell r="A1074" t="str">
            <v>064801</v>
          </cell>
          <cell r="B1074">
            <v>1353.888888</v>
          </cell>
          <cell r="C1074">
            <v>3.8708800000000001</v>
          </cell>
          <cell r="D1074">
            <v>3.4508627156789103E-2</v>
          </cell>
          <cell r="E1074">
            <v>3.8708800000000001</v>
          </cell>
          <cell r="F1074">
            <v>3.4508627156789103E-2</v>
          </cell>
          <cell r="G1074">
            <v>7.723935</v>
          </cell>
          <cell r="H1074">
            <v>2.9126213592233E-2</v>
          </cell>
          <cell r="I1074">
            <v>6.1047079999999996</v>
          </cell>
          <cell r="J1074">
            <v>1.94174757281553E-2</v>
          </cell>
          <cell r="K1074">
            <v>202.644025</v>
          </cell>
          <cell r="L1074">
            <v>1.4984779299847699</v>
          </cell>
          <cell r="M1074">
            <v>201.258105</v>
          </cell>
          <cell r="N1074">
            <v>1.49771689497716</v>
          </cell>
          <cell r="O1074">
            <v>125.644858</v>
          </cell>
          <cell r="P1074">
            <v>9.2307692307692299E-2</v>
          </cell>
          <cell r="Q1074">
            <v>122.681904</v>
          </cell>
          <cell r="R1074">
            <v>8.42490842490842E-2</v>
          </cell>
          <cell r="S1074">
            <v>110.507338</v>
          </cell>
          <cell r="T1074">
            <v>1.0021306818181801</v>
          </cell>
          <cell r="U1074">
            <v>4.1303850000000004</v>
          </cell>
          <cell r="V1074">
            <v>7.2443181818181795E-2</v>
          </cell>
        </row>
        <row r="1075">
          <cell r="A1075" t="str">
            <v>064802</v>
          </cell>
          <cell r="B1075">
            <v>1754.333333</v>
          </cell>
          <cell r="C1075">
            <v>6.1549469999999999</v>
          </cell>
          <cell r="D1075">
            <v>0.145821648906337</v>
          </cell>
          <cell r="E1075">
            <v>6.1549469999999999</v>
          </cell>
          <cell r="F1075">
            <v>0.145821648906337</v>
          </cell>
          <cell r="G1075">
            <v>0.13103300000000001</v>
          </cell>
          <cell r="H1075">
            <v>1.1154489682096999E-3</v>
          </cell>
          <cell r="I1075">
            <v>0.13103300000000001</v>
          </cell>
          <cell r="J1075">
            <v>1.1154489682096999E-3</v>
          </cell>
          <cell r="K1075">
            <v>21.467608999999999</v>
          </cell>
          <cell r="L1075">
            <v>0.17142857142857101</v>
          </cell>
          <cell r="M1075">
            <v>19.076377000000001</v>
          </cell>
          <cell r="N1075">
            <v>0.16806722689075601</v>
          </cell>
          <cell r="O1075">
            <v>109.33643499999999</v>
          </cell>
          <cell r="P1075">
            <v>0.55425904317386199</v>
          </cell>
          <cell r="Q1075">
            <v>109.33643499999999</v>
          </cell>
          <cell r="R1075">
            <v>0.55425904317386199</v>
          </cell>
          <cell r="S1075">
            <v>1.6343030000000001</v>
          </cell>
          <cell r="T1075">
            <v>1.2004801920768301E-2</v>
          </cell>
          <cell r="U1075">
            <v>1.6343030000000001</v>
          </cell>
          <cell r="V1075">
            <v>1.2004801920768301E-2</v>
          </cell>
        </row>
        <row r="1076">
          <cell r="A1076" t="str">
            <v>064901</v>
          </cell>
          <cell r="B1076">
            <v>1</v>
          </cell>
          <cell r="C1076">
            <v>87.129433000000006</v>
          </cell>
          <cell r="D1076">
            <v>1</v>
          </cell>
          <cell r="E1076">
            <v>87.129433000000006</v>
          </cell>
          <cell r="F1076">
            <v>1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</row>
        <row r="1077">
          <cell r="A1077" t="str">
            <v>065401</v>
          </cell>
          <cell r="B1077">
            <v>971.44444399999998</v>
          </cell>
          <cell r="C1077">
            <v>67.066113000000001</v>
          </cell>
          <cell r="D1077">
            <v>0.29568788501026599</v>
          </cell>
          <cell r="E1077">
            <v>30.899640999999999</v>
          </cell>
          <cell r="F1077">
            <v>0.27412731006160101</v>
          </cell>
          <cell r="G1077">
            <v>103.91823100000001</v>
          </cell>
          <cell r="H1077">
            <v>0.67214799588900298</v>
          </cell>
          <cell r="I1077">
            <v>101.954038</v>
          </cell>
          <cell r="J1077">
            <v>0.66803699897225</v>
          </cell>
          <cell r="K1077">
            <v>219.99953600000001</v>
          </cell>
          <cell r="L1077">
            <v>1.56937307297019</v>
          </cell>
          <cell r="M1077">
            <v>212.09837200000001</v>
          </cell>
          <cell r="N1077">
            <v>1.5601233299074999</v>
          </cell>
          <cell r="O1077">
            <v>10.510277</v>
          </cell>
          <cell r="P1077">
            <v>7.5025693730729703E-2</v>
          </cell>
          <cell r="Q1077">
            <v>10.510277</v>
          </cell>
          <cell r="R1077">
            <v>7.5025693730729703E-2</v>
          </cell>
          <cell r="S1077">
            <v>39.170879999999997</v>
          </cell>
          <cell r="T1077">
            <v>0.14093264248704601</v>
          </cell>
          <cell r="U1077">
            <v>32.323729999999998</v>
          </cell>
          <cell r="V1077">
            <v>0.13471502590673501</v>
          </cell>
        </row>
        <row r="1078">
          <cell r="A1078" t="str">
            <v>065402</v>
          </cell>
          <cell r="B1078">
            <v>1</v>
          </cell>
          <cell r="C1078">
            <v>0</v>
          </cell>
          <cell r="D1078">
            <v>0</v>
          </cell>
          <cell r="E1078">
            <v>0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43868.183333000001</v>
          </cell>
          <cell r="T1078">
            <v>167</v>
          </cell>
          <cell r="U1078">
            <v>43868.183333000001</v>
          </cell>
          <cell r="V1078">
            <v>167</v>
          </cell>
        </row>
        <row r="1079">
          <cell r="A1079" t="str">
            <v>065403</v>
          </cell>
          <cell r="B1079">
            <v>119.25</v>
          </cell>
          <cell r="C1079">
            <v>0</v>
          </cell>
          <cell r="D1079">
            <v>0</v>
          </cell>
          <cell r="E1079">
            <v>0</v>
          </cell>
          <cell r="F1079">
            <v>0</v>
          </cell>
          <cell r="G1079">
            <v>9.3019359999999995</v>
          </cell>
          <cell r="H1079">
            <v>8.7719298245613996E-3</v>
          </cell>
          <cell r="I1079">
            <v>0</v>
          </cell>
          <cell r="J1079">
            <v>0</v>
          </cell>
          <cell r="K1079">
            <v>1434.194489</v>
          </cell>
          <cell r="L1079">
            <v>1.2231404958677601</v>
          </cell>
          <cell r="M1079">
            <v>63.610329999999998</v>
          </cell>
          <cell r="N1079">
            <v>0.214876033057851</v>
          </cell>
          <cell r="O1079">
            <v>686.83856700000001</v>
          </cell>
          <cell r="P1079">
            <v>0.834710743801652</v>
          </cell>
          <cell r="Q1079">
            <v>686.83856700000001</v>
          </cell>
          <cell r="R1079">
            <v>0.834710743801652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</row>
        <row r="1080">
          <cell r="A1080" t="str">
            <v>065404</v>
          </cell>
          <cell r="B1080">
            <v>480.33333299999998</v>
          </cell>
          <cell r="C1080">
            <v>1147.840453</v>
          </cell>
          <cell r="D1080">
            <v>1.0427698574338</v>
          </cell>
          <cell r="E1080">
            <v>13.617818</v>
          </cell>
          <cell r="F1080">
            <v>4.68431771894093E-2</v>
          </cell>
          <cell r="G1080">
            <v>189.01087699999999</v>
          </cell>
          <cell r="H1080">
            <v>1.15145228215767</v>
          </cell>
          <cell r="I1080">
            <v>189.01087699999999</v>
          </cell>
          <cell r="J1080">
            <v>1.15145228215767</v>
          </cell>
          <cell r="K1080">
            <v>108.74725599999999</v>
          </cell>
          <cell r="L1080">
            <v>0.15208333333333299</v>
          </cell>
          <cell r="M1080">
            <v>108.74725599999999</v>
          </cell>
          <cell r="N1080">
            <v>0.15208333333333299</v>
          </cell>
          <cell r="O1080">
            <v>12.720981999999999</v>
          </cell>
          <cell r="P1080">
            <v>8.84210526315789E-2</v>
          </cell>
          <cell r="Q1080">
            <v>12.720981999999999</v>
          </cell>
          <cell r="R1080">
            <v>8.84210526315789E-2</v>
          </cell>
          <cell r="S1080">
            <v>22.283836999999998</v>
          </cell>
          <cell r="T1080">
            <v>5.8315334773218097E-2</v>
          </cell>
          <cell r="U1080">
            <v>22.283836999999998</v>
          </cell>
          <cell r="V1080">
            <v>5.8315334773218097E-2</v>
          </cell>
        </row>
        <row r="1081">
          <cell r="A1081" t="str">
            <v>065501</v>
          </cell>
          <cell r="B1081">
            <v>229.22222199999999</v>
          </cell>
          <cell r="C1081">
            <v>427.30950200000001</v>
          </cell>
          <cell r="D1081">
            <v>1.7489177489177401</v>
          </cell>
          <cell r="E1081">
            <v>427.30950200000001</v>
          </cell>
          <cell r="F1081">
            <v>1.7489177489177401</v>
          </cell>
          <cell r="G1081">
            <v>115.65652</v>
          </cell>
          <cell r="H1081">
            <v>0.86637931034482696</v>
          </cell>
          <cell r="I1081">
            <v>113.492458</v>
          </cell>
          <cell r="J1081">
            <v>0.83620689655172398</v>
          </cell>
          <cell r="K1081">
            <v>3242.1060600000001</v>
          </cell>
          <cell r="L1081">
            <v>1.9826839826839799</v>
          </cell>
          <cell r="M1081">
            <v>23.188167</v>
          </cell>
          <cell r="N1081">
            <v>0.32034632034631999</v>
          </cell>
          <cell r="O1081">
            <v>250.341848</v>
          </cell>
          <cell r="P1081">
            <v>1.0960698689956301</v>
          </cell>
          <cell r="Q1081">
            <v>162.63529800000001</v>
          </cell>
          <cell r="R1081">
            <v>1.04366812227074</v>
          </cell>
          <cell r="S1081">
            <v>232.48549</v>
          </cell>
          <cell r="T1081">
            <v>1.69196428571428</v>
          </cell>
          <cell r="U1081">
            <v>194.178943</v>
          </cell>
          <cell r="V1081">
            <v>1.65625</v>
          </cell>
        </row>
        <row r="1082">
          <cell r="A1082" t="str">
            <v>065502</v>
          </cell>
          <cell r="B1082">
            <v>451.77777700000001</v>
          </cell>
          <cell r="C1082">
            <v>1.828406</v>
          </cell>
          <cell r="D1082">
            <v>3.0434782608695601E-2</v>
          </cell>
          <cell r="E1082">
            <v>1.6281030000000001</v>
          </cell>
          <cell r="F1082">
            <v>2.3913043478260801E-2</v>
          </cell>
          <cell r="G1082">
            <v>55.631526999999998</v>
          </cell>
          <cell r="H1082">
            <v>1.0109649122807001</v>
          </cell>
          <cell r="I1082">
            <v>55.631526999999998</v>
          </cell>
          <cell r="J1082">
            <v>1.0109649122807001</v>
          </cell>
          <cell r="K1082">
            <v>520.42324499999995</v>
          </cell>
          <cell r="L1082">
            <v>1.4758771929824499</v>
          </cell>
          <cell r="M1082">
            <v>57.222478000000002</v>
          </cell>
          <cell r="N1082">
            <v>0.43421052631578899</v>
          </cell>
          <cell r="O1082">
            <v>17.74634</v>
          </cell>
          <cell r="P1082">
            <v>5.7649667405764903E-2</v>
          </cell>
          <cell r="Q1082">
            <v>3.4126379999999998</v>
          </cell>
          <cell r="R1082">
            <v>5.3215077605321501E-2</v>
          </cell>
          <cell r="S1082">
            <v>62.105097999999998</v>
          </cell>
          <cell r="T1082">
            <v>0.73287671232876705</v>
          </cell>
          <cell r="U1082">
            <v>55.355516999999999</v>
          </cell>
          <cell r="V1082">
            <v>0.65981735159817301</v>
          </cell>
        </row>
        <row r="1083">
          <cell r="A1083" t="str">
            <v>065701</v>
          </cell>
          <cell r="B1083">
            <v>428.625</v>
          </cell>
          <cell r="C1083">
            <v>130.06544299999999</v>
          </cell>
          <cell r="D1083">
            <v>1.13519813519813</v>
          </cell>
          <cell r="E1083">
            <v>130.06544299999999</v>
          </cell>
          <cell r="F1083">
            <v>1.13519813519813</v>
          </cell>
          <cell r="G1083">
            <v>41.373306999999997</v>
          </cell>
          <cell r="H1083">
            <v>0.16355140186915801</v>
          </cell>
          <cell r="I1083">
            <v>41.373306999999997</v>
          </cell>
          <cell r="J1083">
            <v>0.16355140186915801</v>
          </cell>
          <cell r="K1083">
            <v>1249.2584690000001</v>
          </cell>
          <cell r="L1083">
            <v>1.14051522248243</v>
          </cell>
          <cell r="M1083">
            <v>10.697658000000001</v>
          </cell>
          <cell r="N1083">
            <v>0.13114754098360601</v>
          </cell>
          <cell r="O1083">
            <v>716.54391399999997</v>
          </cell>
          <cell r="P1083">
            <v>1.34883720930232</v>
          </cell>
          <cell r="Q1083">
            <v>258.97457300000002</v>
          </cell>
          <cell r="R1083">
            <v>0.84418604651162699</v>
          </cell>
          <cell r="S1083">
            <v>83.192267999999999</v>
          </cell>
          <cell r="T1083">
            <v>0.32867132867132798</v>
          </cell>
          <cell r="U1083">
            <v>71.615539999999996</v>
          </cell>
          <cell r="V1083">
            <v>0.31468531468531402</v>
          </cell>
        </row>
        <row r="1084">
          <cell r="A1084" t="str">
            <v>065702</v>
          </cell>
          <cell r="B1084">
            <v>1541</v>
          </cell>
          <cell r="C1084">
            <v>116.15448499999999</v>
          </cell>
          <cell r="D1084">
            <v>1.7614738202973399</v>
          </cell>
          <cell r="E1084">
            <v>116.15448499999999</v>
          </cell>
          <cell r="F1084">
            <v>1.7614738202973399</v>
          </cell>
          <cell r="G1084">
            <v>246.91517899999999</v>
          </cell>
          <cell r="H1084">
            <v>0.75567077122488602</v>
          </cell>
          <cell r="I1084">
            <v>209.19795999999999</v>
          </cell>
          <cell r="J1084">
            <v>0.71743357096565097</v>
          </cell>
          <cell r="K1084">
            <v>2928.0250799999999</v>
          </cell>
          <cell r="L1084">
            <v>4.0706416072585796</v>
          </cell>
          <cell r="M1084">
            <v>877.73981400000002</v>
          </cell>
          <cell r="N1084">
            <v>2.7453013609850898</v>
          </cell>
          <cell r="O1084">
            <v>560.40427399999999</v>
          </cell>
          <cell r="P1084">
            <v>1.66233766233766</v>
          </cell>
          <cell r="Q1084">
            <v>91.899253000000002</v>
          </cell>
          <cell r="R1084">
            <v>0.61233766233766196</v>
          </cell>
          <cell r="S1084">
            <v>575.83963000000006</v>
          </cell>
          <cell r="T1084">
            <v>1.2866449511400599</v>
          </cell>
          <cell r="U1084">
            <v>202.643463</v>
          </cell>
          <cell r="V1084">
            <v>0.92052117263843602</v>
          </cell>
        </row>
        <row r="1085">
          <cell r="A1085" t="str">
            <v>066101</v>
          </cell>
          <cell r="B1085">
            <v>422.4</v>
          </cell>
          <cell r="C1085">
            <v>96.469071</v>
          </cell>
          <cell r="D1085">
            <v>0.27166276346604201</v>
          </cell>
          <cell r="E1085">
            <v>95.736498999999995</v>
          </cell>
          <cell r="F1085">
            <v>0.26932084309133397</v>
          </cell>
          <cell r="G1085">
            <v>120.28113</v>
          </cell>
          <cell r="H1085">
            <v>1.2429245283018799</v>
          </cell>
          <cell r="I1085">
            <v>109.21268600000001</v>
          </cell>
          <cell r="J1085">
            <v>1.19575471698113</v>
          </cell>
          <cell r="K1085">
            <v>350.51252799999997</v>
          </cell>
          <cell r="L1085">
            <v>0.92671394799054296</v>
          </cell>
          <cell r="M1085">
            <v>65.029826</v>
          </cell>
          <cell r="N1085">
            <v>0.23640661938534199</v>
          </cell>
          <cell r="O1085">
            <v>585.56080599999996</v>
          </cell>
          <cell r="P1085">
            <v>1.0878859857482099</v>
          </cell>
          <cell r="Q1085">
            <v>376.47933399999999</v>
          </cell>
          <cell r="R1085">
            <v>0.869358669833729</v>
          </cell>
          <cell r="S1085">
            <v>235.285011</v>
          </cell>
          <cell r="T1085">
            <v>1.41966426858513</v>
          </cell>
          <cell r="U1085">
            <v>224.08725000000001</v>
          </cell>
          <cell r="V1085">
            <v>1.4004796163069499</v>
          </cell>
        </row>
        <row r="1086">
          <cell r="A1086" t="str">
            <v>066301</v>
          </cell>
          <cell r="B1086">
            <v>692.8</v>
          </cell>
          <cell r="C1086">
            <v>850.36460999999997</v>
          </cell>
          <cell r="D1086">
            <v>1.09604519774011</v>
          </cell>
          <cell r="E1086">
            <v>67.121233000000004</v>
          </cell>
          <cell r="F1086">
            <v>0.53531073446327604</v>
          </cell>
          <cell r="G1086">
            <v>283.461027</v>
          </cell>
          <cell r="H1086">
            <v>0.83838383838383801</v>
          </cell>
          <cell r="I1086">
            <v>107.748149</v>
          </cell>
          <cell r="J1086">
            <v>0.61904761904761896</v>
          </cell>
          <cell r="K1086">
            <v>86.258718000000002</v>
          </cell>
          <cell r="L1086">
            <v>0.208695652173913</v>
          </cell>
          <cell r="M1086">
            <v>73.983114999999998</v>
          </cell>
          <cell r="N1086">
            <v>0.17681159420289799</v>
          </cell>
          <cell r="O1086">
            <v>101.574021</v>
          </cell>
          <cell r="P1086">
            <v>0.25953079178885602</v>
          </cell>
          <cell r="Q1086">
            <v>40.966397000000001</v>
          </cell>
          <cell r="R1086">
            <v>0.184750733137829</v>
          </cell>
          <cell r="S1086">
            <v>968.64360699999997</v>
          </cell>
          <cell r="T1086">
            <v>2.91895803183791</v>
          </cell>
          <cell r="U1086">
            <v>915.22797800000001</v>
          </cell>
          <cell r="V1086">
            <v>2.8798842257597599</v>
          </cell>
        </row>
        <row r="1087">
          <cell r="A1087" t="str">
            <v>066302</v>
          </cell>
          <cell r="B1087">
            <v>1447</v>
          </cell>
          <cell r="C1087">
            <v>4595.4211169999999</v>
          </cell>
          <cell r="D1087">
            <v>2.8651066758430801</v>
          </cell>
          <cell r="E1087">
            <v>468.155125</v>
          </cell>
          <cell r="F1087">
            <v>2.0041293874741899</v>
          </cell>
          <cell r="G1087">
            <v>770.355591</v>
          </cell>
          <cell r="H1087">
            <v>1.59394356503785</v>
          </cell>
          <cell r="I1087">
            <v>84.537424999999999</v>
          </cell>
          <cell r="J1087">
            <v>0.67309015829318597</v>
          </cell>
          <cell r="K1087">
            <v>953.80824600000005</v>
          </cell>
          <cell r="L1087">
            <v>1.9247757073844001</v>
          </cell>
          <cell r="M1087">
            <v>322.87975599999999</v>
          </cell>
          <cell r="N1087">
            <v>0.81780538302277395</v>
          </cell>
          <cell r="O1087">
            <v>500.132836</v>
          </cell>
          <cell r="P1087">
            <v>0.99376299376299304</v>
          </cell>
          <cell r="Q1087">
            <v>229.29568</v>
          </cell>
          <cell r="R1087">
            <v>0.794178794178794</v>
          </cell>
          <cell r="S1087">
            <v>802.55572900000004</v>
          </cell>
          <cell r="T1087">
            <v>2.5949895615866301</v>
          </cell>
          <cell r="U1087">
            <v>754.08373900000004</v>
          </cell>
          <cell r="V1087">
            <v>2.5254001391788399</v>
          </cell>
        </row>
        <row r="1088">
          <cell r="A1088" t="str">
            <v>066402</v>
          </cell>
          <cell r="B1088">
            <v>1630.8</v>
          </cell>
          <cell r="C1088">
            <v>303.665142</v>
          </cell>
          <cell r="D1088">
            <v>0.58032987171655404</v>
          </cell>
          <cell r="E1088">
            <v>19.302115000000001</v>
          </cell>
          <cell r="F1088">
            <v>0.111789859499083</v>
          </cell>
          <cell r="G1088">
            <v>176.37096199999999</v>
          </cell>
          <cell r="H1088">
            <v>1.65426829268292</v>
          </cell>
          <cell r="I1088">
            <v>156.67969600000001</v>
          </cell>
          <cell r="J1088">
            <v>1.56768292682926</v>
          </cell>
          <cell r="K1088">
            <v>1225.592404</v>
          </cell>
          <cell r="L1088">
            <v>2.1325595601710399</v>
          </cell>
          <cell r="M1088">
            <v>211.46669700000001</v>
          </cell>
          <cell r="N1088">
            <v>1.1374465485644401</v>
          </cell>
          <cell r="O1088">
            <v>416.87042500000001</v>
          </cell>
          <cell r="P1088">
            <v>2.5767097966728199</v>
          </cell>
          <cell r="Q1088">
            <v>353.10068799999999</v>
          </cell>
          <cell r="R1088">
            <v>2.5378927911275402</v>
          </cell>
          <cell r="S1088">
            <v>161.09981300000001</v>
          </cell>
          <cell r="T1088">
            <v>0.66048237476808902</v>
          </cell>
          <cell r="U1088">
            <v>65.263677000000001</v>
          </cell>
          <cell r="V1088">
            <v>0.51515151515151503</v>
          </cell>
        </row>
        <row r="1089">
          <cell r="A1089" t="str">
            <v>066501</v>
          </cell>
          <cell r="B1089">
            <v>662.71428500000002</v>
          </cell>
          <cell r="C1089">
            <v>260.845302</v>
          </cell>
          <cell r="D1089">
            <v>1.14393939393939</v>
          </cell>
          <cell r="E1089">
            <v>260.845302</v>
          </cell>
          <cell r="F1089">
            <v>1.14393939393939</v>
          </cell>
          <cell r="G1089">
            <v>67.238414000000006</v>
          </cell>
          <cell r="H1089">
            <v>0.30618401206636497</v>
          </cell>
          <cell r="I1089">
            <v>67.238414000000006</v>
          </cell>
          <cell r="J1089">
            <v>0.30618401206636497</v>
          </cell>
          <cell r="K1089">
            <v>8.6252499999999994</v>
          </cell>
          <cell r="L1089">
            <v>8.8855421686746899E-2</v>
          </cell>
          <cell r="M1089">
            <v>7.0313249999999998</v>
          </cell>
          <cell r="N1089">
            <v>8.5843373493975902E-2</v>
          </cell>
          <cell r="O1089">
            <v>29.794903999999999</v>
          </cell>
          <cell r="P1089">
            <v>0.12650602409638501</v>
          </cell>
          <cell r="Q1089">
            <v>29.430145</v>
          </cell>
          <cell r="R1089">
            <v>0.125</v>
          </cell>
          <cell r="S1089">
            <v>31.980554999999999</v>
          </cell>
          <cell r="T1089">
            <v>0.26515151515151503</v>
          </cell>
          <cell r="U1089">
            <v>31.980554999999999</v>
          </cell>
          <cell r="V1089">
            <v>0.26515151515151503</v>
          </cell>
        </row>
        <row r="1090">
          <cell r="A1090" t="str">
            <v>066502</v>
          </cell>
          <cell r="B1090">
            <v>391.57142800000003</v>
          </cell>
          <cell r="C1090">
            <v>208.13588200000001</v>
          </cell>
          <cell r="D1090">
            <v>1.0074812967580999</v>
          </cell>
          <cell r="E1090">
            <v>208.13588200000001</v>
          </cell>
          <cell r="F1090">
            <v>1.0074812967580999</v>
          </cell>
          <cell r="G1090">
            <v>723.08544700000004</v>
          </cell>
          <cell r="H1090">
            <v>1.8115577889447201</v>
          </cell>
          <cell r="I1090">
            <v>0.68999200000000005</v>
          </cell>
          <cell r="J1090">
            <v>5.0251256281407001E-3</v>
          </cell>
          <cell r="K1090">
            <v>104.90097</v>
          </cell>
          <cell r="L1090">
            <v>0.83797468354430305</v>
          </cell>
          <cell r="M1090">
            <v>104.90097</v>
          </cell>
          <cell r="N1090">
            <v>0.83797468354430305</v>
          </cell>
          <cell r="O1090">
            <v>14.825543</v>
          </cell>
          <cell r="P1090">
            <v>4.9608355091383803E-2</v>
          </cell>
          <cell r="Q1090">
            <v>14.825543</v>
          </cell>
          <cell r="R1090">
            <v>4.9608355091383803E-2</v>
          </cell>
          <cell r="S1090">
            <v>285.96666599999998</v>
          </cell>
          <cell r="T1090">
            <v>0.684073107049608</v>
          </cell>
          <cell r="U1090">
            <v>55.139817000000001</v>
          </cell>
          <cell r="V1090">
            <v>0.57702349869451597</v>
          </cell>
        </row>
        <row r="1091">
          <cell r="A1091" t="str">
            <v>066503</v>
          </cell>
          <cell r="B1091">
            <v>1618.375</v>
          </cell>
          <cell r="C1091">
            <v>52.047418999999998</v>
          </cell>
          <cell r="D1091">
            <v>0.30732578916021402</v>
          </cell>
          <cell r="E1091">
            <v>52.047418999999998</v>
          </cell>
          <cell r="F1091">
            <v>0.30732578916021402</v>
          </cell>
          <cell r="G1091">
            <v>336.20890700000001</v>
          </cell>
          <cell r="H1091">
            <v>0.72586412395709099</v>
          </cell>
          <cell r="I1091">
            <v>35.919445000000003</v>
          </cell>
          <cell r="J1091">
            <v>0.300357568533969</v>
          </cell>
          <cell r="K1091">
            <v>25.017668</v>
          </cell>
          <cell r="L1091">
            <v>0.23869047619047601</v>
          </cell>
          <cell r="M1091">
            <v>25.017668</v>
          </cell>
          <cell r="N1091">
            <v>0.23869047619047601</v>
          </cell>
          <cell r="O1091">
            <v>1369.704997</v>
          </cell>
          <cell r="P1091">
            <v>1.7443919716646901</v>
          </cell>
          <cell r="Q1091">
            <v>54.868062999999999</v>
          </cell>
          <cell r="R1091">
            <v>0.43034238488783899</v>
          </cell>
          <cell r="S1091">
            <v>102.123839</v>
          </cell>
          <cell r="T1091">
            <v>0.62376933895921205</v>
          </cell>
          <cell r="U1091">
            <v>22.602332000000001</v>
          </cell>
          <cell r="V1091">
            <v>0.348101265822784</v>
          </cell>
        </row>
        <row r="1092">
          <cell r="A1092" t="str">
            <v>066504</v>
          </cell>
          <cell r="B1092">
            <v>1953.2222220000001</v>
          </cell>
          <cell r="C1092">
            <v>32.698103000000003</v>
          </cell>
          <cell r="D1092">
            <v>0.276869737493808</v>
          </cell>
          <cell r="E1092">
            <v>32.693541000000003</v>
          </cell>
          <cell r="F1092">
            <v>0.27637444279346202</v>
          </cell>
          <cell r="G1092">
            <v>137.451368</v>
          </cell>
          <cell r="H1092">
            <v>1.1071609954291499</v>
          </cell>
          <cell r="I1092">
            <v>133.05754999999999</v>
          </cell>
          <cell r="J1092">
            <v>1.10157440325038</v>
          </cell>
          <cell r="K1092">
            <v>95.413321999999994</v>
          </cell>
          <cell r="L1092">
            <v>0.325486182190378</v>
          </cell>
          <cell r="M1092">
            <v>71.254486</v>
          </cell>
          <cell r="N1092">
            <v>0.14534288638689799</v>
          </cell>
          <cell r="O1092">
            <v>61.212946000000002</v>
          </cell>
          <cell r="P1092">
            <v>0.838996340825927</v>
          </cell>
          <cell r="Q1092">
            <v>57.945635000000003</v>
          </cell>
          <cell r="R1092">
            <v>0.81913225300574999</v>
          </cell>
          <cell r="S1092">
            <v>117.738371</v>
          </cell>
          <cell r="T1092">
            <v>0.77528089887640395</v>
          </cell>
          <cell r="U1092">
            <v>117.738371</v>
          </cell>
          <cell r="V1092">
            <v>0.77528089887640395</v>
          </cell>
        </row>
        <row r="1093">
          <cell r="A1093" t="str">
            <v>066601</v>
          </cell>
          <cell r="B1093">
            <v>843.4</v>
          </cell>
          <cell r="C1093">
            <v>4197.5032309999997</v>
          </cell>
          <cell r="D1093">
            <v>4.8507281553397998</v>
          </cell>
          <cell r="E1093">
            <v>828.20099800000003</v>
          </cell>
          <cell r="F1093">
            <v>3.6177184466019399</v>
          </cell>
          <cell r="G1093">
            <v>598.08097499999997</v>
          </cell>
          <cell r="H1093">
            <v>3.04912280701754</v>
          </cell>
          <cell r="I1093">
            <v>358.85910699999999</v>
          </cell>
          <cell r="J1093">
            <v>2.7649122807017501</v>
          </cell>
          <cell r="K1093">
            <v>2011.9387180000001</v>
          </cell>
          <cell r="L1093">
            <v>3.5041128084606301</v>
          </cell>
          <cell r="M1093">
            <v>1148.022091</v>
          </cell>
          <cell r="N1093">
            <v>2.2902467685076302</v>
          </cell>
          <cell r="O1093">
            <v>973.53818699999999</v>
          </cell>
          <cell r="P1093">
            <v>1.59551886792452</v>
          </cell>
          <cell r="Q1093">
            <v>604.01020000000005</v>
          </cell>
          <cell r="R1093">
            <v>1.2594339622641499</v>
          </cell>
          <cell r="S1093">
            <v>1239.535339</v>
          </cell>
          <cell r="T1093">
            <v>5.1287246722288398</v>
          </cell>
          <cell r="U1093">
            <v>1055.221851</v>
          </cell>
          <cell r="V1093">
            <v>4.8331346841477902</v>
          </cell>
        </row>
        <row r="1094">
          <cell r="A1094" t="str">
            <v>066602</v>
          </cell>
          <cell r="B1094">
            <v>609.55555500000003</v>
          </cell>
          <cell r="C1094">
            <v>999.54975300000001</v>
          </cell>
          <cell r="D1094">
            <v>1.92357723577235</v>
          </cell>
          <cell r="E1094">
            <v>999.16601400000002</v>
          </cell>
          <cell r="F1094">
            <v>1.9203252032520299</v>
          </cell>
          <cell r="G1094">
            <v>30.857869999999998</v>
          </cell>
          <cell r="H1094">
            <v>0.12254901960784299</v>
          </cell>
          <cell r="I1094">
            <v>30.857869999999998</v>
          </cell>
          <cell r="J1094">
            <v>0.12254901960784299</v>
          </cell>
          <cell r="K1094">
            <v>732.68937100000005</v>
          </cell>
          <cell r="L1094">
            <v>1.9754098360655701</v>
          </cell>
          <cell r="M1094">
            <v>382.89986299999998</v>
          </cell>
          <cell r="N1094">
            <v>1.55081967213114</v>
          </cell>
          <cell r="O1094">
            <v>464.18899699999997</v>
          </cell>
          <cell r="P1094">
            <v>1.2824302134646901</v>
          </cell>
          <cell r="Q1094">
            <v>240.78634299999999</v>
          </cell>
          <cell r="R1094">
            <v>1.0903119868637099</v>
          </cell>
          <cell r="S1094">
            <v>1287.8789099999999</v>
          </cell>
          <cell r="T1094">
            <v>2.2868988391376401</v>
          </cell>
          <cell r="U1094">
            <v>378.38250399999998</v>
          </cell>
          <cell r="V1094">
            <v>1.6981757877280199</v>
          </cell>
        </row>
        <row r="1095">
          <cell r="A1095" t="str">
            <v>066701</v>
          </cell>
          <cell r="B1095">
            <v>1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  <cell r="G1095">
            <v>687.45346700000005</v>
          </cell>
          <cell r="H1095">
            <v>3</v>
          </cell>
          <cell r="I1095">
            <v>687.45346700000005</v>
          </cell>
          <cell r="J1095">
            <v>3</v>
          </cell>
          <cell r="K1095">
            <v>189.533333</v>
          </cell>
          <cell r="L1095">
            <v>2</v>
          </cell>
          <cell r="M1095">
            <v>189.533333</v>
          </cell>
          <cell r="N1095">
            <v>2</v>
          </cell>
          <cell r="O1095">
            <v>63</v>
          </cell>
          <cell r="P1095">
            <v>1</v>
          </cell>
          <cell r="Q1095">
            <v>63</v>
          </cell>
          <cell r="R1095">
            <v>1</v>
          </cell>
          <cell r="S1095">
            <v>0</v>
          </cell>
          <cell r="T1095">
            <v>0</v>
          </cell>
          <cell r="U1095">
            <v>0</v>
          </cell>
          <cell r="V1095">
            <v>0</v>
          </cell>
        </row>
        <row r="1096">
          <cell r="A1096" t="str">
            <v>066801</v>
          </cell>
          <cell r="B1096">
            <v>232.375</v>
          </cell>
          <cell r="C1096">
            <v>904.92752700000005</v>
          </cell>
          <cell r="D1096">
            <v>0.36480686695278902</v>
          </cell>
          <cell r="E1096">
            <v>4.6008579999999997</v>
          </cell>
          <cell r="F1096">
            <v>4.29184549356223E-3</v>
          </cell>
          <cell r="G1096">
            <v>19.172340999999999</v>
          </cell>
          <cell r="H1096">
            <v>9.9567099567099498E-2</v>
          </cell>
          <cell r="I1096">
            <v>12.658825999999999</v>
          </cell>
          <cell r="J1096">
            <v>9.5238095238095205E-2</v>
          </cell>
          <cell r="K1096">
            <v>124.17920100000001</v>
          </cell>
          <cell r="L1096">
            <v>1.2307692307692299</v>
          </cell>
          <cell r="M1096">
            <v>86.073361000000006</v>
          </cell>
          <cell r="N1096">
            <v>1.2264957264957199</v>
          </cell>
          <cell r="O1096">
            <v>4.2371949999999998</v>
          </cell>
          <cell r="P1096">
            <v>6.4377682403433403E-2</v>
          </cell>
          <cell r="Q1096">
            <v>4.2371949999999998</v>
          </cell>
          <cell r="R1096">
            <v>6.4377682403433403E-2</v>
          </cell>
          <cell r="S1096">
            <v>3.5194920000000001</v>
          </cell>
          <cell r="T1096">
            <v>7.3913043478260804E-2</v>
          </cell>
          <cell r="U1096">
            <v>3.5194920000000001</v>
          </cell>
          <cell r="V1096">
            <v>7.3913043478260804E-2</v>
          </cell>
        </row>
        <row r="1097">
          <cell r="A1097" t="str">
            <v>066802</v>
          </cell>
          <cell r="B1097">
            <v>183.88888800000001</v>
          </cell>
          <cell r="C1097">
            <v>2305.2786900000001</v>
          </cell>
          <cell r="D1097">
            <v>1.3497267759562801</v>
          </cell>
          <cell r="E1097">
            <v>185.60241199999999</v>
          </cell>
          <cell r="F1097">
            <v>0.55737704918032704</v>
          </cell>
          <cell r="G1097">
            <v>403.17707999999999</v>
          </cell>
          <cell r="H1097">
            <v>0.28804347826086901</v>
          </cell>
          <cell r="I1097">
            <v>24.858801</v>
          </cell>
          <cell r="J1097">
            <v>7.0652173913043403E-2</v>
          </cell>
          <cell r="K1097">
            <v>1289.1862149999999</v>
          </cell>
          <cell r="L1097">
            <v>0.47567567567567498</v>
          </cell>
          <cell r="M1097">
            <v>50.355404999999998</v>
          </cell>
          <cell r="N1097">
            <v>0.24324324324324301</v>
          </cell>
          <cell r="O1097">
            <v>6.7413030000000003</v>
          </cell>
          <cell r="P1097">
            <v>9.7826086956521702E-2</v>
          </cell>
          <cell r="Q1097">
            <v>3.6230999999999999E-2</v>
          </cell>
          <cell r="R1097">
            <v>5.4347826086956503E-3</v>
          </cell>
          <cell r="S1097">
            <v>12.564845</v>
          </cell>
          <cell r="T1097">
            <v>3.8251366120218497E-2</v>
          </cell>
          <cell r="U1097">
            <v>12.564845</v>
          </cell>
          <cell r="V1097">
            <v>3.8251366120218497E-2</v>
          </cell>
        </row>
        <row r="1098">
          <cell r="A1098" t="str">
            <v>066902</v>
          </cell>
          <cell r="B1098">
            <v>15.5</v>
          </cell>
          <cell r="C1098">
            <v>227.20576600000001</v>
          </cell>
          <cell r="D1098">
            <v>2.3333333333333299</v>
          </cell>
          <cell r="E1098">
            <v>227.20576600000001</v>
          </cell>
          <cell r="F1098">
            <v>2.3333333333333299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  <cell r="K1098">
            <v>2.5562499999999999</v>
          </cell>
          <cell r="L1098">
            <v>0.1875</v>
          </cell>
          <cell r="M1098">
            <v>2.5562499999999999</v>
          </cell>
          <cell r="N1098">
            <v>0.1875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  <cell r="U1098">
            <v>0</v>
          </cell>
          <cell r="V1098">
            <v>0</v>
          </cell>
        </row>
        <row r="1099">
          <cell r="A1099" t="str">
            <v>066905</v>
          </cell>
          <cell r="B1099">
            <v>205.4</v>
          </cell>
          <cell r="C1099">
            <v>3.625</v>
          </cell>
          <cell r="D1099">
            <v>2.8846153846153799E-2</v>
          </cell>
          <cell r="E1099">
            <v>3.625</v>
          </cell>
          <cell r="F1099">
            <v>2.8846153846153799E-2</v>
          </cell>
          <cell r="G1099">
            <v>105.618037</v>
          </cell>
          <cell r="H1099">
            <v>1.1077586206896499</v>
          </cell>
          <cell r="I1099">
            <v>105.618037</v>
          </cell>
          <cell r="J1099">
            <v>1.1077586206896499</v>
          </cell>
          <cell r="K1099">
            <v>3.2714699999999999</v>
          </cell>
          <cell r="L1099">
            <v>0.126637554585152</v>
          </cell>
          <cell r="M1099">
            <v>3.2714699999999999</v>
          </cell>
          <cell r="N1099">
            <v>0.126637554585152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415.27034500000002</v>
          </cell>
          <cell r="T1099">
            <v>1.77056277056277</v>
          </cell>
          <cell r="U1099">
            <v>87.098339999999993</v>
          </cell>
          <cell r="V1099">
            <v>0.87445887445887405</v>
          </cell>
        </row>
        <row r="1100">
          <cell r="A1100" t="str">
            <v>067101</v>
          </cell>
          <cell r="B1100">
            <v>1</v>
          </cell>
          <cell r="C1100">
            <v>0</v>
          </cell>
          <cell r="D1100">
            <v>0</v>
          </cell>
          <cell r="E1100">
            <v>0</v>
          </cell>
          <cell r="F1100">
            <v>0</v>
          </cell>
          <cell r="G1100">
            <v>162</v>
          </cell>
          <cell r="H1100">
            <v>1</v>
          </cell>
          <cell r="I1100">
            <v>162</v>
          </cell>
          <cell r="J1100">
            <v>1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</row>
        <row r="1101">
          <cell r="A1101" t="str">
            <v>067201</v>
          </cell>
          <cell r="B1101">
            <v>520.6</v>
          </cell>
          <cell r="C1101">
            <v>429.16102000000001</v>
          </cell>
          <cell r="D1101">
            <v>4.87755102040816</v>
          </cell>
          <cell r="E1101">
            <v>216.29600400000001</v>
          </cell>
          <cell r="F1101">
            <v>4.0306122448979496</v>
          </cell>
          <cell r="G1101">
            <v>451.58768199999997</v>
          </cell>
          <cell r="H1101">
            <v>1.55094991364421</v>
          </cell>
          <cell r="I1101">
            <v>173.18771799999999</v>
          </cell>
          <cell r="J1101">
            <v>1.0794473229706301</v>
          </cell>
          <cell r="K1101">
            <v>1357.6356720000001</v>
          </cell>
          <cell r="L1101">
            <v>4.7694974003466202</v>
          </cell>
          <cell r="M1101">
            <v>445.88290000000001</v>
          </cell>
          <cell r="N1101">
            <v>3.4575389948006898</v>
          </cell>
          <cell r="O1101">
            <v>821.87963500000001</v>
          </cell>
          <cell r="P1101">
            <v>3.1438474870017301</v>
          </cell>
          <cell r="Q1101">
            <v>323.11701299999999</v>
          </cell>
          <cell r="R1101">
            <v>2.23916811091854</v>
          </cell>
          <cell r="S1101">
            <v>368.04698999999999</v>
          </cell>
          <cell r="T1101">
            <v>1.9409722222222201</v>
          </cell>
          <cell r="U1101">
            <v>200.70159100000001</v>
          </cell>
          <cell r="V1101">
            <v>0.56423611111111105</v>
          </cell>
        </row>
        <row r="1102">
          <cell r="A1102" t="str">
            <v>067202</v>
          </cell>
          <cell r="B1102">
            <v>442.44444399999998</v>
          </cell>
          <cell r="C1102">
            <v>35.278373999999999</v>
          </cell>
          <cell r="D1102">
            <v>0.23504273504273501</v>
          </cell>
          <cell r="E1102">
            <v>35.278373999999999</v>
          </cell>
          <cell r="F1102">
            <v>0.23504273504273501</v>
          </cell>
          <cell r="G1102">
            <v>120.20974699999999</v>
          </cell>
          <cell r="H1102">
            <v>0.37843551797040098</v>
          </cell>
          <cell r="I1102">
            <v>95.419217000000003</v>
          </cell>
          <cell r="J1102">
            <v>0.28752642706130999</v>
          </cell>
          <cell r="K1102">
            <v>1951.7022260000001</v>
          </cell>
          <cell r="L1102">
            <v>1.7286012526096</v>
          </cell>
          <cell r="M1102">
            <v>145.41596999999999</v>
          </cell>
          <cell r="N1102">
            <v>0.50939457202505201</v>
          </cell>
          <cell r="O1102">
            <v>254.415392</v>
          </cell>
          <cell r="P1102">
            <v>0.81348314606741501</v>
          </cell>
          <cell r="Q1102">
            <v>228.14764</v>
          </cell>
          <cell r="R1102">
            <v>0.76629213483145997</v>
          </cell>
          <cell r="S1102">
            <v>236.65317899999999</v>
          </cell>
          <cell r="T1102">
            <v>0.35220125786163498</v>
          </cell>
          <cell r="U1102">
            <v>123.252026</v>
          </cell>
          <cell r="V1102">
            <v>0.213836477987421</v>
          </cell>
        </row>
        <row r="1103">
          <cell r="A1103" t="str">
            <v>067301</v>
          </cell>
          <cell r="B1103">
            <v>36.6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99.377149000000003</v>
          </cell>
          <cell r="H1103">
            <v>0.72222222222222199</v>
          </cell>
          <cell r="I1103">
            <v>90.449258999999998</v>
          </cell>
          <cell r="J1103">
            <v>0.69444444444444398</v>
          </cell>
          <cell r="K1103">
            <v>435.318918</v>
          </cell>
          <cell r="L1103">
            <v>0.51351351351351304</v>
          </cell>
          <cell r="M1103">
            <v>435.318918</v>
          </cell>
          <cell r="N1103">
            <v>0.51351351351351304</v>
          </cell>
          <cell r="O1103">
            <v>46.863062999999997</v>
          </cell>
          <cell r="P1103">
            <v>0.162162162162162</v>
          </cell>
          <cell r="Q1103">
            <v>46.863062999999997</v>
          </cell>
          <cell r="R1103">
            <v>0.162162162162162</v>
          </cell>
          <cell r="S1103">
            <v>20.907657</v>
          </cell>
          <cell r="T1103">
            <v>0.135135135135135</v>
          </cell>
          <cell r="U1103">
            <v>20.907657</v>
          </cell>
          <cell r="V1103">
            <v>0.135135135135135</v>
          </cell>
        </row>
        <row r="1104">
          <cell r="A1104" t="str">
            <v>067302</v>
          </cell>
          <cell r="B1104">
            <v>635.33333300000004</v>
          </cell>
          <cell r="C1104">
            <v>43.298412999999996</v>
          </cell>
          <cell r="D1104">
            <v>5.0991501416430503E-2</v>
          </cell>
          <cell r="E1104">
            <v>43.298412999999996</v>
          </cell>
          <cell r="F1104">
            <v>5.0991501416430503E-2</v>
          </cell>
          <cell r="G1104">
            <v>9.7013920000000002</v>
          </cell>
          <cell r="H1104">
            <v>3.2624113475177297E-2</v>
          </cell>
          <cell r="I1104">
            <v>2.3119350000000001</v>
          </cell>
          <cell r="J1104">
            <v>1.9858156028368702E-2</v>
          </cell>
          <cell r="K1104">
            <v>122.317713</v>
          </cell>
          <cell r="L1104">
            <v>0.59504132231404905</v>
          </cell>
          <cell r="M1104">
            <v>115.139256</v>
          </cell>
          <cell r="N1104">
            <v>0.59173553719008198</v>
          </cell>
          <cell r="O1104">
            <v>27.333165000000001</v>
          </cell>
          <cell r="P1104">
            <v>7.3578595317725703E-2</v>
          </cell>
          <cell r="Q1104">
            <v>5.4875689999999997</v>
          </cell>
          <cell r="R1104">
            <v>5.6856187290969799E-2</v>
          </cell>
          <cell r="S1104">
            <v>527.44517699999994</v>
          </cell>
          <cell r="T1104">
            <v>0.84782608695652095</v>
          </cell>
          <cell r="U1104">
            <v>127.907134</v>
          </cell>
          <cell r="V1104">
            <v>0.70234113712374502</v>
          </cell>
        </row>
        <row r="1105">
          <cell r="A1105" t="str">
            <v>067303</v>
          </cell>
          <cell r="B1105">
            <v>1127.2</v>
          </cell>
          <cell r="C1105">
            <v>399.55537600000002</v>
          </cell>
          <cell r="D1105">
            <v>2.9048458149779699</v>
          </cell>
          <cell r="E1105">
            <v>274.895084</v>
          </cell>
          <cell r="F1105">
            <v>1.6713656387665099</v>
          </cell>
          <cell r="G1105">
            <v>370.28639299999998</v>
          </cell>
          <cell r="H1105">
            <v>0.52469135802469102</v>
          </cell>
          <cell r="I1105">
            <v>22.175021999999998</v>
          </cell>
          <cell r="J1105">
            <v>0.14726631393298001</v>
          </cell>
          <cell r="K1105">
            <v>1242.6355679999999</v>
          </cell>
          <cell r="L1105">
            <v>1.37775816416593</v>
          </cell>
          <cell r="M1105">
            <v>1064.534083</v>
          </cell>
          <cell r="N1105">
            <v>1.2647837599293901</v>
          </cell>
          <cell r="O1105">
            <v>351.041606</v>
          </cell>
          <cell r="P1105">
            <v>1.04448398576512</v>
          </cell>
          <cell r="Q1105">
            <v>114.623576</v>
          </cell>
          <cell r="R1105">
            <v>0.91103202846974995</v>
          </cell>
          <cell r="S1105">
            <v>6.418272</v>
          </cell>
          <cell r="T1105">
            <v>8.1981981981981894E-2</v>
          </cell>
          <cell r="U1105">
            <v>5.5635430000000001</v>
          </cell>
          <cell r="V1105">
            <v>7.2072072072072002E-2</v>
          </cell>
        </row>
        <row r="1106">
          <cell r="A1106" t="str">
            <v>067401</v>
          </cell>
          <cell r="B1106">
            <v>257.2</v>
          </cell>
          <cell r="C1106">
            <v>3515.5173380000001</v>
          </cell>
          <cell r="D1106">
            <v>1.33720930232558</v>
          </cell>
          <cell r="E1106">
            <v>78.282497000000006</v>
          </cell>
          <cell r="F1106">
            <v>0.217054263565891</v>
          </cell>
          <cell r="G1106">
            <v>244.18471400000001</v>
          </cell>
          <cell r="H1106">
            <v>0.24124513618676999</v>
          </cell>
          <cell r="I1106">
            <v>170.56692899999999</v>
          </cell>
          <cell r="J1106">
            <v>0.136186770428015</v>
          </cell>
          <cell r="K1106">
            <v>63.658848999999996</v>
          </cell>
          <cell r="L1106">
            <v>0.19767441860465099</v>
          </cell>
          <cell r="M1106">
            <v>57.778682000000003</v>
          </cell>
          <cell r="N1106">
            <v>0.170542635658914</v>
          </cell>
          <cell r="O1106">
            <v>432.57619799999998</v>
          </cell>
          <cell r="P1106">
            <v>1.18677042801556</v>
          </cell>
          <cell r="Q1106">
            <v>412.550972</v>
          </cell>
          <cell r="R1106">
            <v>1.04280155642023</v>
          </cell>
          <cell r="S1106">
            <v>149.50904800000001</v>
          </cell>
          <cell r="T1106">
            <v>0.51953125</v>
          </cell>
          <cell r="U1106">
            <v>32.803123999999997</v>
          </cell>
          <cell r="V1106">
            <v>0.22265625</v>
          </cell>
        </row>
        <row r="1107">
          <cell r="A1107" t="str">
            <v>067402</v>
          </cell>
          <cell r="B1107">
            <v>237.555555</v>
          </cell>
          <cell r="C1107">
            <v>1515.2960069999999</v>
          </cell>
          <cell r="D1107">
            <v>2.49166666666666</v>
          </cell>
          <cell r="E1107">
            <v>165.572498</v>
          </cell>
          <cell r="F1107">
            <v>0.32500000000000001</v>
          </cell>
          <cell r="G1107">
            <v>470.76044300000001</v>
          </cell>
          <cell r="H1107">
            <v>0.249999999999999</v>
          </cell>
          <cell r="I1107">
            <v>30.308841000000001</v>
          </cell>
          <cell r="J1107">
            <v>9.5833333333333298E-2</v>
          </cell>
          <cell r="K1107">
            <v>255.93298200000001</v>
          </cell>
          <cell r="L1107">
            <v>0.99159663865546199</v>
          </cell>
          <cell r="M1107">
            <v>125.36953699999999</v>
          </cell>
          <cell r="N1107">
            <v>0.78151260504201603</v>
          </cell>
          <cell r="O1107">
            <v>494.77907699999997</v>
          </cell>
          <cell r="P1107">
            <v>1.9063829787233999</v>
          </cell>
          <cell r="Q1107">
            <v>424.21943199999998</v>
          </cell>
          <cell r="R1107">
            <v>1.7021276595744601</v>
          </cell>
          <cell r="S1107">
            <v>40.552514000000002</v>
          </cell>
          <cell r="T1107">
            <v>4.3103448275862002E-2</v>
          </cell>
          <cell r="U1107">
            <v>40.552514000000002</v>
          </cell>
          <cell r="V1107">
            <v>4.3103448275862002E-2</v>
          </cell>
        </row>
        <row r="1108">
          <cell r="A1108" t="str">
            <v>067403</v>
          </cell>
          <cell r="B1108">
            <v>385.6</v>
          </cell>
          <cell r="C1108">
            <v>8302.8473219999996</v>
          </cell>
          <cell r="D1108">
            <v>4.6614987080103303</v>
          </cell>
          <cell r="E1108">
            <v>877.52612899999997</v>
          </cell>
          <cell r="F1108">
            <v>2.9173126614987002</v>
          </cell>
          <cell r="G1108">
            <v>324.94015300000001</v>
          </cell>
          <cell r="H1108">
            <v>1.00257731958762</v>
          </cell>
          <cell r="I1108">
            <v>239.04302799999999</v>
          </cell>
          <cell r="J1108">
            <v>0.94072164948453596</v>
          </cell>
          <cell r="K1108">
            <v>1368.5226090000001</v>
          </cell>
          <cell r="L1108">
            <v>3.02842377260981</v>
          </cell>
          <cell r="M1108">
            <v>441.87837999999999</v>
          </cell>
          <cell r="N1108">
            <v>1.81912144702842</v>
          </cell>
          <cell r="O1108">
            <v>137.04803999999999</v>
          </cell>
          <cell r="P1108">
            <v>0.70234986945169697</v>
          </cell>
          <cell r="Q1108">
            <v>94.929328999999996</v>
          </cell>
          <cell r="R1108">
            <v>0.644908616187989</v>
          </cell>
          <cell r="S1108">
            <v>1073.5107909999999</v>
          </cell>
          <cell r="T1108">
            <v>1.9765013054830201</v>
          </cell>
          <cell r="U1108">
            <v>320.36562199999997</v>
          </cell>
          <cell r="V1108">
            <v>0.88250652741514302</v>
          </cell>
        </row>
        <row r="1109">
          <cell r="A1109" t="str">
            <v>067404</v>
          </cell>
          <cell r="B1109">
            <v>586.79999999999995</v>
          </cell>
          <cell r="C1109">
            <v>242.058145</v>
          </cell>
          <cell r="D1109">
            <v>0.25675675675675602</v>
          </cell>
          <cell r="E1109">
            <v>15.843241000000001</v>
          </cell>
          <cell r="F1109">
            <v>8.6148648648648601E-2</v>
          </cell>
          <cell r="G1109">
            <v>3090.5409279999999</v>
          </cell>
          <cell r="H1109">
            <v>2.3106960950764002</v>
          </cell>
          <cell r="I1109">
            <v>211.021615</v>
          </cell>
          <cell r="J1109">
            <v>0.65704584040747005</v>
          </cell>
          <cell r="K1109">
            <v>85.330507999999995</v>
          </cell>
          <cell r="L1109">
            <v>0.38135593220338898</v>
          </cell>
          <cell r="M1109">
            <v>84.962203000000002</v>
          </cell>
          <cell r="N1109">
            <v>0.379661016949152</v>
          </cell>
          <cell r="O1109">
            <v>118.682305</v>
          </cell>
          <cell r="P1109">
            <v>0.51883561643835596</v>
          </cell>
          <cell r="Q1109">
            <v>108.82654100000001</v>
          </cell>
          <cell r="R1109">
            <v>0.51541095890410904</v>
          </cell>
          <cell r="S1109">
            <v>176.41450699999999</v>
          </cell>
          <cell r="T1109">
            <v>0.30569948186528401</v>
          </cell>
          <cell r="U1109">
            <v>128.01036199999999</v>
          </cell>
          <cell r="V1109">
            <v>0.25388601036269398</v>
          </cell>
        </row>
        <row r="1110">
          <cell r="A1110" t="str">
            <v>067501</v>
          </cell>
          <cell r="B1110">
            <v>1836.8</v>
          </cell>
          <cell r="C1110">
            <v>209.311656</v>
          </cell>
          <cell r="D1110">
            <v>0.40477482365708001</v>
          </cell>
          <cell r="E1110">
            <v>28.815266000000001</v>
          </cell>
          <cell r="F1110">
            <v>0.29679869777536599</v>
          </cell>
          <cell r="G1110">
            <v>493.17012199999999</v>
          </cell>
          <cell r="H1110">
            <v>1.50651465798045</v>
          </cell>
          <cell r="I1110">
            <v>10.73311</v>
          </cell>
          <cell r="J1110">
            <v>4.7774158523344101E-2</v>
          </cell>
          <cell r="K1110">
            <v>611.63834099999997</v>
          </cell>
          <cell r="L1110">
            <v>2.2195652173912999</v>
          </cell>
          <cell r="M1110">
            <v>200.25577799999999</v>
          </cell>
          <cell r="N1110">
            <v>1.2124999999999999</v>
          </cell>
          <cell r="O1110">
            <v>393.521863</v>
          </cell>
          <cell r="P1110">
            <v>3.24100327153762</v>
          </cell>
          <cell r="Q1110">
            <v>392.17011000000002</v>
          </cell>
          <cell r="R1110">
            <v>3.2377317339149401</v>
          </cell>
          <cell r="S1110">
            <v>285.39066500000001</v>
          </cell>
          <cell r="T1110">
            <v>1.50739726027397</v>
          </cell>
          <cell r="U1110">
            <v>270.48212699999999</v>
          </cell>
          <cell r="V1110">
            <v>1.4312328767123199</v>
          </cell>
        </row>
        <row r="1111">
          <cell r="A1111" t="str">
            <v>067502</v>
          </cell>
          <cell r="B1111">
            <v>42.75</v>
          </cell>
          <cell r="C1111">
            <v>3.3402810000000001</v>
          </cell>
          <cell r="D1111">
            <v>4.7619047619047603E-2</v>
          </cell>
          <cell r="E1111">
            <v>3.3402810000000001</v>
          </cell>
          <cell r="F1111">
            <v>4.7619047619047603E-2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93.710852000000003</v>
          </cell>
          <cell r="L1111">
            <v>0.39534883720930197</v>
          </cell>
          <cell r="M1111">
            <v>93.710852000000003</v>
          </cell>
          <cell r="N1111">
            <v>0.39534883720930197</v>
          </cell>
          <cell r="O1111">
            <v>200.82945699999999</v>
          </cell>
          <cell r="P1111">
            <v>1.2325581395348799</v>
          </cell>
          <cell r="Q1111">
            <v>200.82945699999999</v>
          </cell>
          <cell r="R1111">
            <v>1.2325581395348799</v>
          </cell>
          <cell r="S1111">
            <v>142.566666</v>
          </cell>
          <cell r="T1111">
            <v>1</v>
          </cell>
          <cell r="U1111">
            <v>142.566666</v>
          </cell>
          <cell r="V1111">
            <v>1</v>
          </cell>
        </row>
        <row r="1112">
          <cell r="A1112" t="str">
            <v>067503</v>
          </cell>
          <cell r="B1112">
            <v>815.6</v>
          </cell>
          <cell r="C1112">
            <v>1476.929701</v>
          </cell>
          <cell r="D1112">
            <v>1.09558823529411</v>
          </cell>
          <cell r="E1112">
            <v>9.447559</v>
          </cell>
          <cell r="F1112">
            <v>9.1911764705882304E-2</v>
          </cell>
          <cell r="G1112">
            <v>151.69842399999999</v>
          </cell>
          <cell r="H1112">
            <v>0.59191176470588203</v>
          </cell>
          <cell r="I1112">
            <v>137.744799</v>
          </cell>
          <cell r="J1112">
            <v>0.55269607843137203</v>
          </cell>
          <cell r="K1112">
            <v>764.36686999999995</v>
          </cell>
          <cell r="L1112">
            <v>1.8245398773006101</v>
          </cell>
          <cell r="M1112">
            <v>149.74560299999999</v>
          </cell>
          <cell r="N1112">
            <v>1.5631901840490701</v>
          </cell>
          <cell r="O1112">
            <v>600.42228899999998</v>
          </cell>
          <cell r="P1112">
            <v>3.8515337423312799</v>
          </cell>
          <cell r="Q1112">
            <v>526.90797499999996</v>
          </cell>
          <cell r="R1112">
            <v>2.8331288343558199</v>
          </cell>
          <cell r="S1112">
            <v>1309.0238959999999</v>
          </cell>
          <cell r="T1112">
            <v>5.2058823529411704</v>
          </cell>
          <cell r="U1112">
            <v>1259.7463230000001</v>
          </cell>
          <cell r="V1112">
            <v>5.1691176470588198</v>
          </cell>
        </row>
        <row r="1113">
          <cell r="A1113" t="str">
            <v>067504</v>
          </cell>
          <cell r="B1113">
            <v>1074.6666660000001</v>
          </cell>
          <cell r="C1113">
            <v>346.56649900000002</v>
          </cell>
          <cell r="D1113">
            <v>1.67246111619396</v>
          </cell>
          <cell r="E1113">
            <v>109.730724</v>
          </cell>
          <cell r="F1113">
            <v>1.3430924062214</v>
          </cell>
          <cell r="G1113">
            <v>50.952201000000002</v>
          </cell>
          <cell r="H1113">
            <v>0.34220183486238498</v>
          </cell>
          <cell r="I1113">
            <v>50.952201000000002</v>
          </cell>
          <cell r="J1113">
            <v>0.34220183486238498</v>
          </cell>
          <cell r="K1113">
            <v>89.887365000000003</v>
          </cell>
          <cell r="L1113">
            <v>0.324747010119595</v>
          </cell>
          <cell r="M1113">
            <v>39.666665999999999</v>
          </cell>
          <cell r="N1113">
            <v>0.28518859245630102</v>
          </cell>
          <cell r="O1113">
            <v>253.391412</v>
          </cell>
          <cell r="P1113">
            <v>1.73689052437902</v>
          </cell>
          <cell r="Q1113">
            <v>210.129392</v>
          </cell>
          <cell r="R1113">
            <v>1.5519779208831599</v>
          </cell>
          <cell r="S1113">
            <v>258.95597199999997</v>
          </cell>
          <cell r="T1113">
            <v>1.72265625</v>
          </cell>
          <cell r="U1113">
            <v>251.62101200000001</v>
          </cell>
          <cell r="V1113">
            <v>1.677734375</v>
          </cell>
        </row>
        <row r="1114">
          <cell r="A1114" t="str">
            <v>067601</v>
          </cell>
          <cell r="B1114">
            <v>990</v>
          </cell>
          <cell r="C1114">
            <v>21.879777000000001</v>
          </cell>
          <cell r="D1114">
            <v>7.6767676767676707E-2</v>
          </cell>
          <cell r="E1114">
            <v>21.879777000000001</v>
          </cell>
          <cell r="F1114">
            <v>7.6767676767676707E-2</v>
          </cell>
          <cell r="G1114">
            <v>307.31473799999998</v>
          </cell>
          <cell r="H1114">
            <v>0.79292929292929204</v>
          </cell>
          <cell r="I1114">
            <v>57.522998000000001</v>
          </cell>
          <cell r="J1114">
            <v>0.63333333333333297</v>
          </cell>
          <cell r="K1114">
            <v>86.811687000000006</v>
          </cell>
          <cell r="L1114">
            <v>0.30171543895055403</v>
          </cell>
          <cell r="M1114">
            <v>67.445660000000004</v>
          </cell>
          <cell r="N1114">
            <v>0.258324924318869</v>
          </cell>
          <cell r="O1114">
            <v>323.923585</v>
          </cell>
          <cell r="P1114">
            <v>1.2616161616161601</v>
          </cell>
          <cell r="Q1114">
            <v>44.804074</v>
          </cell>
          <cell r="R1114">
            <v>0.256565656565656</v>
          </cell>
          <cell r="S1114">
            <v>17.863076</v>
          </cell>
          <cell r="T1114">
            <v>6.8756319514661199E-2</v>
          </cell>
          <cell r="U1114">
            <v>4.569312</v>
          </cell>
          <cell r="V1114">
            <v>4.6511627906976702E-2</v>
          </cell>
        </row>
        <row r="1115">
          <cell r="A1115" t="str">
            <v>067602</v>
          </cell>
          <cell r="B1115">
            <v>349.44444399999998</v>
          </cell>
          <cell r="C1115">
            <v>40.945255000000003</v>
          </cell>
          <cell r="D1115">
            <v>0.176151761517615</v>
          </cell>
          <cell r="E1115">
            <v>40.945255000000003</v>
          </cell>
          <cell r="F1115">
            <v>0.176151761517615</v>
          </cell>
          <cell r="G1115">
            <v>123.20435500000001</v>
          </cell>
          <cell r="H1115">
            <v>0.72131147540983598</v>
          </cell>
          <cell r="I1115">
            <v>119.101754</v>
          </cell>
          <cell r="J1115">
            <v>0.69672131147540906</v>
          </cell>
          <cell r="K1115">
            <v>75.394914999999997</v>
          </cell>
          <cell r="L1115">
            <v>0.46610169491525399</v>
          </cell>
          <cell r="M1115">
            <v>66.091290000000001</v>
          </cell>
          <cell r="N1115">
            <v>0.40112994350282399</v>
          </cell>
          <cell r="O1115">
            <v>241.06785600000001</v>
          </cell>
          <cell r="P1115">
            <v>1.0595238095238</v>
          </cell>
          <cell r="Q1115">
            <v>208.07748000000001</v>
          </cell>
          <cell r="R1115">
            <v>1.0386904761904701</v>
          </cell>
          <cell r="S1115">
            <v>924.55657499999995</v>
          </cell>
          <cell r="T1115">
            <v>3.8012048192771002</v>
          </cell>
          <cell r="U1115">
            <v>674.29994899999997</v>
          </cell>
          <cell r="V1115">
            <v>3.3795180722891498</v>
          </cell>
        </row>
        <row r="1116">
          <cell r="A1116" t="str">
            <v>067701</v>
          </cell>
          <cell r="B1116">
            <v>540.44444399999998</v>
          </cell>
          <cell r="C1116">
            <v>128.96760699999999</v>
          </cell>
          <cell r="D1116">
            <v>0.42937853107344598</v>
          </cell>
          <cell r="E1116">
            <v>124.22950400000001</v>
          </cell>
          <cell r="F1116">
            <v>0.36723163841807899</v>
          </cell>
          <cell r="G1116">
            <v>27.158635</v>
          </cell>
          <cell r="H1116">
            <v>0.214285714285714</v>
          </cell>
          <cell r="I1116">
            <v>27.158635</v>
          </cell>
          <cell r="J1116">
            <v>0.214285714285714</v>
          </cell>
          <cell r="K1116">
            <v>912.63898600000005</v>
          </cell>
          <cell r="L1116">
            <v>0.77929155313351395</v>
          </cell>
          <cell r="M1116">
            <v>77.468391999999994</v>
          </cell>
          <cell r="N1116">
            <v>0.277929155313351</v>
          </cell>
          <cell r="O1116">
            <v>9.0882609999999993</v>
          </cell>
          <cell r="P1116">
            <v>5.9662775616082998E-2</v>
          </cell>
          <cell r="Q1116">
            <v>8.9479679999999995</v>
          </cell>
          <cell r="R1116">
            <v>5.4474708171206199E-2</v>
          </cell>
          <cell r="S1116">
            <v>32.91939</v>
          </cell>
          <cell r="T1116">
            <v>5.5652173913043397E-2</v>
          </cell>
          <cell r="U1116">
            <v>25.170376000000001</v>
          </cell>
          <cell r="V1116">
            <v>4.8695652173913001E-2</v>
          </cell>
        </row>
        <row r="1117">
          <cell r="A1117" t="str">
            <v>067702</v>
          </cell>
          <cell r="B1117">
            <v>538.33333300000004</v>
          </cell>
          <cell r="C1117">
            <v>337.53488599999997</v>
          </cell>
          <cell r="D1117">
            <v>1.0559167750325</v>
          </cell>
          <cell r="E1117">
            <v>337.53488599999997</v>
          </cell>
          <cell r="F1117">
            <v>1.0559167750325</v>
          </cell>
          <cell r="G1117">
            <v>504.25489099999999</v>
          </cell>
          <cell r="H1117">
            <v>0.70025839793281597</v>
          </cell>
          <cell r="I1117">
            <v>149.55895799999999</v>
          </cell>
          <cell r="J1117">
            <v>0.58785529715762197</v>
          </cell>
          <cell r="K1117">
            <v>560.16064100000006</v>
          </cell>
          <cell r="L1117">
            <v>2.4617414248021099</v>
          </cell>
          <cell r="M1117">
            <v>128.075109</v>
          </cell>
          <cell r="N1117">
            <v>0.35092348284960401</v>
          </cell>
          <cell r="O1117">
            <v>138.073679</v>
          </cell>
          <cell r="P1117">
            <v>0.39193083573486998</v>
          </cell>
          <cell r="Q1117">
            <v>103.23756</v>
          </cell>
          <cell r="R1117">
            <v>0.380403458213256</v>
          </cell>
          <cell r="S1117">
            <v>1150.4364</v>
          </cell>
          <cell r="T1117">
            <v>2.9219330855018502</v>
          </cell>
          <cell r="U1117">
            <v>732.67785000000003</v>
          </cell>
          <cell r="V1117">
            <v>2.48513011152416</v>
          </cell>
        </row>
        <row r="1118">
          <cell r="A1118" t="str">
            <v>067801</v>
          </cell>
          <cell r="B1118">
            <v>1</v>
          </cell>
          <cell r="C1118">
            <v>0</v>
          </cell>
          <cell r="D1118">
            <v>0</v>
          </cell>
          <cell r="E1118">
            <v>0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  <cell r="J1118">
            <v>0</v>
          </cell>
          <cell r="K1118">
            <v>103</v>
          </cell>
          <cell r="L1118">
            <v>1</v>
          </cell>
          <cell r="M1118">
            <v>103</v>
          </cell>
          <cell r="N1118">
            <v>1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</row>
        <row r="1119">
          <cell r="A1119" t="str">
            <v>068301</v>
          </cell>
          <cell r="B1119">
            <v>596.5</v>
          </cell>
          <cell r="C1119">
            <v>10.582252</v>
          </cell>
          <cell r="D1119">
            <v>0.118506493506493</v>
          </cell>
          <cell r="E1119">
            <v>10.582252</v>
          </cell>
          <cell r="F1119">
            <v>0.118506493506493</v>
          </cell>
          <cell r="G1119">
            <v>677.11864300000002</v>
          </cell>
          <cell r="H1119">
            <v>1.0969899665551801</v>
          </cell>
          <cell r="I1119">
            <v>9.9315789999999993</v>
          </cell>
          <cell r="J1119">
            <v>8.1939799331103597E-2</v>
          </cell>
          <cell r="K1119">
            <v>5.7648999999999999</v>
          </cell>
          <cell r="L1119">
            <v>4.8013245033112502E-2</v>
          </cell>
          <cell r="M1119">
            <v>5.7648999999999999</v>
          </cell>
          <cell r="N1119">
            <v>4.8013245033112502E-2</v>
          </cell>
          <cell r="O1119">
            <v>58.860188999999998</v>
          </cell>
          <cell r="P1119">
            <v>0.31993299832495797</v>
          </cell>
          <cell r="Q1119">
            <v>44.875264999999999</v>
          </cell>
          <cell r="R1119">
            <v>0.219430485762144</v>
          </cell>
          <cell r="S1119">
            <v>58.862937000000002</v>
          </cell>
          <cell r="T1119">
            <v>0.366609294320137</v>
          </cell>
          <cell r="U1119">
            <v>58.148795</v>
          </cell>
          <cell r="V1119">
            <v>0.36316695352839901</v>
          </cell>
        </row>
        <row r="1120">
          <cell r="A1120" t="str">
            <v>068302</v>
          </cell>
          <cell r="B1120">
            <v>629.88888799999995</v>
          </cell>
          <cell r="C1120">
            <v>31.757707</v>
          </cell>
          <cell r="D1120">
            <v>0.10752688172043</v>
          </cell>
          <cell r="E1120">
            <v>31.468306999999999</v>
          </cell>
          <cell r="F1120">
            <v>0.105990783410138</v>
          </cell>
          <cell r="G1120">
            <v>160.213021</v>
          </cell>
          <cell r="H1120">
            <v>0.99069767441860401</v>
          </cell>
          <cell r="I1120">
            <v>160.213021</v>
          </cell>
          <cell r="J1120">
            <v>0.99069767441860401</v>
          </cell>
          <cell r="K1120">
            <v>828.55343100000005</v>
          </cell>
          <cell r="L1120">
            <v>0.88455538221528796</v>
          </cell>
          <cell r="M1120">
            <v>69.021293999999997</v>
          </cell>
          <cell r="N1120">
            <v>0.41965678627144998</v>
          </cell>
          <cell r="O1120">
            <v>101.121909</v>
          </cell>
          <cell r="P1120">
            <v>0.247261345852895</v>
          </cell>
          <cell r="Q1120">
            <v>24.351956000000001</v>
          </cell>
          <cell r="R1120">
            <v>0.20970266040688501</v>
          </cell>
          <cell r="S1120">
            <v>294.6823</v>
          </cell>
          <cell r="T1120">
            <v>1.8519793459552401</v>
          </cell>
          <cell r="U1120">
            <v>168.557458</v>
          </cell>
          <cell r="V1120">
            <v>1.66781411359724</v>
          </cell>
        </row>
        <row r="1121">
          <cell r="A1121" t="str">
            <v>068303</v>
          </cell>
          <cell r="B1121">
            <v>1</v>
          </cell>
          <cell r="C1121">
            <v>0</v>
          </cell>
          <cell r="D1121">
            <v>0</v>
          </cell>
          <cell r="E1121">
            <v>0</v>
          </cell>
          <cell r="F1121">
            <v>0</v>
          </cell>
          <cell r="G1121">
            <v>274.59968300000003</v>
          </cell>
          <cell r="H1121">
            <v>1</v>
          </cell>
          <cell r="I1121">
            <v>274.59968300000003</v>
          </cell>
          <cell r="J1121">
            <v>1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</row>
        <row r="1122">
          <cell r="A1122" t="str">
            <v>068501</v>
          </cell>
          <cell r="B1122">
            <v>1</v>
          </cell>
          <cell r="C1122">
            <v>0</v>
          </cell>
          <cell r="D1122">
            <v>0</v>
          </cell>
          <cell r="E1122">
            <v>0</v>
          </cell>
          <cell r="F1122">
            <v>0</v>
          </cell>
          <cell r="G1122">
            <v>0</v>
          </cell>
          <cell r="H1122">
            <v>0</v>
          </cell>
          <cell r="I1122">
            <v>0</v>
          </cell>
          <cell r="J1122">
            <v>0</v>
          </cell>
          <cell r="K1122">
            <v>1209</v>
          </cell>
          <cell r="L1122">
            <v>1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</row>
        <row r="1123">
          <cell r="A1123" t="str">
            <v>068502</v>
          </cell>
          <cell r="B1123">
            <v>649.4</v>
          </cell>
          <cell r="C1123">
            <v>90.027067000000002</v>
          </cell>
          <cell r="D1123">
            <v>0.42469879518072201</v>
          </cell>
          <cell r="E1123">
            <v>89.090873000000002</v>
          </cell>
          <cell r="F1123">
            <v>0.40813253012048101</v>
          </cell>
          <cell r="G1123">
            <v>65.081491999999997</v>
          </cell>
          <cell r="H1123">
            <v>0.32724505327245001</v>
          </cell>
          <cell r="I1123">
            <v>2.1729539999999998</v>
          </cell>
          <cell r="J1123">
            <v>2.5875190258751901E-2</v>
          </cell>
          <cell r="K1123">
            <v>3899.9835880000001</v>
          </cell>
          <cell r="L1123">
            <v>2.25229357798165</v>
          </cell>
          <cell r="M1123">
            <v>37.149898</v>
          </cell>
          <cell r="N1123">
            <v>0.24617737003058099</v>
          </cell>
          <cell r="O1123">
            <v>200.147595</v>
          </cell>
          <cell r="P1123">
            <v>0.72257053291536</v>
          </cell>
          <cell r="Q1123">
            <v>174.18176500000001</v>
          </cell>
          <cell r="R1123">
            <v>0.68965517241379304</v>
          </cell>
          <cell r="S1123">
            <v>23.401838999999999</v>
          </cell>
          <cell r="T1123">
            <v>0.178233438485804</v>
          </cell>
          <cell r="U1123">
            <v>22.420005</v>
          </cell>
          <cell r="V1123">
            <v>0.17665615141955801</v>
          </cell>
        </row>
        <row r="1124">
          <cell r="A1124" t="str">
            <v>068602</v>
          </cell>
          <cell r="B1124">
            <v>145.42857100000001</v>
          </cell>
          <cell r="C1124">
            <v>38.235332</v>
          </cell>
          <cell r="D1124">
            <v>1.6E-2</v>
          </cell>
          <cell r="E1124">
            <v>0</v>
          </cell>
          <cell r="F1124">
            <v>0</v>
          </cell>
          <cell r="G1124">
            <v>56.648432</v>
          </cell>
          <cell r="H1124">
            <v>0.26771653543307</v>
          </cell>
          <cell r="I1124">
            <v>56.648432</v>
          </cell>
          <cell r="J1124">
            <v>0.26771653543307</v>
          </cell>
          <cell r="K1124">
            <v>165.77317600000001</v>
          </cell>
          <cell r="L1124">
            <v>1.015625</v>
          </cell>
          <cell r="M1124">
            <v>153.50156200000001</v>
          </cell>
          <cell r="N1124">
            <v>1.0078125</v>
          </cell>
          <cell r="O1124">
            <v>175.81005200000001</v>
          </cell>
          <cell r="P1124">
            <v>1.23015873015873</v>
          </cell>
          <cell r="Q1124">
            <v>175.81005200000001</v>
          </cell>
          <cell r="R1124">
            <v>1.23015873015873</v>
          </cell>
          <cell r="S1124">
            <v>56.615537000000003</v>
          </cell>
          <cell r="T1124">
            <v>9.3749999999999903E-2</v>
          </cell>
          <cell r="U1124">
            <v>15.605815</v>
          </cell>
          <cell r="V1124">
            <v>2.6041666666666598E-2</v>
          </cell>
        </row>
        <row r="1125">
          <cell r="A1125" t="str">
            <v>068603</v>
          </cell>
          <cell r="B1125">
            <v>1872.333333</v>
          </cell>
          <cell r="C1125">
            <v>303.73958499999998</v>
          </cell>
          <cell r="D1125">
            <v>2.3007712082262199</v>
          </cell>
          <cell r="E1125">
            <v>267.72434600000003</v>
          </cell>
          <cell r="F1125">
            <v>2.2565552699228699</v>
          </cell>
          <cell r="G1125">
            <v>28.093378999999999</v>
          </cell>
          <cell r="H1125">
            <v>0.20236869207003</v>
          </cell>
          <cell r="I1125">
            <v>24.939976000000001</v>
          </cell>
          <cell r="J1125">
            <v>0.20030895983522101</v>
          </cell>
          <cell r="K1125">
            <v>17.258844</v>
          </cell>
          <cell r="L1125">
            <v>0.204533745492014</v>
          </cell>
          <cell r="M1125">
            <v>17.258844</v>
          </cell>
          <cell r="N1125">
            <v>0.204533745492014</v>
          </cell>
          <cell r="O1125">
            <v>36.117528999999998</v>
          </cell>
          <cell r="P1125">
            <v>0.51202961135101699</v>
          </cell>
          <cell r="Q1125">
            <v>34.938412</v>
          </cell>
          <cell r="R1125">
            <v>0.47131400370141802</v>
          </cell>
          <cell r="S1125">
            <v>157.269148</v>
          </cell>
          <cell r="T1125">
            <v>1.21879815100154</v>
          </cell>
          <cell r="U1125">
            <v>96.438665999999998</v>
          </cell>
          <cell r="V1125">
            <v>0.52696456086286503</v>
          </cell>
        </row>
        <row r="1126">
          <cell r="A1126" t="str">
            <v>068604</v>
          </cell>
          <cell r="B1126">
            <v>902.2</v>
          </cell>
          <cell r="C1126">
            <v>450.36922600000003</v>
          </cell>
          <cell r="D1126">
            <v>0.31986899563318699</v>
          </cell>
          <cell r="E1126">
            <v>119.47690799999999</v>
          </cell>
          <cell r="F1126">
            <v>0.18013100436681201</v>
          </cell>
          <cell r="G1126">
            <v>143.599424</v>
          </cell>
          <cell r="H1126">
            <v>1.2788671023965099</v>
          </cell>
          <cell r="I1126">
            <v>132.297248</v>
          </cell>
          <cell r="J1126">
            <v>1.2745098039215601</v>
          </cell>
          <cell r="K1126">
            <v>33.655864000000001</v>
          </cell>
          <cell r="L1126">
            <v>0.202185792349726</v>
          </cell>
          <cell r="M1126">
            <v>22.035336000000001</v>
          </cell>
          <cell r="N1126">
            <v>0.196721311475409</v>
          </cell>
          <cell r="O1126">
            <v>32.822426999999998</v>
          </cell>
          <cell r="P1126">
            <v>0.30303030303030298</v>
          </cell>
          <cell r="Q1126">
            <v>15.372989</v>
          </cell>
          <cell r="R1126">
            <v>0.27946127946127902</v>
          </cell>
          <cell r="S1126">
            <v>76.493951999999993</v>
          </cell>
          <cell r="T1126">
            <v>1.1044776119402899</v>
          </cell>
          <cell r="U1126">
            <v>75.346995000000007</v>
          </cell>
          <cell r="V1126">
            <v>1.0907003444316801</v>
          </cell>
        </row>
        <row r="1127">
          <cell r="A1127" t="str">
            <v>069101</v>
          </cell>
          <cell r="B1127">
            <v>1</v>
          </cell>
          <cell r="C1127">
            <v>0</v>
          </cell>
          <cell r="D1127">
            <v>0</v>
          </cell>
          <cell r="E1127">
            <v>0</v>
          </cell>
          <cell r="F1127">
            <v>0</v>
          </cell>
          <cell r="G1127">
            <v>0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25.25</v>
          </cell>
          <cell r="T1127">
            <v>1</v>
          </cell>
          <cell r="U1127">
            <v>25.25</v>
          </cell>
          <cell r="V1127">
            <v>1</v>
          </cell>
        </row>
        <row r="1128">
          <cell r="A1128" t="str">
            <v>069102</v>
          </cell>
          <cell r="B1128">
            <v>533</v>
          </cell>
          <cell r="C1128">
            <v>2249.6725839999999</v>
          </cell>
          <cell r="D1128">
            <v>1.2026266416510301</v>
          </cell>
          <cell r="E1128">
            <v>72.288195999999999</v>
          </cell>
          <cell r="F1128">
            <v>0.60975609756097504</v>
          </cell>
          <cell r="G1128">
            <v>492.19320199999999</v>
          </cell>
          <cell r="H1128">
            <v>0.16604477611940199</v>
          </cell>
          <cell r="I1128">
            <v>10.9291</v>
          </cell>
          <cell r="J1128">
            <v>2.2388059701492501E-2</v>
          </cell>
          <cell r="K1128">
            <v>171.38611499999999</v>
          </cell>
          <cell r="L1128">
            <v>1.1013133208255099</v>
          </cell>
          <cell r="M1128">
            <v>9.2677289999999992</v>
          </cell>
          <cell r="N1128">
            <v>7.69230769230769E-2</v>
          </cell>
          <cell r="O1128">
            <v>53.645479999999999</v>
          </cell>
          <cell r="P1128">
            <v>0.36346516007532897</v>
          </cell>
          <cell r="Q1128">
            <v>53.645479999999999</v>
          </cell>
          <cell r="R1128">
            <v>0.36346516007532897</v>
          </cell>
          <cell r="S1128">
            <v>74.891902000000002</v>
          </cell>
          <cell r="T1128">
            <v>1.20982986767485</v>
          </cell>
          <cell r="U1128">
            <v>74.891902000000002</v>
          </cell>
          <cell r="V1128">
            <v>1.20982986767485</v>
          </cell>
        </row>
        <row r="1129">
          <cell r="A1129" t="str">
            <v>069301</v>
          </cell>
          <cell r="B1129">
            <v>1</v>
          </cell>
          <cell r="C1129">
            <v>0</v>
          </cell>
          <cell r="D1129">
            <v>0</v>
          </cell>
          <cell r="E1129">
            <v>0</v>
          </cell>
          <cell r="F1129">
            <v>0</v>
          </cell>
          <cell r="G1129">
            <v>0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185</v>
          </cell>
          <cell r="P1129">
            <v>1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</row>
        <row r="1130">
          <cell r="A1130" t="str">
            <v>069801</v>
          </cell>
          <cell r="B1130">
            <v>1333.6</v>
          </cell>
          <cell r="C1130">
            <v>673.36780699999997</v>
          </cell>
          <cell r="D1130">
            <v>2.0875643855776298</v>
          </cell>
          <cell r="E1130">
            <v>635.92820099999994</v>
          </cell>
          <cell r="F1130">
            <v>2.07726269315673</v>
          </cell>
          <cell r="G1130">
            <v>170.964786</v>
          </cell>
          <cell r="H1130">
            <v>0.40926064227035103</v>
          </cell>
          <cell r="I1130">
            <v>160.73822000000001</v>
          </cell>
          <cell r="J1130">
            <v>0.38536221060492898</v>
          </cell>
          <cell r="K1130">
            <v>1712.461239</v>
          </cell>
          <cell r="L1130">
            <v>2.4752994011976002</v>
          </cell>
          <cell r="M1130">
            <v>698.04492200000004</v>
          </cell>
          <cell r="N1130">
            <v>1.9917664670658599</v>
          </cell>
          <cell r="O1130">
            <v>346.46973600000001</v>
          </cell>
          <cell r="P1130">
            <v>1.79924812030075</v>
          </cell>
          <cell r="Q1130">
            <v>179.29602700000001</v>
          </cell>
          <cell r="R1130">
            <v>1.69774436090225</v>
          </cell>
          <cell r="S1130">
            <v>106.379498</v>
          </cell>
          <cell r="T1130">
            <v>0.54677914110429404</v>
          </cell>
          <cell r="U1130">
            <v>51.488841999999998</v>
          </cell>
          <cell r="V1130">
            <v>0.30598159509202399</v>
          </cell>
        </row>
        <row r="1131">
          <cell r="A1131" t="str">
            <v>069802</v>
          </cell>
          <cell r="B1131">
            <v>949.88888799999995</v>
          </cell>
          <cell r="C1131">
            <v>1399.24848</v>
          </cell>
          <cell r="D1131">
            <v>4.1193415637859996</v>
          </cell>
          <cell r="E1131">
            <v>1114.5849579999999</v>
          </cell>
          <cell r="F1131">
            <v>3.6687242798353901</v>
          </cell>
          <cell r="G1131">
            <v>107.469719</v>
          </cell>
          <cell r="H1131">
            <v>0.25538461538461499</v>
          </cell>
          <cell r="I1131">
            <v>107.469719</v>
          </cell>
          <cell r="J1131">
            <v>0.25538461538461499</v>
          </cell>
          <cell r="K1131">
            <v>2715.527043</v>
          </cell>
          <cell r="L1131">
            <v>2.8637316561844801</v>
          </cell>
          <cell r="M1131">
            <v>589.82679900000005</v>
          </cell>
          <cell r="N1131">
            <v>1</v>
          </cell>
          <cell r="O1131">
            <v>66.053471000000002</v>
          </cell>
          <cell r="P1131">
            <v>0.37820512820512803</v>
          </cell>
          <cell r="Q1131">
            <v>38.242306999999997</v>
          </cell>
          <cell r="R1131">
            <v>0.28739316239316198</v>
          </cell>
          <cell r="S1131">
            <v>1478.0864309999999</v>
          </cell>
          <cell r="T1131">
            <v>2.1362162162162099</v>
          </cell>
          <cell r="U1131">
            <v>156.891459</v>
          </cell>
          <cell r="V1131">
            <v>1.13405405405405</v>
          </cell>
        </row>
        <row r="1132">
          <cell r="A1132" t="str">
            <v>069803</v>
          </cell>
          <cell r="B1132">
            <v>1342.333333</v>
          </cell>
          <cell r="C1132">
            <v>259.56092200000001</v>
          </cell>
          <cell r="D1132">
            <v>1.1617647058823499</v>
          </cell>
          <cell r="E1132">
            <v>97.041013000000007</v>
          </cell>
          <cell r="F1132">
            <v>1.0786764705882299</v>
          </cell>
          <cell r="G1132">
            <v>405.03238599999997</v>
          </cell>
          <cell r="H1132">
            <v>1.4602821083890101</v>
          </cell>
          <cell r="I1132">
            <v>391.98781200000002</v>
          </cell>
          <cell r="J1132">
            <v>1.4558277654045999</v>
          </cell>
          <cell r="K1132">
            <v>1881.344844</v>
          </cell>
          <cell r="L1132">
            <v>2.5814126394052002</v>
          </cell>
          <cell r="M1132">
            <v>330.28451000000001</v>
          </cell>
          <cell r="N1132">
            <v>1.60817843866171</v>
          </cell>
          <cell r="O1132">
            <v>707.86715400000003</v>
          </cell>
          <cell r="P1132">
            <v>2.6804201050262502</v>
          </cell>
          <cell r="Q1132">
            <v>707.86715400000003</v>
          </cell>
          <cell r="R1132">
            <v>2.6804201050262502</v>
          </cell>
          <cell r="S1132">
            <v>1276.514901</v>
          </cell>
          <cell r="T1132">
            <v>1.8464447806354001</v>
          </cell>
          <cell r="U1132">
            <v>132.96301</v>
          </cell>
          <cell r="V1132">
            <v>0.79878971255673203</v>
          </cell>
        </row>
        <row r="1133">
          <cell r="A1133" t="str">
            <v>069901</v>
          </cell>
          <cell r="B1133">
            <v>2420</v>
          </cell>
          <cell r="C1133">
            <v>301.26002099999999</v>
          </cell>
          <cell r="D1133">
            <v>0.49240246406570798</v>
          </cell>
          <cell r="E1133">
            <v>173.587186</v>
          </cell>
          <cell r="F1133">
            <v>0.34496919917864399</v>
          </cell>
          <cell r="G1133">
            <v>61.073512999999998</v>
          </cell>
          <cell r="H1133">
            <v>0.35540929658576698</v>
          </cell>
          <cell r="I1133">
            <v>27.485206000000002</v>
          </cell>
          <cell r="J1133">
            <v>0.32620320855614898</v>
          </cell>
          <cell r="K1133">
            <v>499.632589</v>
          </cell>
          <cell r="L1133">
            <v>1.6705202312138701</v>
          </cell>
          <cell r="M1133">
            <v>97.750667000000007</v>
          </cell>
          <cell r="N1133">
            <v>1.27497935590421</v>
          </cell>
          <cell r="O1133">
            <v>38.286078000000003</v>
          </cell>
          <cell r="P1133">
            <v>0.510788381742738</v>
          </cell>
          <cell r="Q1133">
            <v>25.551853000000001</v>
          </cell>
          <cell r="R1133">
            <v>0.50414937759335998</v>
          </cell>
          <cell r="S1133">
            <v>2942.188682</v>
          </cell>
          <cell r="T1133">
            <v>1.3351373855120701</v>
          </cell>
          <cell r="U1133">
            <v>100.94143</v>
          </cell>
          <cell r="V1133">
            <v>0.33097418817651902</v>
          </cell>
        </row>
        <row r="1134">
          <cell r="A1134" t="str">
            <v>069902</v>
          </cell>
          <cell r="B1134">
            <v>3001.7777769999998</v>
          </cell>
          <cell r="C1134">
            <v>59.119782000000001</v>
          </cell>
          <cell r="D1134">
            <v>0.540252827677977</v>
          </cell>
          <cell r="E1134">
            <v>59.119782000000001</v>
          </cell>
          <cell r="F1134">
            <v>0.540252827677977</v>
          </cell>
          <cell r="G1134">
            <v>104.945424</v>
          </cell>
          <cell r="H1134">
            <v>0.30878938640132603</v>
          </cell>
          <cell r="I1134">
            <v>23.114746</v>
          </cell>
          <cell r="J1134">
            <v>0.118407960199004</v>
          </cell>
          <cell r="K1134">
            <v>474.85866399999998</v>
          </cell>
          <cell r="L1134">
            <v>1.24850696748506</v>
          </cell>
          <cell r="M1134">
            <v>74.968153999999998</v>
          </cell>
          <cell r="N1134">
            <v>0.77272727272727204</v>
          </cell>
          <cell r="O1134">
            <v>229.433288</v>
          </cell>
          <cell r="P1134">
            <v>1.5482907401261199</v>
          </cell>
          <cell r="Q1134">
            <v>147.40764999999999</v>
          </cell>
          <cell r="R1134">
            <v>0.95917690009956802</v>
          </cell>
          <cell r="S1134">
            <v>3408.5227129999998</v>
          </cell>
          <cell r="T1134">
            <v>2.2598717516031002</v>
          </cell>
          <cell r="U1134">
            <v>147.12523899999999</v>
          </cell>
          <cell r="V1134">
            <v>0.593992575092811</v>
          </cell>
        </row>
        <row r="1135">
          <cell r="A1135" t="str">
            <v>070001</v>
          </cell>
          <cell r="B1135">
            <v>889.8</v>
          </cell>
          <cell r="C1135">
            <v>98.007750000000001</v>
          </cell>
          <cell r="D1135">
            <v>0.16847826086956499</v>
          </cell>
          <cell r="E1135">
            <v>91.325149999999994</v>
          </cell>
          <cell r="F1135">
            <v>0.16304347826086901</v>
          </cell>
          <cell r="G1135">
            <v>241.31393700000001</v>
          </cell>
          <cell r="H1135">
            <v>1.17633928571428</v>
          </cell>
          <cell r="I1135">
            <v>213.710162</v>
          </cell>
          <cell r="J1135">
            <v>1.15178571428571</v>
          </cell>
          <cell r="K1135">
            <v>4859.305574</v>
          </cell>
          <cell r="L1135">
            <v>4.2711864406779601</v>
          </cell>
          <cell r="M1135">
            <v>538.97201500000006</v>
          </cell>
          <cell r="N1135">
            <v>2.5084745762711802</v>
          </cell>
          <cell r="O1135">
            <v>607.13812900000005</v>
          </cell>
          <cell r="P1135">
            <v>1.97269624573378</v>
          </cell>
          <cell r="Q1135">
            <v>251.10690099999999</v>
          </cell>
          <cell r="R1135">
            <v>1.18202502844141</v>
          </cell>
          <cell r="S1135">
            <v>469.57238100000001</v>
          </cell>
          <cell r="T1135">
            <v>0.91829689298043704</v>
          </cell>
          <cell r="U1135">
            <v>454.39274999999998</v>
          </cell>
          <cell r="V1135">
            <v>0.90909090909090895</v>
          </cell>
        </row>
        <row r="1136">
          <cell r="A1136" t="str">
            <v>070002</v>
          </cell>
          <cell r="B1136">
            <v>2312.1999999999998</v>
          </cell>
          <cell r="C1136">
            <v>308.77050500000001</v>
          </cell>
          <cell r="D1136">
            <v>1.33319002579535</v>
          </cell>
          <cell r="E1136">
            <v>268.73070100000001</v>
          </cell>
          <cell r="F1136">
            <v>1.3086844368013699</v>
          </cell>
          <cell r="G1136">
            <v>294.17869999999999</v>
          </cell>
          <cell r="H1136">
            <v>1.73559759243336</v>
          </cell>
          <cell r="I1136">
            <v>130.31822299999999</v>
          </cell>
          <cell r="J1136">
            <v>1.4789337919174499</v>
          </cell>
          <cell r="K1136">
            <v>3845.267018</v>
          </cell>
          <cell r="L1136">
            <v>1.9012931034482701</v>
          </cell>
          <cell r="M1136">
            <v>306.73567500000001</v>
          </cell>
          <cell r="N1136">
            <v>0.75431034482758597</v>
          </cell>
          <cell r="O1136">
            <v>392.67564099999998</v>
          </cell>
          <cell r="P1136">
            <v>0.82207792207792196</v>
          </cell>
          <cell r="Q1136">
            <v>269.57849900000002</v>
          </cell>
          <cell r="R1136">
            <v>0.70216450216450199</v>
          </cell>
          <cell r="S1136">
            <v>672.01178100000004</v>
          </cell>
          <cell r="T1136">
            <v>0.89644580956559805</v>
          </cell>
          <cell r="U1136">
            <v>295.52400899999998</v>
          </cell>
          <cell r="V1136">
            <v>0.75559455901711203</v>
          </cell>
        </row>
        <row r="1137">
          <cell r="A1137" t="str">
            <v>070003</v>
          </cell>
          <cell r="B1137">
            <v>1493.4</v>
          </cell>
          <cell r="C1137">
            <v>424.84230700000001</v>
          </cell>
          <cell r="D1137">
            <v>1.5165728580362701</v>
          </cell>
          <cell r="E1137">
            <v>106.83144900000001</v>
          </cell>
          <cell r="F1137">
            <v>0.46966854283927401</v>
          </cell>
          <cell r="G1137">
            <v>888.37069499999996</v>
          </cell>
          <cell r="H1137">
            <v>1.9828462515883101</v>
          </cell>
          <cell r="I1137">
            <v>202.457078</v>
          </cell>
          <cell r="J1137">
            <v>1.08958068614993</v>
          </cell>
          <cell r="K1137">
            <v>2310.8595310000001</v>
          </cell>
          <cell r="L1137">
            <v>2.3233571893298599</v>
          </cell>
          <cell r="M1137">
            <v>452.55968300000001</v>
          </cell>
          <cell r="N1137">
            <v>1.41249186727391</v>
          </cell>
          <cell r="O1137">
            <v>145.21322900000001</v>
          </cell>
          <cell r="P1137">
            <v>0.63698630136986301</v>
          </cell>
          <cell r="Q1137">
            <v>98.958184000000003</v>
          </cell>
          <cell r="R1137">
            <v>0.510958904109589</v>
          </cell>
          <cell r="S1137">
            <v>699.59440900000004</v>
          </cell>
          <cell r="T1137">
            <v>2.3253662297609798</v>
          </cell>
          <cell r="U1137">
            <v>563.05862200000001</v>
          </cell>
          <cell r="V1137">
            <v>2.2266769468002998</v>
          </cell>
        </row>
        <row r="1138">
          <cell r="A1138" t="str">
            <v>070004</v>
          </cell>
          <cell r="B1138">
            <v>944</v>
          </cell>
          <cell r="C1138">
            <v>1515.456263</v>
          </cell>
          <cell r="D1138">
            <v>1.96777546777546</v>
          </cell>
          <cell r="E1138">
            <v>987.79333599999995</v>
          </cell>
          <cell r="F1138">
            <v>1.3752598752598699</v>
          </cell>
          <cell r="G1138">
            <v>1559.3080649999999</v>
          </cell>
          <cell r="H1138">
            <v>4.69706498951781</v>
          </cell>
          <cell r="I1138">
            <v>1259.420689</v>
          </cell>
          <cell r="J1138">
            <v>4.3511530398322797</v>
          </cell>
          <cell r="K1138">
            <v>3425.1355880000001</v>
          </cell>
          <cell r="L1138">
            <v>1.9714587737843501</v>
          </cell>
          <cell r="M1138">
            <v>170.49090899999999</v>
          </cell>
          <cell r="N1138">
            <v>0.60887949260042196</v>
          </cell>
          <cell r="O1138">
            <v>538.23681599999998</v>
          </cell>
          <cell r="P1138">
            <v>2.1286173633440502</v>
          </cell>
          <cell r="Q1138">
            <v>505.50260800000001</v>
          </cell>
          <cell r="R1138">
            <v>2.1071811361200399</v>
          </cell>
          <cell r="S1138">
            <v>4211.174575</v>
          </cell>
          <cell r="T1138">
            <v>3.91135135135135</v>
          </cell>
          <cell r="U1138">
            <v>3781.2145759999999</v>
          </cell>
          <cell r="V1138">
            <v>3.3924324324324302</v>
          </cell>
        </row>
        <row r="1139">
          <cell r="A1139" t="str">
            <v>070103</v>
          </cell>
          <cell r="B1139">
            <v>14</v>
          </cell>
          <cell r="C1139">
            <v>0</v>
          </cell>
          <cell r="D1139">
            <v>0</v>
          </cell>
          <cell r="E1139">
            <v>0</v>
          </cell>
          <cell r="F1139">
            <v>0</v>
          </cell>
          <cell r="G1139">
            <v>0</v>
          </cell>
          <cell r="H1139">
            <v>0</v>
          </cell>
          <cell r="I1139">
            <v>0</v>
          </cell>
          <cell r="J1139">
            <v>0</v>
          </cell>
          <cell r="K1139">
            <v>76</v>
          </cell>
          <cell r="L1139">
            <v>1</v>
          </cell>
          <cell r="M1139">
            <v>76</v>
          </cell>
          <cell r="N1139">
            <v>1</v>
          </cell>
          <cell r="O1139">
            <v>51.428570999999998</v>
          </cell>
          <cell r="P1139">
            <v>1.0714285714285701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</row>
        <row r="1140">
          <cell r="A1140" t="str">
            <v>070104</v>
          </cell>
          <cell r="B1140">
            <v>1177</v>
          </cell>
          <cell r="C1140">
            <v>101.178765</v>
          </cell>
          <cell r="D1140">
            <v>0.29468177855274602</v>
          </cell>
          <cell r="E1140">
            <v>41.304096999999999</v>
          </cell>
          <cell r="F1140">
            <v>0.24673060156931101</v>
          </cell>
          <cell r="G1140">
            <v>263.19712500000003</v>
          </cell>
          <cell r="H1140">
            <v>0.52886247877758896</v>
          </cell>
          <cell r="I1140">
            <v>136.176547</v>
          </cell>
          <cell r="J1140">
            <v>0.46349745331069597</v>
          </cell>
          <cell r="K1140">
            <v>258.57865500000003</v>
          </cell>
          <cell r="L1140">
            <v>1.12764158918005</v>
          </cell>
          <cell r="M1140">
            <v>101.866117</v>
          </cell>
          <cell r="N1140">
            <v>0.83178360101436999</v>
          </cell>
          <cell r="O1140">
            <v>111.64608699999999</v>
          </cell>
          <cell r="P1140">
            <v>1.38389830508474</v>
          </cell>
          <cell r="Q1140">
            <v>63.204703000000002</v>
          </cell>
          <cell r="R1140">
            <v>0.37118644067796602</v>
          </cell>
          <cell r="S1140">
            <v>707.44360900000004</v>
          </cell>
          <cell r="T1140">
            <v>1.01587301587301</v>
          </cell>
          <cell r="U1140">
            <v>16.343427999999999</v>
          </cell>
          <cell r="V1140">
            <v>0.14202172096908899</v>
          </cell>
        </row>
        <row r="1141">
          <cell r="A1141" t="str">
            <v>070105</v>
          </cell>
          <cell r="B1141">
            <v>1</v>
          </cell>
          <cell r="C1141">
            <v>0</v>
          </cell>
          <cell r="D1141">
            <v>0</v>
          </cell>
          <cell r="E1141">
            <v>0</v>
          </cell>
          <cell r="F1141">
            <v>0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  <cell r="K1141">
            <v>76</v>
          </cell>
          <cell r="L1141">
            <v>1</v>
          </cell>
          <cell r="M1141">
            <v>76</v>
          </cell>
          <cell r="N1141">
            <v>1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</row>
        <row r="1142">
          <cell r="A1142" t="str">
            <v>070201</v>
          </cell>
          <cell r="B1142">
            <v>725.6</v>
          </cell>
          <cell r="C1142">
            <v>183.17103599999999</v>
          </cell>
          <cell r="D1142">
            <v>1.27372764786795</v>
          </cell>
          <cell r="E1142">
            <v>182.971587</v>
          </cell>
          <cell r="F1142">
            <v>1.2723521320495099</v>
          </cell>
          <cell r="G1142">
            <v>268.23327599999999</v>
          </cell>
          <cell r="H1142">
            <v>1.2010943912448699</v>
          </cell>
          <cell r="I1142">
            <v>128.08436499999999</v>
          </cell>
          <cell r="J1142">
            <v>0.87824897400820701</v>
          </cell>
          <cell r="K1142">
            <v>1031.372206</v>
          </cell>
          <cell r="L1142">
            <v>2.5170998632010901</v>
          </cell>
          <cell r="M1142">
            <v>339.33128099999999</v>
          </cell>
          <cell r="N1142">
            <v>1.7359781121750999</v>
          </cell>
          <cell r="O1142">
            <v>586.38385900000003</v>
          </cell>
          <cell r="P1142">
            <v>1.5467032967032901</v>
          </cell>
          <cell r="Q1142">
            <v>136.58587399999999</v>
          </cell>
          <cell r="R1142">
            <v>0.93818681318681296</v>
          </cell>
          <cell r="S1142">
            <v>755.18633299999999</v>
          </cell>
          <cell r="T1142">
            <v>2.6933895921237601</v>
          </cell>
          <cell r="U1142">
            <v>265.28776299999998</v>
          </cell>
          <cell r="V1142">
            <v>1.75949367088607</v>
          </cell>
        </row>
        <row r="1143">
          <cell r="A1143" t="str">
            <v>070202</v>
          </cell>
          <cell r="B1143">
            <v>834</v>
          </cell>
          <cell r="C1143">
            <v>194.34951799999999</v>
          </cell>
          <cell r="D1143">
            <v>1.42198581560283</v>
          </cell>
          <cell r="E1143">
            <v>194.150937</v>
          </cell>
          <cell r="F1143">
            <v>1.4208037825059101</v>
          </cell>
          <cell r="G1143">
            <v>71.694283999999996</v>
          </cell>
          <cell r="H1143">
            <v>0.70308788598574801</v>
          </cell>
          <cell r="I1143">
            <v>57.089253999999997</v>
          </cell>
          <cell r="J1143">
            <v>0.52612826603325402</v>
          </cell>
          <cell r="K1143">
            <v>1004.669002</v>
          </cell>
          <cell r="L1143">
            <v>2.1805225653206599</v>
          </cell>
          <cell r="M1143">
            <v>544.51144099999999</v>
          </cell>
          <cell r="N1143">
            <v>1.7921615201900201</v>
          </cell>
          <cell r="O1143">
            <v>360.28868199999999</v>
          </cell>
          <cell r="P1143">
            <v>0.43436754176610898</v>
          </cell>
          <cell r="Q1143">
            <v>65.646877000000003</v>
          </cell>
          <cell r="R1143">
            <v>0.211217183770883</v>
          </cell>
          <cell r="S1143">
            <v>366.50935099999998</v>
          </cell>
          <cell r="T1143">
            <v>2.3491271820448798</v>
          </cell>
          <cell r="U1143">
            <v>269.217851</v>
          </cell>
          <cell r="V1143">
            <v>2.12842892768079</v>
          </cell>
        </row>
        <row r="1144">
          <cell r="A1144" t="str">
            <v>070301</v>
          </cell>
          <cell r="B1144">
            <v>114.66666600000001</v>
          </cell>
          <cell r="C1144">
            <v>0</v>
          </cell>
          <cell r="D1144">
            <v>0</v>
          </cell>
          <cell r="E1144">
            <v>0</v>
          </cell>
          <cell r="F1144">
            <v>0</v>
          </cell>
          <cell r="G1144">
            <v>0</v>
          </cell>
          <cell r="H1144">
            <v>0</v>
          </cell>
          <cell r="I1144">
            <v>0</v>
          </cell>
          <cell r="J1144">
            <v>0</v>
          </cell>
          <cell r="K1144">
            <v>204.05399399999999</v>
          </cell>
          <cell r="L1144">
            <v>1.2066115702479301</v>
          </cell>
          <cell r="M1144">
            <v>204.05399399999999</v>
          </cell>
          <cell r="N1144">
            <v>1.2066115702479301</v>
          </cell>
          <cell r="O1144">
            <v>88.294641999999996</v>
          </cell>
          <cell r="P1144">
            <v>1.0803571428571399</v>
          </cell>
          <cell r="Q1144">
            <v>88.294641999999996</v>
          </cell>
          <cell r="R1144">
            <v>1.0803571428571399</v>
          </cell>
          <cell r="S1144">
            <v>304.79204199999998</v>
          </cell>
          <cell r="T1144">
            <v>1.21621621621621</v>
          </cell>
          <cell r="U1144">
            <v>304.79204199999998</v>
          </cell>
          <cell r="V1144">
            <v>1.21621621621621</v>
          </cell>
        </row>
        <row r="1145">
          <cell r="A1145" t="str">
            <v>070302</v>
          </cell>
          <cell r="B1145">
            <v>7</v>
          </cell>
          <cell r="C1145">
            <v>17.444990000000001</v>
          </cell>
          <cell r="D1145">
            <v>0.14285714285714199</v>
          </cell>
          <cell r="E1145">
            <v>17.444990000000001</v>
          </cell>
          <cell r="F1145">
            <v>0.14285714285714199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</row>
        <row r="1146">
          <cell r="A1146" t="str">
            <v>070304</v>
          </cell>
          <cell r="B1146">
            <v>395.85714200000001</v>
          </cell>
          <cell r="C1146">
            <v>8133.98081</v>
          </cell>
          <cell r="D1146">
            <v>4.0373134328358198</v>
          </cell>
          <cell r="E1146">
            <v>447.81644</v>
          </cell>
          <cell r="F1146">
            <v>1.14925373134328</v>
          </cell>
          <cell r="G1146">
            <v>18.888033</v>
          </cell>
          <cell r="H1146">
            <v>0.13399503722084299</v>
          </cell>
          <cell r="I1146">
            <v>16.545182</v>
          </cell>
          <cell r="J1146">
            <v>0.131513647642679</v>
          </cell>
          <cell r="K1146">
            <v>345.74604299999999</v>
          </cell>
          <cell r="L1146">
            <v>1.1565656565656499</v>
          </cell>
          <cell r="M1146">
            <v>345.74604299999999</v>
          </cell>
          <cell r="N1146">
            <v>1.1565656565656499</v>
          </cell>
          <cell r="O1146">
            <v>279.62510600000002</v>
          </cell>
          <cell r="P1146">
            <v>1.81679389312977</v>
          </cell>
          <cell r="Q1146">
            <v>279.62510600000002</v>
          </cell>
          <cell r="R1146">
            <v>1.81679389312977</v>
          </cell>
          <cell r="S1146">
            <v>231.319041</v>
          </cell>
          <cell r="T1146">
            <v>1.1182795698924699</v>
          </cell>
          <cell r="U1146">
            <v>231.319041</v>
          </cell>
          <cell r="V1146">
            <v>1.1182795698924699</v>
          </cell>
        </row>
        <row r="1147">
          <cell r="A1147" t="str">
            <v>070305</v>
          </cell>
          <cell r="B1147">
            <v>1251.6666660000001</v>
          </cell>
          <cell r="C1147">
            <v>2596.7494929999998</v>
          </cell>
          <cell r="D1147">
            <v>0.90352220520673798</v>
          </cell>
          <cell r="E1147">
            <v>5.1574039999999997</v>
          </cell>
          <cell r="F1147">
            <v>1.9142419601837601E-2</v>
          </cell>
          <cell r="G1147">
            <v>3.187595</v>
          </cell>
          <cell r="H1147">
            <v>0.109173616376042</v>
          </cell>
          <cell r="I1147">
            <v>2.672434</v>
          </cell>
          <cell r="J1147">
            <v>0.108415466262319</v>
          </cell>
          <cell r="K1147">
            <v>30.319576000000001</v>
          </cell>
          <cell r="L1147">
            <v>0.219198790627362</v>
          </cell>
          <cell r="M1147">
            <v>30.319576000000001</v>
          </cell>
          <cell r="N1147">
            <v>0.219198790627362</v>
          </cell>
          <cell r="O1147">
            <v>403.39682099999999</v>
          </cell>
          <cell r="P1147">
            <v>1.4279869067103099</v>
          </cell>
          <cell r="Q1147">
            <v>283.81592999999998</v>
          </cell>
          <cell r="R1147">
            <v>1.38788870703764</v>
          </cell>
          <cell r="S1147">
            <v>8.0762889999999992</v>
          </cell>
          <cell r="T1147">
            <v>0.100533807829181</v>
          </cell>
          <cell r="U1147">
            <v>7.3741099999999999</v>
          </cell>
          <cell r="V1147">
            <v>6.4056939501779306E-2</v>
          </cell>
        </row>
        <row r="1148">
          <cell r="A1148" t="str">
            <v>070401</v>
          </cell>
          <cell r="B1148">
            <v>1285.8</v>
          </cell>
          <cell r="C1148">
            <v>5138.4240909999999</v>
          </cell>
          <cell r="D1148">
            <v>1.74728682170542</v>
          </cell>
          <cell r="E1148">
            <v>219.97708</v>
          </cell>
          <cell r="F1148">
            <v>0.43875968992247999</v>
          </cell>
          <cell r="G1148">
            <v>133.38441</v>
          </cell>
          <cell r="H1148">
            <v>0.16083916083916</v>
          </cell>
          <cell r="I1148">
            <v>41.856732000000001</v>
          </cell>
          <cell r="J1148">
            <v>0.108003108003108</v>
          </cell>
          <cell r="K1148">
            <v>891.54542700000002</v>
          </cell>
          <cell r="L1148">
            <v>0.83682983682983603</v>
          </cell>
          <cell r="M1148">
            <v>70.237373000000005</v>
          </cell>
          <cell r="N1148">
            <v>0.30924630924630903</v>
          </cell>
          <cell r="O1148">
            <v>185.50244000000001</v>
          </cell>
          <cell r="P1148">
            <v>0.49688473520249199</v>
          </cell>
          <cell r="Q1148">
            <v>149.879491</v>
          </cell>
          <cell r="R1148">
            <v>0.36059190031152599</v>
          </cell>
          <cell r="S1148">
            <v>222.524732</v>
          </cell>
          <cell r="T1148">
            <v>1.39656518345042</v>
          </cell>
          <cell r="U1148">
            <v>154.04232300000001</v>
          </cell>
          <cell r="V1148">
            <v>1.3122560499609599</v>
          </cell>
        </row>
        <row r="1149">
          <cell r="A1149" t="str">
            <v>070402</v>
          </cell>
          <cell r="B1149">
            <v>1376</v>
          </cell>
          <cell r="C1149">
            <v>3006.6329270000001</v>
          </cell>
          <cell r="D1149">
            <v>2.1894049346879498</v>
          </cell>
          <cell r="E1149">
            <v>181.58193499999999</v>
          </cell>
          <cell r="F1149">
            <v>0.62119013062409201</v>
          </cell>
          <cell r="G1149">
            <v>496.94073200000003</v>
          </cell>
          <cell r="H1149">
            <v>1.3454281567489099</v>
          </cell>
          <cell r="I1149">
            <v>323.24391900000001</v>
          </cell>
          <cell r="J1149">
            <v>1.2568940493468701</v>
          </cell>
          <cell r="K1149">
            <v>92.419376999999997</v>
          </cell>
          <cell r="L1149">
            <v>0.273783587509077</v>
          </cell>
          <cell r="M1149">
            <v>46.593657</v>
          </cell>
          <cell r="N1149">
            <v>0.22076978939724001</v>
          </cell>
          <cell r="O1149">
            <v>226.306804</v>
          </cell>
          <cell r="P1149">
            <v>0.69868995633187703</v>
          </cell>
          <cell r="Q1149">
            <v>128.326504</v>
          </cell>
          <cell r="R1149">
            <v>0.50145560407569101</v>
          </cell>
          <cell r="S1149">
            <v>116.878294</v>
          </cell>
          <cell r="T1149">
            <v>0.59067734887108503</v>
          </cell>
          <cell r="U1149">
            <v>89.504611999999995</v>
          </cell>
          <cell r="V1149">
            <v>0.51857246904588405</v>
          </cell>
        </row>
        <row r="1150">
          <cell r="A1150" t="str">
            <v>070501</v>
          </cell>
          <cell r="B1150">
            <v>1326.25</v>
          </cell>
          <cell r="C1150">
            <v>0</v>
          </cell>
          <cell r="D1150">
            <v>0</v>
          </cell>
          <cell r="E1150">
            <v>0</v>
          </cell>
          <cell r="F1150">
            <v>0</v>
          </cell>
          <cell r="G1150">
            <v>67.480474000000001</v>
          </cell>
          <cell r="H1150">
            <v>1.12164179104477</v>
          </cell>
          <cell r="I1150">
            <v>61.792603999999997</v>
          </cell>
          <cell r="J1150">
            <v>1.09925373134328</v>
          </cell>
          <cell r="K1150">
            <v>835.93877899999995</v>
          </cell>
          <cell r="L1150">
            <v>2.7160030052591999</v>
          </cell>
          <cell r="M1150">
            <v>419.62767300000002</v>
          </cell>
          <cell r="N1150">
            <v>2.4800901577760999</v>
          </cell>
          <cell r="O1150">
            <v>198.71749600000001</v>
          </cell>
          <cell r="P1150">
            <v>1.48716012084592</v>
          </cell>
          <cell r="Q1150">
            <v>144.64520300000001</v>
          </cell>
          <cell r="R1150">
            <v>1.39954682779456</v>
          </cell>
          <cell r="S1150">
            <v>60.456004</v>
          </cell>
          <cell r="T1150">
            <v>0.33435114503816699</v>
          </cell>
          <cell r="U1150">
            <v>57.084910000000001</v>
          </cell>
          <cell r="V1150">
            <v>0.32748091603053398</v>
          </cell>
        </row>
        <row r="1151">
          <cell r="A1151" t="str">
            <v>070502</v>
          </cell>
          <cell r="B1151">
            <v>737.5</v>
          </cell>
          <cell r="C1151">
            <v>0</v>
          </cell>
          <cell r="D1151">
            <v>0</v>
          </cell>
          <cell r="E1151">
            <v>0</v>
          </cell>
          <cell r="F1151">
            <v>0</v>
          </cell>
          <cell r="G1151">
            <v>124.700456</v>
          </cell>
          <cell r="H1151">
            <v>1.4506089309878201</v>
          </cell>
          <cell r="I1151">
            <v>124.700456</v>
          </cell>
          <cell r="J1151">
            <v>1.4506089309878201</v>
          </cell>
          <cell r="K1151">
            <v>507.30266399999999</v>
          </cell>
          <cell r="L1151">
            <v>2.2547425474254701</v>
          </cell>
          <cell r="M1151">
            <v>333.588166</v>
          </cell>
          <cell r="N1151">
            <v>2.1504065040650402</v>
          </cell>
          <cell r="O1151">
            <v>261.197157</v>
          </cell>
          <cell r="P1151">
            <v>1.1569688768606201</v>
          </cell>
          <cell r="Q1151">
            <v>17.340685000000001</v>
          </cell>
          <cell r="R1151">
            <v>0.11637347767253001</v>
          </cell>
          <cell r="S1151">
            <v>40.716712000000001</v>
          </cell>
          <cell r="T1151">
            <v>0.13387978142076501</v>
          </cell>
          <cell r="U1151">
            <v>40.716712000000001</v>
          </cell>
          <cell r="V1151">
            <v>0.13387978142076501</v>
          </cell>
        </row>
        <row r="1152">
          <cell r="A1152" t="str">
            <v>070601</v>
          </cell>
          <cell r="B1152">
            <v>899.25</v>
          </cell>
          <cell r="C1152">
            <v>36.554797000000001</v>
          </cell>
          <cell r="D1152">
            <v>0.24382716049382699</v>
          </cell>
          <cell r="E1152">
            <v>36.554797000000001</v>
          </cell>
          <cell r="F1152">
            <v>0.24382716049382699</v>
          </cell>
          <cell r="G1152">
            <v>269.27193299999999</v>
          </cell>
          <cell r="H1152">
            <v>1.33737373737373</v>
          </cell>
          <cell r="I1152">
            <v>269.27193299999999</v>
          </cell>
          <cell r="J1152">
            <v>1.33737373737373</v>
          </cell>
          <cell r="K1152">
            <v>178.36364599999999</v>
          </cell>
          <cell r="L1152">
            <v>7.8947368421052599E-2</v>
          </cell>
          <cell r="M1152">
            <v>0.99665899999999996</v>
          </cell>
          <cell r="N1152">
            <v>1.8218623481781299E-2</v>
          </cell>
          <cell r="O1152">
            <v>8.9958150000000003</v>
          </cell>
          <cell r="P1152">
            <v>7.69230769230769E-2</v>
          </cell>
          <cell r="Q1152">
            <v>5.5268040000000003</v>
          </cell>
          <cell r="R1152">
            <v>6.5789473684210495E-2</v>
          </cell>
          <cell r="S1152">
            <v>125.76564999999999</v>
          </cell>
          <cell r="T1152">
            <v>0.25156250000000002</v>
          </cell>
          <cell r="U1152">
            <v>23.296821999999999</v>
          </cell>
          <cell r="V1152">
            <v>0.16250000000000001</v>
          </cell>
        </row>
        <row r="1153">
          <cell r="A1153" t="str">
            <v>070602</v>
          </cell>
          <cell r="B1153">
            <v>82.4</v>
          </cell>
          <cell r="C1153">
            <v>0</v>
          </cell>
          <cell r="D1153">
            <v>0</v>
          </cell>
          <cell r="E1153">
            <v>0</v>
          </cell>
          <cell r="F1153">
            <v>0</v>
          </cell>
          <cell r="G1153">
            <v>2.7105969999999999</v>
          </cell>
          <cell r="H1153">
            <v>1.0752688172042999E-2</v>
          </cell>
          <cell r="I1153">
            <v>2.7105969999999999</v>
          </cell>
          <cell r="J1153">
            <v>1.0752688172042999E-2</v>
          </cell>
          <cell r="K1153">
            <v>2071.7747300000001</v>
          </cell>
          <cell r="L1153">
            <v>4.9784946236559096</v>
          </cell>
          <cell r="M1153">
            <v>389.24139700000001</v>
          </cell>
          <cell r="N1153">
            <v>3.97849462365591</v>
          </cell>
          <cell r="O1153">
            <v>3863.7505430000001</v>
          </cell>
          <cell r="P1153">
            <v>4.63043478260869</v>
          </cell>
          <cell r="Q1153">
            <v>0</v>
          </cell>
          <cell r="R1153">
            <v>0</v>
          </cell>
          <cell r="S1153">
            <v>1.326829</v>
          </cell>
          <cell r="T1153">
            <v>2.4390243902439001E-2</v>
          </cell>
          <cell r="U1153">
            <v>1.326829</v>
          </cell>
          <cell r="V1153">
            <v>2.4390243902439001E-2</v>
          </cell>
        </row>
        <row r="1154">
          <cell r="A1154" t="str">
            <v>070603</v>
          </cell>
          <cell r="B1154">
            <v>1101.5555549999999</v>
          </cell>
          <cell r="C1154">
            <v>128.034018</v>
          </cell>
          <cell r="D1154">
            <v>0.23890784982935101</v>
          </cell>
          <cell r="E1154">
            <v>128.034018</v>
          </cell>
          <cell r="F1154">
            <v>0.23890784982935101</v>
          </cell>
          <cell r="G1154">
            <v>145.502486</v>
          </cell>
          <cell r="H1154">
            <v>1.6157059314954001</v>
          </cell>
          <cell r="I1154">
            <v>142.74899500000001</v>
          </cell>
          <cell r="J1154">
            <v>1.61152882205513</v>
          </cell>
          <cell r="K1154">
            <v>21.134167000000001</v>
          </cell>
          <cell r="L1154">
            <v>0.14858096828046699</v>
          </cell>
          <cell r="M1154">
            <v>3.6851410000000002</v>
          </cell>
          <cell r="N1154">
            <v>6.8447412353923195E-2</v>
          </cell>
          <cell r="O1154">
            <v>25.266929999999999</v>
          </cell>
          <cell r="P1154">
            <v>0.167364016736401</v>
          </cell>
          <cell r="Q1154">
            <v>16.056331</v>
          </cell>
          <cell r="R1154">
            <v>0.100418410041841</v>
          </cell>
          <cell r="S1154">
            <v>138.78787800000001</v>
          </cell>
          <cell r="T1154">
            <v>0.41741357234314902</v>
          </cell>
          <cell r="U1154">
            <v>137.232437</v>
          </cell>
          <cell r="V1154">
            <v>0.41613316261203498</v>
          </cell>
        </row>
        <row r="1155">
          <cell r="A1155" t="str">
            <v>070604</v>
          </cell>
          <cell r="B1155">
            <v>1021.125</v>
          </cell>
          <cell r="C1155">
            <v>21.691521999999999</v>
          </cell>
          <cell r="D1155">
            <v>0.27370304114490102</v>
          </cell>
          <cell r="E1155">
            <v>19.391552000000001</v>
          </cell>
          <cell r="F1155">
            <v>0.25491949910554501</v>
          </cell>
          <cell r="G1155">
            <v>262.74984799999999</v>
          </cell>
          <cell r="H1155">
            <v>1.6666666666666601</v>
          </cell>
          <cell r="I1155">
            <v>262.74984799999999</v>
          </cell>
          <cell r="J1155">
            <v>1.6666666666666601</v>
          </cell>
          <cell r="K1155">
            <v>413.70418100000001</v>
          </cell>
          <cell r="L1155">
            <v>0.25446428571428498</v>
          </cell>
          <cell r="M1155">
            <v>12.353497000000001</v>
          </cell>
          <cell r="N1155">
            <v>9.01785714285714E-2</v>
          </cell>
          <cell r="O1155">
            <v>16.800312000000002</v>
          </cell>
          <cell r="P1155">
            <v>0.113392857142857</v>
          </cell>
          <cell r="Q1155">
            <v>16.800312000000002</v>
          </cell>
          <cell r="R1155">
            <v>0.113392857142857</v>
          </cell>
          <cell r="S1155">
            <v>445.23780299999999</v>
          </cell>
          <cell r="T1155">
            <v>0.41540577716643701</v>
          </cell>
          <cell r="U1155">
            <v>68.919257000000002</v>
          </cell>
          <cell r="V1155">
            <v>0.30674002751031598</v>
          </cell>
        </row>
        <row r="1156">
          <cell r="A1156" t="str">
            <v>070701</v>
          </cell>
          <cell r="B1156">
            <v>707.22222199999999</v>
          </cell>
          <cell r="C1156">
            <v>91.442949999999996</v>
          </cell>
          <cell r="D1156">
            <v>0.58625525946704005</v>
          </cell>
          <cell r="E1156">
            <v>91.442949999999996</v>
          </cell>
          <cell r="F1156">
            <v>0.58625525946704005</v>
          </cell>
          <cell r="G1156">
            <v>31.754055999999999</v>
          </cell>
          <cell r="H1156">
            <v>0.18117977528089799</v>
          </cell>
          <cell r="I1156">
            <v>27.348182000000001</v>
          </cell>
          <cell r="J1156">
            <v>0.17837078651685301</v>
          </cell>
          <cell r="K1156">
            <v>1179.4082739999999</v>
          </cell>
          <cell r="L1156">
            <v>0.69790209790209701</v>
          </cell>
          <cell r="M1156">
            <v>25.649417</v>
          </cell>
          <cell r="N1156">
            <v>0.16643356643356599</v>
          </cell>
          <cell r="O1156">
            <v>35.006962999999999</v>
          </cell>
          <cell r="P1156">
            <v>0.15580736543909299</v>
          </cell>
          <cell r="Q1156">
            <v>34.074337999999997</v>
          </cell>
          <cell r="R1156">
            <v>0.154390934844192</v>
          </cell>
          <cell r="S1156">
            <v>419.00187499999998</v>
          </cell>
          <cell r="T1156">
            <v>2.3650793650793598</v>
          </cell>
          <cell r="U1156">
            <v>184.57166900000001</v>
          </cell>
          <cell r="V1156">
            <v>2.1933621933621898</v>
          </cell>
        </row>
        <row r="1157">
          <cell r="A1157" t="str">
            <v>070703</v>
          </cell>
          <cell r="B1157">
            <v>322.16666600000002</v>
          </cell>
          <cell r="C1157">
            <v>12.802099</v>
          </cell>
          <cell r="D1157">
            <v>0.14705882352941099</v>
          </cell>
          <cell r="E1157">
            <v>12.802099</v>
          </cell>
          <cell r="F1157">
            <v>0.14705882352941099</v>
          </cell>
          <cell r="G1157">
            <v>129.63893300000001</v>
          </cell>
          <cell r="H1157">
            <v>0.91150442477876104</v>
          </cell>
          <cell r="I1157">
            <v>129.63893300000001</v>
          </cell>
          <cell r="J1157">
            <v>0.91150442477876104</v>
          </cell>
          <cell r="K1157">
            <v>61.615825000000001</v>
          </cell>
          <cell r="L1157">
            <v>1.21848739495798</v>
          </cell>
          <cell r="M1157">
            <v>50.823948999999999</v>
          </cell>
          <cell r="N1157">
            <v>1.2156862745098</v>
          </cell>
          <cell r="O1157">
            <v>0.29169</v>
          </cell>
          <cell r="P1157">
            <v>2.8169014084507E-3</v>
          </cell>
          <cell r="Q1157">
            <v>0.29169</v>
          </cell>
          <cell r="R1157">
            <v>2.8169014084507E-3</v>
          </cell>
          <cell r="S1157">
            <v>19.078648000000001</v>
          </cell>
          <cell r="T1157">
            <v>0.40540540540540498</v>
          </cell>
          <cell r="U1157">
            <v>19.078648000000001</v>
          </cell>
          <cell r="V1157">
            <v>0.40540540540540498</v>
          </cell>
        </row>
        <row r="1158">
          <cell r="A1158" t="str">
            <v>070704</v>
          </cell>
          <cell r="B1158">
            <v>22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  <cell r="G1158">
            <v>12.865925000000001</v>
          </cell>
          <cell r="H1158">
            <v>4.54545454545454E-2</v>
          </cell>
          <cell r="I1158">
            <v>12.865925000000001</v>
          </cell>
          <cell r="J1158">
            <v>4.54545454545454E-2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</row>
        <row r="1159">
          <cell r="A1159" t="str">
            <v>070801</v>
          </cell>
          <cell r="B1159">
            <v>1659.4</v>
          </cell>
          <cell r="C1159">
            <v>315.4726</v>
          </cell>
          <cell r="D1159">
            <v>0.82879146919431201</v>
          </cell>
          <cell r="E1159">
            <v>57.907304000000003</v>
          </cell>
          <cell r="F1159">
            <v>0.244075829383886</v>
          </cell>
          <cell r="G1159">
            <v>749.00050199999998</v>
          </cell>
          <cell r="H1159">
            <v>2.3219137625516799</v>
          </cell>
          <cell r="I1159">
            <v>19.836219</v>
          </cell>
          <cell r="J1159">
            <v>0.91376255168340204</v>
          </cell>
          <cell r="K1159">
            <v>127.02940700000001</v>
          </cell>
          <cell r="L1159">
            <v>0.92069171138938499</v>
          </cell>
          <cell r="M1159">
            <v>75.182338999999999</v>
          </cell>
          <cell r="N1159">
            <v>0.90339892665473998</v>
          </cell>
          <cell r="O1159">
            <v>164.81482600000001</v>
          </cell>
          <cell r="P1159">
            <v>1.2675709001233</v>
          </cell>
          <cell r="Q1159">
            <v>163.38915900000001</v>
          </cell>
          <cell r="R1159">
            <v>1.26510480887792</v>
          </cell>
          <cell r="S1159">
            <v>329.49783500000001</v>
          </cell>
          <cell r="T1159">
            <v>1.23747680890538</v>
          </cell>
          <cell r="U1159">
            <v>100.18205500000001</v>
          </cell>
          <cell r="V1159">
            <v>0.83858998144712404</v>
          </cell>
        </row>
        <row r="1160">
          <cell r="A1160" t="str">
            <v>070802</v>
          </cell>
          <cell r="B1160">
            <v>929</v>
          </cell>
          <cell r="C1160">
            <v>10.77075</v>
          </cell>
          <cell r="D1160">
            <v>5.6350626118067897E-2</v>
          </cell>
          <cell r="E1160">
            <v>9.8672620000000002</v>
          </cell>
          <cell r="F1160">
            <v>5.5456171735241498E-2</v>
          </cell>
          <cell r="G1160">
            <v>395.03999700000003</v>
          </cell>
          <cell r="H1160">
            <v>0.49808795411089801</v>
          </cell>
          <cell r="I1160">
            <v>49.360008000000001</v>
          </cell>
          <cell r="J1160">
            <v>0.19024856596558301</v>
          </cell>
          <cell r="K1160">
            <v>116.53115</v>
          </cell>
          <cell r="L1160">
            <v>0.24952561669829201</v>
          </cell>
          <cell r="M1160">
            <v>13.585594</v>
          </cell>
          <cell r="N1160">
            <v>0.18785578747628001</v>
          </cell>
          <cell r="O1160">
            <v>751.58055200000001</v>
          </cell>
          <cell r="P1160">
            <v>3.2374877330716298</v>
          </cell>
          <cell r="Q1160">
            <v>164.308325</v>
          </cell>
          <cell r="R1160">
            <v>2.17762512266928</v>
          </cell>
          <cell r="S1160">
            <v>1475.838847</v>
          </cell>
          <cell r="T1160">
            <v>1.8357843137254899</v>
          </cell>
          <cell r="U1160">
            <v>711.42790000000002</v>
          </cell>
          <cell r="V1160">
            <v>1.56617647058823</v>
          </cell>
        </row>
        <row r="1161">
          <cell r="A1161" t="str">
            <v>070803</v>
          </cell>
          <cell r="B1161">
            <v>1</v>
          </cell>
          <cell r="C1161">
            <v>0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43.316665999999998</v>
          </cell>
          <cell r="P1161">
            <v>1</v>
          </cell>
          <cell r="Q1161">
            <v>43.316665999999998</v>
          </cell>
          <cell r="R1161">
            <v>1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</row>
        <row r="1162">
          <cell r="A1162" t="str">
            <v>070901</v>
          </cell>
          <cell r="B1162">
            <v>435.2</v>
          </cell>
          <cell r="C1162">
            <v>156.13105200000001</v>
          </cell>
          <cell r="D1162">
            <v>0.420323325635103</v>
          </cell>
          <cell r="E1162">
            <v>49.519703</v>
          </cell>
          <cell r="F1162">
            <v>0.31408775981524201</v>
          </cell>
          <cell r="G1162">
            <v>1927.5606600000001</v>
          </cell>
          <cell r="H1162">
            <v>1.17808219178082</v>
          </cell>
          <cell r="I1162">
            <v>50.949883999999997</v>
          </cell>
          <cell r="J1162">
            <v>0.25342465753424598</v>
          </cell>
          <cell r="K1162">
            <v>450.12488400000001</v>
          </cell>
          <cell r="L1162">
            <v>1.53669724770642</v>
          </cell>
          <cell r="M1162">
            <v>321.00114600000001</v>
          </cell>
          <cell r="N1162">
            <v>1.4931192660550401</v>
          </cell>
          <cell r="O1162">
            <v>225.484782</v>
          </cell>
          <cell r="P1162">
            <v>0.64302059496567499</v>
          </cell>
          <cell r="Q1162">
            <v>221.55915300000001</v>
          </cell>
          <cell r="R1162">
            <v>0.60869565217391297</v>
          </cell>
          <cell r="S1162">
            <v>1609.3501530000001</v>
          </cell>
          <cell r="T1162">
            <v>2.6249999999999898</v>
          </cell>
          <cell r="U1162">
            <v>476.51288499999998</v>
          </cell>
          <cell r="V1162">
            <v>2.0717592592592502</v>
          </cell>
        </row>
        <row r="1163">
          <cell r="A1163" t="str">
            <v>070902</v>
          </cell>
          <cell r="B1163">
            <v>837</v>
          </cell>
          <cell r="C1163">
            <v>467.55852299999998</v>
          </cell>
          <cell r="D1163">
            <v>2.8040404040403999</v>
          </cell>
          <cell r="E1163">
            <v>433.72700600000002</v>
          </cell>
          <cell r="F1163">
            <v>2.6121212121212101</v>
          </cell>
          <cell r="G1163">
            <v>2216.1286559999999</v>
          </cell>
          <cell r="H1163">
            <v>2.0234541577825098</v>
          </cell>
          <cell r="I1163">
            <v>219.648505</v>
          </cell>
          <cell r="J1163">
            <v>1.0660980810234499</v>
          </cell>
          <cell r="K1163">
            <v>4250.925561</v>
          </cell>
          <cell r="L1163">
            <v>2.4833869239013899</v>
          </cell>
          <cell r="M1163">
            <v>298.729849</v>
          </cell>
          <cell r="N1163">
            <v>0.95069667738478003</v>
          </cell>
          <cell r="O1163">
            <v>190.25067200000001</v>
          </cell>
          <cell r="P1163">
            <v>0.62813522355507001</v>
          </cell>
          <cell r="Q1163">
            <v>68.672210000000007</v>
          </cell>
          <cell r="R1163">
            <v>0.45038167938931201</v>
          </cell>
          <cell r="S1163">
            <v>982.25003600000002</v>
          </cell>
          <cell r="T1163">
            <v>1.9944567627494401</v>
          </cell>
          <cell r="U1163">
            <v>280.11075299999999</v>
          </cell>
          <cell r="V1163">
            <v>1.0310421286031</v>
          </cell>
        </row>
        <row r="1164">
          <cell r="A1164" t="str">
            <v>071001</v>
          </cell>
          <cell r="B1164">
            <v>1287.8</v>
          </cell>
          <cell r="C1164">
            <v>418.898595</v>
          </cell>
          <cell r="D1164">
            <v>2.7664122137404501</v>
          </cell>
          <cell r="E1164">
            <v>417.99798600000003</v>
          </cell>
          <cell r="F1164">
            <v>2.7641221374045801</v>
          </cell>
          <cell r="G1164">
            <v>558.54192699999999</v>
          </cell>
          <cell r="H1164">
            <v>2.20354664610639</v>
          </cell>
          <cell r="I1164">
            <v>311.148639</v>
          </cell>
          <cell r="J1164">
            <v>2.03700848111025</v>
          </cell>
          <cell r="K1164">
            <v>2018.089829</v>
          </cell>
          <cell r="L1164">
            <v>2.9466357308584601</v>
          </cell>
          <cell r="M1164">
            <v>285.03664600000002</v>
          </cell>
          <cell r="N1164">
            <v>1.53132250580046</v>
          </cell>
          <cell r="O1164">
            <v>1412.4721259999999</v>
          </cell>
          <cell r="P1164">
            <v>2.8049921996879799</v>
          </cell>
          <cell r="Q1164">
            <v>282.903549</v>
          </cell>
          <cell r="R1164">
            <v>1.6739469578783099</v>
          </cell>
          <cell r="S1164">
            <v>1313.17551</v>
          </cell>
          <cell r="T1164">
            <v>3.53460620525059</v>
          </cell>
          <cell r="U1164">
            <v>1009.711681</v>
          </cell>
          <cell r="V1164">
            <v>2.63007159904534</v>
          </cell>
        </row>
        <row r="1165">
          <cell r="A1165" t="str">
            <v>071002</v>
          </cell>
          <cell r="B1165">
            <v>807.88888799999995</v>
          </cell>
          <cell r="C1165">
            <v>270.028299</v>
          </cell>
          <cell r="D1165">
            <v>2.1939393939393899</v>
          </cell>
          <cell r="E1165">
            <v>270.028299</v>
          </cell>
          <cell r="F1165">
            <v>2.1939393939393899</v>
          </cell>
          <cell r="G1165">
            <v>430.182322</v>
          </cell>
          <cell r="H1165">
            <v>0.64669926650366705</v>
          </cell>
          <cell r="I1165">
            <v>37.700040999999999</v>
          </cell>
          <cell r="J1165">
            <v>0.27628361858190698</v>
          </cell>
          <cell r="K1165">
            <v>1611.083699</v>
          </cell>
          <cell r="L1165">
            <v>1.69155446756425</v>
          </cell>
          <cell r="M1165">
            <v>60.174233999999998</v>
          </cell>
          <cell r="N1165">
            <v>0.72705018359853102</v>
          </cell>
          <cell r="O1165">
            <v>550.80964200000005</v>
          </cell>
          <cell r="P1165">
            <v>2.4451371571072298</v>
          </cell>
          <cell r="Q1165">
            <v>401.56354900000002</v>
          </cell>
          <cell r="R1165">
            <v>2.20324189526184</v>
          </cell>
          <cell r="S1165">
            <v>154.45165299999999</v>
          </cell>
          <cell r="T1165">
            <v>1.6272264631043201</v>
          </cell>
          <cell r="U1165">
            <v>133.25956300000001</v>
          </cell>
          <cell r="V1165">
            <v>1.5012722646310399</v>
          </cell>
        </row>
        <row r="1166">
          <cell r="A1166" t="str">
            <v>071101</v>
          </cell>
          <cell r="B1166">
            <v>1186</v>
          </cell>
          <cell r="C1166">
            <v>358.433223</v>
          </cell>
          <cell r="D1166">
            <v>1.8885163453478599</v>
          </cell>
          <cell r="E1166">
            <v>129.186894</v>
          </cell>
          <cell r="F1166">
            <v>1.1374685666387201</v>
          </cell>
          <cell r="G1166">
            <v>81.398278000000005</v>
          </cell>
          <cell r="H1166">
            <v>0.61227922624053799</v>
          </cell>
          <cell r="I1166">
            <v>77.706460000000007</v>
          </cell>
          <cell r="J1166">
            <v>0.59882253994953705</v>
          </cell>
          <cell r="K1166">
            <v>1574.863717</v>
          </cell>
          <cell r="L1166">
            <v>2.68985750209555</v>
          </cell>
          <cell r="M1166">
            <v>158.43541400000001</v>
          </cell>
          <cell r="N1166">
            <v>1.0695725062866701</v>
          </cell>
          <cell r="O1166">
            <v>1199.8715139999999</v>
          </cell>
          <cell r="P1166">
            <v>3.2824620573355801</v>
          </cell>
          <cell r="Q1166">
            <v>1199.8715139999999</v>
          </cell>
          <cell r="R1166">
            <v>3.2824620573355801</v>
          </cell>
          <cell r="S1166">
            <v>1919.9400189999999</v>
          </cell>
          <cell r="T1166">
            <v>4.3147989734815999</v>
          </cell>
          <cell r="U1166">
            <v>786.75176699999997</v>
          </cell>
          <cell r="V1166">
            <v>3.35842600513259</v>
          </cell>
        </row>
        <row r="1167">
          <cell r="A1167" t="str">
            <v>071102</v>
          </cell>
          <cell r="B1167">
            <v>928.8</v>
          </cell>
          <cell r="C1167">
            <v>115.175675</v>
          </cell>
          <cell r="D1167">
            <v>0.524167561761546</v>
          </cell>
          <cell r="E1167">
            <v>95.164344999999997</v>
          </cell>
          <cell r="F1167">
            <v>0.45864661654135302</v>
          </cell>
          <cell r="G1167">
            <v>53.801383000000001</v>
          </cell>
          <cell r="H1167">
            <v>0.22615219721329</v>
          </cell>
          <cell r="I1167">
            <v>38.511052999999997</v>
          </cell>
          <cell r="J1167">
            <v>0.169346195069667</v>
          </cell>
          <cell r="K1167">
            <v>360.93035500000002</v>
          </cell>
          <cell r="L1167">
            <v>1.6759358288770001</v>
          </cell>
          <cell r="M1167">
            <v>210.35889399999999</v>
          </cell>
          <cell r="N1167">
            <v>1.1080213903743299</v>
          </cell>
          <cell r="O1167">
            <v>300.55111399999998</v>
          </cell>
          <cell r="P1167">
            <v>1.23193096008629</v>
          </cell>
          <cell r="Q1167">
            <v>293.51957900000002</v>
          </cell>
          <cell r="R1167">
            <v>1.2168284789643999</v>
          </cell>
          <cell r="S1167">
            <v>907.56187299999999</v>
          </cell>
          <cell r="T1167">
            <v>1.42156862745098</v>
          </cell>
          <cell r="U1167">
            <v>152.55689899999999</v>
          </cell>
          <cell r="V1167">
            <v>0.61764705882352899</v>
          </cell>
        </row>
        <row r="1168">
          <cell r="A1168" t="str">
            <v>071201</v>
          </cell>
          <cell r="B1168">
            <v>838.25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0.43155500000000002</v>
          </cell>
          <cell r="L1168">
            <v>2.6666666666666599E-2</v>
          </cell>
          <cell r="M1168">
            <v>0.43155500000000002</v>
          </cell>
          <cell r="N1168">
            <v>2.6666666666666599E-2</v>
          </cell>
          <cell r="O1168">
            <v>14.907315000000001</v>
          </cell>
          <cell r="P1168">
            <v>0.12969924812030001</v>
          </cell>
          <cell r="Q1168">
            <v>14.593374000000001</v>
          </cell>
          <cell r="R1168">
            <v>0.12875939849623999</v>
          </cell>
          <cell r="S1168">
            <v>244.15695600000001</v>
          </cell>
          <cell r="T1168">
            <v>0.60434782608695603</v>
          </cell>
          <cell r="U1168">
            <v>244.15695600000001</v>
          </cell>
          <cell r="V1168">
            <v>0.60434782608695603</v>
          </cell>
        </row>
        <row r="1169">
          <cell r="A1169" t="str">
            <v>071202</v>
          </cell>
          <cell r="B1169">
            <v>1665.4</v>
          </cell>
          <cell r="C1169">
            <v>3957.1273930000002</v>
          </cell>
          <cell r="D1169">
            <v>2.79638752052545</v>
          </cell>
          <cell r="E1169">
            <v>183.21883399999999</v>
          </cell>
          <cell r="F1169">
            <v>1.4822112753147201</v>
          </cell>
          <cell r="G1169">
            <v>210.718771</v>
          </cell>
          <cell r="H1169">
            <v>0.476780185758513</v>
          </cell>
          <cell r="I1169">
            <v>21.000278999999999</v>
          </cell>
          <cell r="J1169">
            <v>0.18988648090815199</v>
          </cell>
          <cell r="K1169">
            <v>58.141278999999997</v>
          </cell>
          <cell r="L1169">
            <v>1.00646678424456</v>
          </cell>
          <cell r="M1169">
            <v>42.457318999999998</v>
          </cell>
          <cell r="N1169">
            <v>0.92475014697236901</v>
          </cell>
          <cell r="O1169">
            <v>15.954567000000001</v>
          </cell>
          <cell r="P1169">
            <v>0.116152450090744</v>
          </cell>
          <cell r="Q1169">
            <v>7.714912</v>
          </cell>
          <cell r="R1169">
            <v>9.9818511796733206E-2</v>
          </cell>
          <cell r="S1169">
            <v>35.988684999999997</v>
          </cell>
          <cell r="T1169">
            <v>0.40079590676520699</v>
          </cell>
          <cell r="U1169">
            <v>34.664695000000002</v>
          </cell>
          <cell r="V1169">
            <v>0.39340534394542298</v>
          </cell>
        </row>
        <row r="1170">
          <cell r="A1170" t="str">
            <v>071203</v>
          </cell>
          <cell r="B1170">
            <v>1705.25</v>
          </cell>
          <cell r="C1170">
            <v>881.34048299999995</v>
          </cell>
          <cell r="D1170">
            <v>1.24417944349801</v>
          </cell>
          <cell r="E1170">
            <v>90.892679999999999</v>
          </cell>
          <cell r="F1170">
            <v>0.90289608177171998</v>
          </cell>
          <cell r="G1170">
            <v>10.122498</v>
          </cell>
          <cell r="H1170">
            <v>8.4755403868031806E-2</v>
          </cell>
          <cell r="I1170">
            <v>8.9060699999999997</v>
          </cell>
          <cell r="J1170">
            <v>8.3617747440273005E-2</v>
          </cell>
          <cell r="K1170">
            <v>30.141777000000001</v>
          </cell>
          <cell r="L1170">
            <v>0.23112391930835699</v>
          </cell>
          <cell r="M1170">
            <v>30.141777000000001</v>
          </cell>
          <cell r="N1170">
            <v>0.23112391930835699</v>
          </cell>
          <cell r="O1170">
            <v>86.999421999999996</v>
          </cell>
          <cell r="P1170">
            <v>0.90712884238063995</v>
          </cell>
          <cell r="Q1170">
            <v>86.999421999999996</v>
          </cell>
          <cell r="R1170">
            <v>0.90712884238063995</v>
          </cell>
          <cell r="S1170">
            <v>27.563551</v>
          </cell>
          <cell r="T1170">
            <v>0.366467065868263</v>
          </cell>
          <cell r="U1170">
            <v>26.104510000000001</v>
          </cell>
          <cell r="V1170">
            <v>0.34970059880239501</v>
          </cell>
        </row>
        <row r="1171">
          <cell r="A1171" t="str">
            <v>071501</v>
          </cell>
          <cell r="B1171">
            <v>1</v>
          </cell>
          <cell r="C1171">
            <v>349</v>
          </cell>
          <cell r="D1171">
            <v>1</v>
          </cell>
          <cell r="E1171">
            <v>349</v>
          </cell>
          <cell r="F1171">
            <v>1</v>
          </cell>
          <cell r="G1171">
            <v>0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</row>
        <row r="1172">
          <cell r="A1172" t="str">
            <v>071701</v>
          </cell>
          <cell r="B1172">
            <v>896.8</v>
          </cell>
          <cell r="C1172">
            <v>1521.730145</v>
          </cell>
          <cell r="D1172">
            <v>1.5210176991150399</v>
          </cell>
          <cell r="E1172">
            <v>72.270583999999999</v>
          </cell>
          <cell r="F1172">
            <v>0.62168141592920301</v>
          </cell>
          <cell r="G1172">
            <v>3586.534502</v>
          </cell>
          <cell r="H1172">
            <v>1.8526785714285701</v>
          </cell>
          <cell r="I1172">
            <v>89.042135000000002</v>
          </cell>
          <cell r="J1172">
            <v>0.50223214285714202</v>
          </cell>
          <cell r="K1172">
            <v>1314.5983719999999</v>
          </cell>
          <cell r="L1172">
            <v>1.4117647058823499</v>
          </cell>
          <cell r="M1172">
            <v>208.49417299999999</v>
          </cell>
          <cell r="N1172">
            <v>1.1764705882352899</v>
          </cell>
          <cell r="O1172">
            <v>728.88376000000005</v>
          </cell>
          <cell r="P1172">
            <v>0.65736607142857095</v>
          </cell>
          <cell r="Q1172">
            <v>102.57259999999999</v>
          </cell>
          <cell r="R1172">
            <v>0.50558035714285698</v>
          </cell>
          <cell r="S1172">
            <v>118.228804</v>
          </cell>
          <cell r="T1172">
            <v>1.70800450958286</v>
          </cell>
          <cell r="U1172">
            <v>70.109301000000002</v>
          </cell>
          <cell r="V1172">
            <v>1.2841037204058601</v>
          </cell>
        </row>
        <row r="1173">
          <cell r="A1173" t="str">
            <v>071702</v>
          </cell>
          <cell r="B1173">
            <v>1333.6</v>
          </cell>
          <cell r="C1173">
            <v>1237.371146</v>
          </cell>
          <cell r="D1173">
            <v>0.79741379310344795</v>
          </cell>
          <cell r="E1173">
            <v>55.91122</v>
          </cell>
          <cell r="F1173">
            <v>0.21192528735632099</v>
          </cell>
          <cell r="G1173">
            <v>880.993652</v>
          </cell>
          <cell r="H1173">
            <v>3.1272595806218302</v>
          </cell>
          <cell r="I1173">
            <v>341.27540800000003</v>
          </cell>
          <cell r="J1173">
            <v>1.12002892263195</v>
          </cell>
          <cell r="K1173">
            <v>3043.2059039999999</v>
          </cell>
          <cell r="L1173">
            <v>3.7483731019522701</v>
          </cell>
          <cell r="M1173">
            <v>535.66224299999999</v>
          </cell>
          <cell r="N1173">
            <v>2.2487346348517701</v>
          </cell>
          <cell r="O1173">
            <v>480.96865400000002</v>
          </cell>
          <cell r="P1173">
            <v>2.5263919016630498</v>
          </cell>
          <cell r="Q1173">
            <v>271.87786199999999</v>
          </cell>
          <cell r="R1173">
            <v>1.48662328271872</v>
          </cell>
          <cell r="S1173">
            <v>133.21137100000001</v>
          </cell>
          <cell r="T1173">
            <v>2.3655723158828699</v>
          </cell>
          <cell r="U1173">
            <v>115.03249</v>
          </cell>
          <cell r="V1173">
            <v>2.3433895297249299</v>
          </cell>
        </row>
        <row r="1174">
          <cell r="A1174" t="str">
            <v>071801</v>
          </cell>
          <cell r="B1174">
            <v>1</v>
          </cell>
          <cell r="C1174">
            <v>0</v>
          </cell>
          <cell r="D1174">
            <v>0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  <cell r="K1174">
            <v>504.38333299999999</v>
          </cell>
          <cell r="L1174">
            <v>1</v>
          </cell>
          <cell r="M1174">
            <v>504.38333299999999</v>
          </cell>
          <cell r="N1174">
            <v>1</v>
          </cell>
          <cell r="O1174">
            <v>256.38333299999999</v>
          </cell>
          <cell r="P1174">
            <v>2</v>
          </cell>
          <cell r="Q1174">
            <v>256.38333299999999</v>
          </cell>
          <cell r="R1174">
            <v>2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</row>
        <row r="1175">
          <cell r="A1175" t="str">
            <v>072001</v>
          </cell>
          <cell r="B1175">
            <v>1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1423.016666</v>
          </cell>
          <cell r="T1175">
            <v>2</v>
          </cell>
          <cell r="U1175">
            <v>1423.016666</v>
          </cell>
          <cell r="V1175">
            <v>2</v>
          </cell>
        </row>
        <row r="1176">
          <cell r="A1176" t="str">
            <v>072101</v>
          </cell>
          <cell r="B1176">
            <v>1</v>
          </cell>
          <cell r="C1176">
            <v>170.65398300000001</v>
          </cell>
          <cell r="D1176">
            <v>1</v>
          </cell>
          <cell r="E1176">
            <v>170.65398300000001</v>
          </cell>
          <cell r="F1176">
            <v>1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</row>
        <row r="1177">
          <cell r="A1177" t="str">
            <v>072102</v>
          </cell>
          <cell r="B1177">
            <v>1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83.4</v>
          </cell>
          <cell r="T1177">
            <v>2</v>
          </cell>
          <cell r="U1177">
            <v>83.4</v>
          </cell>
          <cell r="V1177">
            <v>2</v>
          </cell>
        </row>
        <row r="1178">
          <cell r="A1178" t="str">
            <v>072103</v>
          </cell>
          <cell r="B1178">
            <v>855.5</v>
          </cell>
          <cell r="C1178">
            <v>31.375125000000001</v>
          </cell>
          <cell r="D1178">
            <v>0.14901047729918501</v>
          </cell>
          <cell r="E1178">
            <v>31.375125000000001</v>
          </cell>
          <cell r="F1178">
            <v>0.14901047729918501</v>
          </cell>
          <cell r="G1178">
            <v>693.82083799999998</v>
          </cell>
          <cell r="H1178">
            <v>2.0743321718931398</v>
          </cell>
          <cell r="I1178">
            <v>693.82083799999998</v>
          </cell>
          <cell r="J1178">
            <v>2.0743321718931398</v>
          </cell>
          <cell r="K1178">
            <v>199.41798800000001</v>
          </cell>
          <cell r="L1178">
            <v>0.57059509918319695</v>
          </cell>
          <cell r="M1178">
            <v>26.468222000000001</v>
          </cell>
          <cell r="N1178">
            <v>0.15285880980163299</v>
          </cell>
          <cell r="O1178">
            <v>53.943317</v>
          </cell>
          <cell r="P1178">
            <v>0.35873388042203902</v>
          </cell>
          <cell r="Q1178">
            <v>50.146346000000001</v>
          </cell>
          <cell r="R1178">
            <v>0.31770222743259002</v>
          </cell>
          <cell r="S1178">
            <v>83.269364999999993</v>
          </cell>
          <cell r="T1178">
            <v>2.2394366197183002</v>
          </cell>
          <cell r="U1178">
            <v>79.178676999999993</v>
          </cell>
          <cell r="V1178">
            <v>2.1971830985915402</v>
          </cell>
        </row>
        <row r="1179">
          <cell r="A1179" t="str">
            <v>072104</v>
          </cell>
          <cell r="B1179">
            <v>1108.125</v>
          </cell>
          <cell r="C1179">
            <v>69.840350999999998</v>
          </cell>
          <cell r="D1179">
            <v>0.23276633840644501</v>
          </cell>
          <cell r="E1179">
            <v>69.840350999999998</v>
          </cell>
          <cell r="F1179">
            <v>0.23276633840644501</v>
          </cell>
          <cell r="G1179">
            <v>545.85777399999995</v>
          </cell>
          <cell r="H1179">
            <v>1.0617173524150201</v>
          </cell>
          <cell r="I1179">
            <v>545.85777399999995</v>
          </cell>
          <cell r="J1179">
            <v>1.0617173524150201</v>
          </cell>
          <cell r="K1179">
            <v>22.423568</v>
          </cell>
          <cell r="L1179">
            <v>0.180679785330948</v>
          </cell>
          <cell r="M1179">
            <v>22.209913</v>
          </cell>
          <cell r="N1179">
            <v>0.17710196779964199</v>
          </cell>
          <cell r="O1179">
            <v>500.72371500000003</v>
          </cell>
          <cell r="P1179">
            <v>2.0618279569892399</v>
          </cell>
          <cell r="Q1179">
            <v>42.473714999999999</v>
          </cell>
          <cell r="R1179">
            <v>1.0618279569892399</v>
          </cell>
          <cell r="S1179">
            <v>56.420535999999998</v>
          </cell>
          <cell r="T1179">
            <v>2.0212765957446801</v>
          </cell>
          <cell r="U1179">
            <v>55.692706999999999</v>
          </cell>
          <cell r="V1179">
            <v>2.01295097132284</v>
          </cell>
        </row>
        <row r="1180">
          <cell r="A1180" t="str">
            <v>072201</v>
          </cell>
          <cell r="B1180">
            <v>1116.4000000000001</v>
          </cell>
          <cell r="C1180">
            <v>1594.0059180000001</v>
          </cell>
          <cell r="D1180">
            <v>1.4932126696832499</v>
          </cell>
          <cell r="E1180">
            <v>976.01388099999997</v>
          </cell>
          <cell r="F1180">
            <v>0.80723981900452402</v>
          </cell>
          <cell r="G1180">
            <v>328.29443099999997</v>
          </cell>
          <cell r="H1180">
            <v>0.354430379746835</v>
          </cell>
          <cell r="I1180">
            <v>107.87526099999999</v>
          </cell>
          <cell r="J1180">
            <v>0.19801084990958401</v>
          </cell>
          <cell r="K1180">
            <v>91.261994000000001</v>
          </cell>
          <cell r="L1180">
            <v>0.356321839080459</v>
          </cell>
          <cell r="M1180">
            <v>18.552755000000001</v>
          </cell>
          <cell r="N1180">
            <v>0.29531388152077798</v>
          </cell>
          <cell r="O1180">
            <v>119.224255</v>
          </cell>
          <cell r="P1180">
            <v>0.317403065825067</v>
          </cell>
          <cell r="Q1180">
            <v>69.304282999999998</v>
          </cell>
          <cell r="R1180">
            <v>0.27682596934174902</v>
          </cell>
          <cell r="S1180">
            <v>298.02245699999997</v>
          </cell>
          <cell r="T1180">
            <v>1.6065428824049499</v>
          </cell>
          <cell r="U1180">
            <v>27.589124000000002</v>
          </cell>
          <cell r="V1180">
            <v>0.196286472148541</v>
          </cell>
        </row>
        <row r="1181">
          <cell r="A1181" t="str">
            <v>072202</v>
          </cell>
          <cell r="B1181">
            <v>1756.2</v>
          </cell>
          <cell r="C1181">
            <v>114.486441</v>
          </cell>
          <cell r="D1181">
            <v>0.76783691959229805</v>
          </cell>
          <cell r="E1181">
            <v>111.40400700000001</v>
          </cell>
          <cell r="F1181">
            <v>0.76443941109852698</v>
          </cell>
          <cell r="G1181">
            <v>249.07960299999999</v>
          </cell>
          <cell r="H1181">
            <v>1.46481271282633</v>
          </cell>
          <cell r="I1181">
            <v>243.88094699999999</v>
          </cell>
          <cell r="J1181">
            <v>1.4194097616345001</v>
          </cell>
          <cell r="K1181">
            <v>609.40087100000005</v>
          </cell>
          <cell r="L1181">
            <v>4.1649601820250197</v>
          </cell>
          <cell r="M1181">
            <v>242.809575</v>
          </cell>
          <cell r="N1181">
            <v>0.92718998862343505</v>
          </cell>
          <cell r="O1181">
            <v>206.6456</v>
          </cell>
          <cell r="P1181">
            <v>1.95123350545037</v>
          </cell>
          <cell r="Q1181">
            <v>127.46987900000001</v>
          </cell>
          <cell r="R1181">
            <v>1.85656913367756</v>
          </cell>
          <cell r="S1181">
            <v>129.78785999999999</v>
          </cell>
          <cell r="T1181">
            <v>0.28253424657534199</v>
          </cell>
          <cell r="U1181">
            <v>114.00096000000001</v>
          </cell>
          <cell r="V1181">
            <v>0.26312785388127802</v>
          </cell>
        </row>
        <row r="1182">
          <cell r="A1182" t="str">
            <v>072301</v>
          </cell>
          <cell r="B1182">
            <v>849.875</v>
          </cell>
          <cell r="C1182">
            <v>522.77527399999997</v>
          </cell>
          <cell r="D1182">
            <v>1.03263403263403</v>
          </cell>
          <cell r="E1182">
            <v>522.77527399999997</v>
          </cell>
          <cell r="F1182">
            <v>1.03263403263403</v>
          </cell>
          <cell r="G1182">
            <v>13.161773</v>
          </cell>
          <cell r="H1182">
            <v>5.0175029171528503E-2</v>
          </cell>
          <cell r="I1182">
            <v>13.161773</v>
          </cell>
          <cell r="J1182">
            <v>5.0175029171528503E-2</v>
          </cell>
          <cell r="K1182">
            <v>372.62774200000001</v>
          </cell>
          <cell r="L1182">
            <v>1.05800756620428</v>
          </cell>
          <cell r="M1182">
            <v>31.463556000000001</v>
          </cell>
          <cell r="N1182">
            <v>0.25851197982345497</v>
          </cell>
          <cell r="O1182">
            <v>1185.7259650000001</v>
          </cell>
          <cell r="P1182">
            <v>0.52238805970149205</v>
          </cell>
          <cell r="Q1182">
            <v>24.323917999999999</v>
          </cell>
          <cell r="R1182">
            <v>0.180252583237657</v>
          </cell>
          <cell r="S1182">
            <v>95.353453000000002</v>
          </cell>
          <cell r="T1182">
            <v>0.41571753986332499</v>
          </cell>
          <cell r="U1182">
            <v>93.535914000000005</v>
          </cell>
          <cell r="V1182">
            <v>0.399772209567198</v>
          </cell>
        </row>
        <row r="1183">
          <cell r="A1183" t="str">
            <v>072302</v>
          </cell>
          <cell r="B1183">
            <v>1283.25</v>
          </cell>
          <cell r="C1183">
            <v>751.61328400000002</v>
          </cell>
          <cell r="D1183">
            <v>1.7732260424286701</v>
          </cell>
          <cell r="E1183">
            <v>751.61328400000002</v>
          </cell>
          <cell r="F1183">
            <v>1.7732260424286701</v>
          </cell>
          <cell r="G1183">
            <v>273.19692199999997</v>
          </cell>
          <cell r="H1183">
            <v>1.2178362573099399</v>
          </cell>
          <cell r="I1183">
            <v>265.14451600000001</v>
          </cell>
          <cell r="J1183">
            <v>1.1966374269005799</v>
          </cell>
          <cell r="K1183">
            <v>208.44536299999999</v>
          </cell>
          <cell r="L1183">
            <v>1.1007194244604299</v>
          </cell>
          <cell r="M1183">
            <v>86.927751000000001</v>
          </cell>
          <cell r="N1183">
            <v>0.852917665867306</v>
          </cell>
          <cell r="O1183">
            <v>71.196765999999997</v>
          </cell>
          <cell r="P1183">
            <v>0.214402618657937</v>
          </cell>
          <cell r="Q1183">
            <v>60.036332999999999</v>
          </cell>
          <cell r="R1183">
            <v>0.186579378068739</v>
          </cell>
          <cell r="S1183">
            <v>19.276705</v>
          </cell>
          <cell r="T1183">
            <v>0.17009038619556199</v>
          </cell>
          <cell r="U1183">
            <v>19.276705</v>
          </cell>
          <cell r="V1183">
            <v>0.17009038619556199</v>
          </cell>
        </row>
        <row r="1184">
          <cell r="A1184" t="str">
            <v>072303</v>
          </cell>
          <cell r="B1184">
            <v>706.11111100000005</v>
          </cell>
          <cell r="C1184">
            <v>790.29668400000003</v>
          </cell>
          <cell r="D1184">
            <v>2.6704384724186698</v>
          </cell>
          <cell r="E1184">
            <v>790.29668400000003</v>
          </cell>
          <cell r="F1184">
            <v>2.6704384724186698</v>
          </cell>
          <cell r="G1184">
            <v>559.48038799999995</v>
          </cell>
          <cell r="H1184">
            <v>1.70538243626062</v>
          </cell>
          <cell r="I1184">
            <v>181.07837499999999</v>
          </cell>
          <cell r="J1184">
            <v>1.1756373937677</v>
          </cell>
          <cell r="K1184">
            <v>1149.5479660000001</v>
          </cell>
          <cell r="L1184">
            <v>0.55177304964538998</v>
          </cell>
          <cell r="M1184">
            <v>4.9311340000000001</v>
          </cell>
          <cell r="N1184">
            <v>2.1276595744680799E-2</v>
          </cell>
          <cell r="O1184">
            <v>9.0660530000000001</v>
          </cell>
          <cell r="P1184">
            <v>1.69731258840169E-2</v>
          </cell>
          <cell r="Q1184">
            <v>5.0296320000000003</v>
          </cell>
          <cell r="R1184">
            <v>1.5558698727015499E-2</v>
          </cell>
          <cell r="S1184">
            <v>7.4861180000000003</v>
          </cell>
          <cell r="T1184">
            <v>8.6402266288951798E-2</v>
          </cell>
          <cell r="U1184">
            <v>4.4347019999999997</v>
          </cell>
          <cell r="V1184">
            <v>7.3654390934844105E-2</v>
          </cell>
        </row>
        <row r="1185">
          <cell r="A1185" t="str">
            <v>072304</v>
          </cell>
          <cell r="B1185">
            <v>766.66666599999996</v>
          </cell>
          <cell r="C1185">
            <v>520.47297600000002</v>
          </cell>
          <cell r="D1185">
            <v>1.0143229166666601</v>
          </cell>
          <cell r="E1185">
            <v>520.47297600000002</v>
          </cell>
          <cell r="F1185">
            <v>1.0143229166666601</v>
          </cell>
          <cell r="G1185">
            <v>5.4920669999999996</v>
          </cell>
          <cell r="H1185">
            <v>6.7444876783398097E-2</v>
          </cell>
          <cell r="I1185">
            <v>5.4920669999999996</v>
          </cell>
          <cell r="J1185">
            <v>6.7444876783398097E-2</v>
          </cell>
          <cell r="K1185">
            <v>1583.326341</v>
          </cell>
          <cell r="L1185">
            <v>1.1844155844155799</v>
          </cell>
          <cell r="M1185">
            <v>64.491731000000001</v>
          </cell>
          <cell r="N1185">
            <v>0.17792207792207701</v>
          </cell>
          <cell r="O1185">
            <v>8.286505</v>
          </cell>
          <cell r="P1185">
            <v>8.2138200782268495E-2</v>
          </cell>
          <cell r="Q1185">
            <v>8.286505</v>
          </cell>
          <cell r="R1185">
            <v>8.2138200782268495E-2</v>
          </cell>
          <cell r="S1185">
            <v>15.874248</v>
          </cell>
          <cell r="T1185">
            <v>6.49867374005305E-2</v>
          </cell>
          <cell r="U1185">
            <v>15.874248</v>
          </cell>
          <cell r="V1185">
            <v>6.49867374005305E-2</v>
          </cell>
        </row>
        <row r="1186">
          <cell r="A1186" t="str">
            <v>072401</v>
          </cell>
          <cell r="B1186">
            <v>1179</v>
          </cell>
          <cell r="C1186">
            <v>1055.4636109999999</v>
          </cell>
          <cell r="D1186">
            <v>3.0902127659574399</v>
          </cell>
          <cell r="E1186">
            <v>1055.4636109999999</v>
          </cell>
          <cell r="F1186">
            <v>3.0902127659574399</v>
          </cell>
          <cell r="G1186">
            <v>32.608669999999996</v>
          </cell>
          <cell r="H1186">
            <v>0.104060913705583</v>
          </cell>
          <cell r="I1186">
            <v>27.064602000000001</v>
          </cell>
          <cell r="J1186">
            <v>0.10236886632825699</v>
          </cell>
          <cell r="K1186">
            <v>103.97345799999999</v>
          </cell>
          <cell r="L1186">
            <v>0.24369747899159599</v>
          </cell>
          <cell r="M1186">
            <v>25.791651999999999</v>
          </cell>
          <cell r="N1186">
            <v>0.184033613445378</v>
          </cell>
          <cell r="O1186">
            <v>224.48351500000001</v>
          </cell>
          <cell r="P1186">
            <v>0.50168634064080897</v>
          </cell>
          <cell r="Q1186">
            <v>116.591933</v>
          </cell>
          <cell r="R1186">
            <v>0.47639123102866698</v>
          </cell>
          <cell r="S1186">
            <v>480.49603400000001</v>
          </cell>
          <cell r="T1186">
            <v>1.50689655172413</v>
          </cell>
          <cell r="U1186">
            <v>329.73977000000002</v>
          </cell>
          <cell r="V1186">
            <v>1.22068965517241</v>
          </cell>
        </row>
        <row r="1187">
          <cell r="A1187" t="str">
            <v>072402</v>
          </cell>
          <cell r="B1187">
            <v>846</v>
          </cell>
          <cell r="C1187">
            <v>287.30033800000001</v>
          </cell>
          <cell r="D1187">
            <v>2.14047619047619</v>
          </cell>
          <cell r="E1187">
            <v>287.30033800000001</v>
          </cell>
          <cell r="F1187">
            <v>2.14047619047619</v>
          </cell>
          <cell r="G1187">
            <v>63.461613</v>
          </cell>
          <cell r="H1187">
            <v>0.40919811320754701</v>
          </cell>
          <cell r="I1187">
            <v>16.793344999999999</v>
          </cell>
          <cell r="J1187">
            <v>0.13561320754716899</v>
          </cell>
          <cell r="K1187">
            <v>299.08293800000001</v>
          </cell>
          <cell r="L1187">
            <v>0.79078014184397105</v>
          </cell>
          <cell r="M1187">
            <v>196.89582300000001</v>
          </cell>
          <cell r="N1187">
            <v>0.74704491725768296</v>
          </cell>
          <cell r="O1187">
            <v>128.11784499999999</v>
          </cell>
          <cell r="P1187">
            <v>1.0188679245283001</v>
          </cell>
          <cell r="Q1187">
            <v>122.217511</v>
          </cell>
          <cell r="R1187">
            <v>0.98702830188679203</v>
          </cell>
          <cell r="S1187">
            <v>839.36435700000004</v>
          </cell>
          <cell r="T1187">
            <v>0.49940828402366799</v>
          </cell>
          <cell r="U1187">
            <v>84.235285000000005</v>
          </cell>
          <cell r="V1187">
            <v>0.20473372781065</v>
          </cell>
        </row>
        <row r="1188">
          <cell r="A1188" t="str">
            <v>072601</v>
          </cell>
          <cell r="B1188">
            <v>269</v>
          </cell>
          <cell r="C1188">
            <v>222.71474900000001</v>
          </cell>
          <cell r="D1188">
            <v>1.6576271186440601</v>
          </cell>
          <cell r="E1188">
            <v>174.29350500000001</v>
          </cell>
          <cell r="F1188">
            <v>1.2542372881355901</v>
          </cell>
          <cell r="G1188">
            <v>1740.29567</v>
          </cell>
          <cell r="H1188">
            <v>5.5559322033898297</v>
          </cell>
          <cell r="I1188">
            <v>278.33159599999999</v>
          </cell>
          <cell r="J1188">
            <v>1.53898305084745</v>
          </cell>
          <cell r="K1188">
            <v>1080.7892240000001</v>
          </cell>
          <cell r="L1188">
            <v>1.31313131313131</v>
          </cell>
          <cell r="M1188">
            <v>338.54657600000002</v>
          </cell>
          <cell r="N1188">
            <v>0.71043771043770998</v>
          </cell>
          <cell r="O1188">
            <v>457.27145100000001</v>
          </cell>
          <cell r="P1188">
            <v>2.4966216216216202</v>
          </cell>
          <cell r="Q1188">
            <v>382.64797199999998</v>
          </cell>
          <cell r="R1188">
            <v>2.3716216216216202</v>
          </cell>
          <cell r="S1188">
            <v>944.80452600000001</v>
          </cell>
          <cell r="T1188">
            <v>2.8209876543209802</v>
          </cell>
          <cell r="U1188">
            <v>419.650308</v>
          </cell>
          <cell r="V1188">
            <v>1.92592592592592</v>
          </cell>
        </row>
        <row r="1189">
          <cell r="A1189" t="str">
            <v>072602</v>
          </cell>
          <cell r="B1189">
            <v>26.571428000000001</v>
          </cell>
          <cell r="C1189">
            <v>28.890062</v>
          </cell>
          <cell r="D1189">
            <v>0.12903225806451599</v>
          </cell>
          <cell r="E1189">
            <v>28.890062</v>
          </cell>
          <cell r="F1189">
            <v>0.12903225806451599</v>
          </cell>
          <cell r="G1189">
            <v>169.45605900000001</v>
          </cell>
          <cell r="H1189">
            <v>1.0967741935483799</v>
          </cell>
          <cell r="I1189">
            <v>169.45605900000001</v>
          </cell>
          <cell r="J1189">
            <v>1.0967741935483799</v>
          </cell>
          <cell r="K1189">
            <v>774.29623600000002</v>
          </cell>
          <cell r="L1189">
            <v>0.38709677419354799</v>
          </cell>
          <cell r="M1189">
            <v>226.41881699999999</v>
          </cell>
          <cell r="N1189">
            <v>0.25806451612903197</v>
          </cell>
          <cell r="O1189">
            <v>95.686666000000002</v>
          </cell>
          <cell r="P1189">
            <v>1.1000000000000001</v>
          </cell>
          <cell r="Q1189">
            <v>95.686666000000002</v>
          </cell>
          <cell r="R1189">
            <v>1.1000000000000001</v>
          </cell>
          <cell r="S1189">
            <v>3096.9843740000001</v>
          </cell>
          <cell r="T1189">
            <v>4.625</v>
          </cell>
          <cell r="U1189">
            <v>1302.8072910000001</v>
          </cell>
          <cell r="V1189">
            <v>3.5625</v>
          </cell>
        </row>
        <row r="1190">
          <cell r="A1190" t="str">
            <v>072701</v>
          </cell>
          <cell r="B1190">
            <v>2190.8000000000002</v>
          </cell>
          <cell r="C1190">
            <v>80.101996999999997</v>
          </cell>
          <cell r="D1190">
            <v>0.51499999999999901</v>
          </cell>
          <cell r="E1190">
            <v>73.679173000000006</v>
          </cell>
          <cell r="F1190">
            <v>0.50227272727272698</v>
          </cell>
          <cell r="G1190">
            <v>197.02160000000001</v>
          </cell>
          <cell r="H1190">
            <v>1.6245454545454501</v>
          </cell>
          <cell r="I1190">
            <v>60.716898</v>
          </cell>
          <cell r="J1190">
            <v>0.267272727272727</v>
          </cell>
          <cell r="K1190">
            <v>365.60296499999998</v>
          </cell>
          <cell r="L1190">
            <v>3.06508875739644</v>
          </cell>
          <cell r="M1190">
            <v>302.49030399999998</v>
          </cell>
          <cell r="N1190">
            <v>2.98725534820209</v>
          </cell>
          <cell r="O1190">
            <v>246.20657800000001</v>
          </cell>
          <cell r="P1190">
            <v>1.1816102470265299</v>
          </cell>
          <cell r="Q1190">
            <v>195.10105899999999</v>
          </cell>
          <cell r="R1190">
            <v>1.03156450137236</v>
          </cell>
          <cell r="S1190">
            <v>645.99510099999998</v>
          </cell>
          <cell r="T1190">
            <v>2.9820359281437101</v>
          </cell>
          <cell r="U1190">
            <v>144.06232900000001</v>
          </cell>
          <cell r="V1190">
            <v>2.1165361584523201</v>
          </cell>
        </row>
        <row r="1191">
          <cell r="A1191" t="str">
            <v>072702</v>
          </cell>
          <cell r="B1191">
            <v>1161</v>
          </cell>
          <cell r="C1191">
            <v>1.1213390000000001</v>
          </cell>
          <cell r="D1191">
            <v>6.6815144766146899E-3</v>
          </cell>
          <cell r="E1191">
            <v>1.1213390000000001</v>
          </cell>
          <cell r="F1191">
            <v>6.6815144766146899E-3</v>
          </cell>
          <cell r="G1191">
            <v>390.98522400000002</v>
          </cell>
          <cell r="H1191">
            <v>3.5752409191994001</v>
          </cell>
          <cell r="I1191">
            <v>390.40230100000002</v>
          </cell>
          <cell r="J1191">
            <v>3.5744996293550702</v>
          </cell>
          <cell r="K1191">
            <v>116.34524999999999</v>
          </cell>
          <cell r="L1191">
            <v>1.7166799680766101</v>
          </cell>
          <cell r="M1191">
            <v>85.898043999999999</v>
          </cell>
          <cell r="N1191">
            <v>1.707102952913</v>
          </cell>
          <cell r="O1191">
            <v>154.24998199999999</v>
          </cell>
          <cell r="P1191">
            <v>0.46077457795431898</v>
          </cell>
          <cell r="Q1191">
            <v>31.609665</v>
          </cell>
          <cell r="R1191">
            <v>0.39721946375372302</v>
          </cell>
          <cell r="S1191">
            <v>216.79177200000001</v>
          </cell>
          <cell r="T1191">
            <v>0.178343949044585</v>
          </cell>
          <cell r="U1191">
            <v>2.1350669999999998</v>
          </cell>
          <cell r="V1191">
            <v>4.5647558386411803E-2</v>
          </cell>
        </row>
        <row r="1192">
          <cell r="A1192" t="str">
            <v>072703</v>
          </cell>
          <cell r="B1192">
            <v>1980.2222220000001</v>
          </cell>
          <cell r="C1192">
            <v>40.287055000000002</v>
          </cell>
          <cell r="D1192">
            <v>1.08551307847082</v>
          </cell>
          <cell r="E1192">
            <v>40.287055000000002</v>
          </cell>
          <cell r="F1192">
            <v>1.08551307847082</v>
          </cell>
          <cell r="G1192">
            <v>119.56013900000001</v>
          </cell>
          <cell r="H1192">
            <v>1.03923541247484</v>
          </cell>
          <cell r="I1192">
            <v>118.557185</v>
          </cell>
          <cell r="J1192">
            <v>1.0382293762575401</v>
          </cell>
          <cell r="K1192">
            <v>22.68074</v>
          </cell>
          <cell r="L1192">
            <v>0.161046804227478</v>
          </cell>
          <cell r="M1192">
            <v>18.015366</v>
          </cell>
          <cell r="N1192">
            <v>0.14292903875188701</v>
          </cell>
          <cell r="O1192">
            <v>16.345956999999999</v>
          </cell>
          <cell r="P1192">
            <v>0.19151086407276399</v>
          </cell>
          <cell r="Q1192">
            <v>16.175484000000001</v>
          </cell>
          <cell r="R1192">
            <v>0.191005558362809</v>
          </cell>
          <cell r="S1192">
            <v>153.24591599999999</v>
          </cell>
          <cell r="T1192">
            <v>0.34742740703005598</v>
          </cell>
          <cell r="U1192">
            <v>29.105229999999999</v>
          </cell>
          <cell r="V1192">
            <v>0.229240957717778</v>
          </cell>
        </row>
        <row r="1193">
          <cell r="A1193" t="str">
            <v>072704</v>
          </cell>
          <cell r="B1193">
            <v>2047.444444</v>
          </cell>
          <cell r="C1193">
            <v>4.9020809999999999</v>
          </cell>
          <cell r="D1193">
            <v>4.0507564665690499E-2</v>
          </cell>
          <cell r="E1193">
            <v>4.9020809999999999</v>
          </cell>
          <cell r="F1193">
            <v>4.0507564665690499E-2</v>
          </cell>
          <cell r="G1193">
            <v>112.6602</v>
          </cell>
          <cell r="H1193">
            <v>0.56481481481481399</v>
          </cell>
          <cell r="I1193">
            <v>67.458219</v>
          </cell>
          <cell r="J1193">
            <v>0.53167641325535997</v>
          </cell>
          <cell r="K1193">
            <v>99.585459</v>
          </cell>
          <cell r="L1193">
            <v>1.46468582562104</v>
          </cell>
          <cell r="M1193">
            <v>98.793926999999996</v>
          </cell>
          <cell r="N1193">
            <v>1.4641987335606399</v>
          </cell>
          <cell r="O1193">
            <v>9.6821269999999995</v>
          </cell>
          <cell r="P1193">
            <v>8.4555229716520006E-2</v>
          </cell>
          <cell r="Q1193">
            <v>9.1766529999999999</v>
          </cell>
          <cell r="R1193">
            <v>7.9667644183773201E-2</v>
          </cell>
          <cell r="S1193">
            <v>39.982114000000003</v>
          </cell>
          <cell r="T1193">
            <v>1.0961727183513199</v>
          </cell>
          <cell r="U1193">
            <v>39.611587999999998</v>
          </cell>
          <cell r="V1193">
            <v>1.09568204121687</v>
          </cell>
        </row>
        <row r="1194">
          <cell r="A1194" t="str">
            <v>072801</v>
          </cell>
          <cell r="B1194">
            <v>1096.8</v>
          </cell>
          <cell r="C1194">
            <v>922.26772300000005</v>
          </cell>
          <cell r="D1194">
            <v>3.0660954712362298</v>
          </cell>
          <cell r="E1194">
            <v>357.593074</v>
          </cell>
          <cell r="F1194">
            <v>2.44308445532435</v>
          </cell>
          <cell r="G1194">
            <v>310.34299199999998</v>
          </cell>
          <cell r="H1194">
            <v>1.6058269065981099</v>
          </cell>
          <cell r="I1194">
            <v>94.486306999999996</v>
          </cell>
          <cell r="J1194">
            <v>0.59297343616109599</v>
          </cell>
          <cell r="K1194">
            <v>920.22699299999999</v>
          </cell>
          <cell r="L1194">
            <v>3.4427350427350398</v>
          </cell>
          <cell r="M1194">
            <v>802.08621000000005</v>
          </cell>
          <cell r="N1194">
            <v>3.2538461538461498</v>
          </cell>
          <cell r="O1194">
            <v>214.04914400000001</v>
          </cell>
          <cell r="P1194">
            <v>1.2258340461933199</v>
          </cell>
          <cell r="Q1194">
            <v>185.256102</v>
          </cell>
          <cell r="R1194">
            <v>1.2027373823781</v>
          </cell>
          <cell r="S1194">
            <v>17.321877000000001</v>
          </cell>
          <cell r="T1194">
            <v>9.8191214470284199E-2</v>
          </cell>
          <cell r="U1194">
            <v>7.4051530000000003</v>
          </cell>
          <cell r="V1194">
            <v>5.7708871662360002E-2</v>
          </cell>
        </row>
        <row r="1195">
          <cell r="A1195" t="str">
            <v>072802</v>
          </cell>
          <cell r="B1195">
            <v>1330.4</v>
          </cell>
          <cell r="C1195">
            <v>313.481472</v>
          </cell>
          <cell r="D1195">
            <v>0.59970238095238004</v>
          </cell>
          <cell r="E1195">
            <v>181.083246</v>
          </cell>
          <cell r="F1195">
            <v>0.47395833333333298</v>
          </cell>
          <cell r="G1195">
            <v>335.29585200000002</v>
          </cell>
          <cell r="H1195">
            <v>1.3626209977661901</v>
          </cell>
          <cell r="I1195">
            <v>73.679709000000003</v>
          </cell>
          <cell r="J1195">
            <v>0.34921816827996999</v>
          </cell>
          <cell r="K1195">
            <v>518.85985900000003</v>
          </cell>
          <cell r="L1195">
            <v>2.0426327599102398</v>
          </cell>
          <cell r="M1195">
            <v>359.71883500000001</v>
          </cell>
          <cell r="N1195">
            <v>1.5826477187733701</v>
          </cell>
          <cell r="O1195">
            <v>49.028809000000003</v>
          </cell>
          <cell r="P1195">
            <v>0.196360879454131</v>
          </cell>
          <cell r="Q1195">
            <v>20.266894000000001</v>
          </cell>
          <cell r="R1195">
            <v>0.17437452615617799</v>
          </cell>
          <cell r="S1195">
            <v>366.44224500000001</v>
          </cell>
          <cell r="T1195">
            <v>1.50878533231474</v>
          </cell>
          <cell r="U1195">
            <v>86.982072000000002</v>
          </cell>
          <cell r="V1195">
            <v>0.82964094728800597</v>
          </cell>
        </row>
        <row r="1196">
          <cell r="A1196" t="str">
            <v>072901</v>
          </cell>
          <cell r="B1196">
            <v>2348.2222219999999</v>
          </cell>
          <cell r="C1196">
            <v>323.11258600000002</v>
          </cell>
          <cell r="D1196">
            <v>3.8128342245989302</v>
          </cell>
          <cell r="E1196">
            <v>323.11258600000002</v>
          </cell>
          <cell r="F1196">
            <v>3.8128342245989302</v>
          </cell>
          <cell r="G1196">
            <v>1446.406596</v>
          </cell>
          <cell r="H1196">
            <v>5.4438063986874399</v>
          </cell>
          <cell r="I1196">
            <v>1311.8904849999999</v>
          </cell>
          <cell r="J1196">
            <v>5.0561936013125504</v>
          </cell>
          <cell r="K1196">
            <v>1109.3784969999999</v>
          </cell>
          <cell r="L1196">
            <v>2.9090534979423799</v>
          </cell>
          <cell r="M1196">
            <v>122.32637099999999</v>
          </cell>
          <cell r="N1196">
            <v>1.2860082304526701</v>
          </cell>
          <cell r="O1196">
            <v>318.94899600000002</v>
          </cell>
          <cell r="P1196">
            <v>1.59030100334448</v>
          </cell>
          <cell r="Q1196">
            <v>235.059462</v>
          </cell>
          <cell r="R1196">
            <v>1.4163879598662199</v>
          </cell>
          <cell r="S1196">
            <v>2427.4313229999998</v>
          </cell>
          <cell r="T1196">
            <v>6.4177908937605297</v>
          </cell>
          <cell r="U1196">
            <v>776.15214300000002</v>
          </cell>
          <cell r="V1196">
            <v>4.3048060708262996</v>
          </cell>
        </row>
        <row r="1197">
          <cell r="A1197" t="str">
            <v>072902</v>
          </cell>
          <cell r="B1197">
            <v>1059.6666660000001</v>
          </cell>
          <cell r="C1197">
            <v>294.38025499999998</v>
          </cell>
          <cell r="D1197">
            <v>0.87887323943661899</v>
          </cell>
          <cell r="E1197">
            <v>294.38025499999998</v>
          </cell>
          <cell r="F1197">
            <v>0.87887323943661899</v>
          </cell>
          <cell r="G1197">
            <v>648.79347299999995</v>
          </cell>
          <cell r="H1197">
            <v>2.5653809971777899</v>
          </cell>
          <cell r="I1197">
            <v>644.02851899999996</v>
          </cell>
          <cell r="J1197">
            <v>2.5484477892756301</v>
          </cell>
          <cell r="K1197">
            <v>2548.5660370000001</v>
          </cell>
          <cell r="L1197">
            <v>4.2045240339302499</v>
          </cell>
          <cell r="M1197">
            <v>265.29737599999999</v>
          </cell>
          <cell r="N1197">
            <v>1.20263901979264</v>
          </cell>
          <cell r="O1197">
            <v>478.44131099999998</v>
          </cell>
          <cell r="P1197">
            <v>2.8602455146364401</v>
          </cell>
          <cell r="Q1197">
            <v>343.11731099999997</v>
          </cell>
          <cell r="R1197">
            <v>2.11992445703493</v>
          </cell>
          <cell r="S1197">
            <v>1725.0800240000001</v>
          </cell>
          <cell r="T1197">
            <v>6.3466286799620102</v>
          </cell>
          <cell r="U1197">
            <v>1086.043985</v>
          </cell>
          <cell r="V1197">
            <v>4.9221272554605804</v>
          </cell>
        </row>
        <row r="1198">
          <cell r="A1198" t="str">
            <v>072903</v>
          </cell>
          <cell r="B1198">
            <v>248</v>
          </cell>
          <cell r="C1198">
            <v>47.050083000000001</v>
          </cell>
          <cell r="D1198">
            <v>0.28629032258064502</v>
          </cell>
          <cell r="E1198">
            <v>47.050083000000001</v>
          </cell>
          <cell r="F1198">
            <v>0.28629032258064502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</row>
        <row r="1199">
          <cell r="A1199" t="str">
            <v>073101</v>
          </cell>
          <cell r="B1199">
            <v>2590.6</v>
          </cell>
          <cell r="C1199">
            <v>1263.712681</v>
          </cell>
          <cell r="D1199">
            <v>4.5738461538461497</v>
          </cell>
          <cell r="E1199">
            <v>134.59377499999999</v>
          </cell>
          <cell r="F1199">
            <v>1.7234615384615299</v>
          </cell>
          <cell r="G1199">
            <v>109.77131900000001</v>
          </cell>
          <cell r="H1199">
            <v>0.45275742383339701</v>
          </cell>
          <cell r="I1199">
            <v>28.331063</v>
          </cell>
          <cell r="J1199">
            <v>0.29926725800231302</v>
          </cell>
          <cell r="K1199">
            <v>238.393055</v>
          </cell>
          <cell r="L1199">
            <v>1.65084876543209</v>
          </cell>
          <cell r="M1199">
            <v>74.873849000000007</v>
          </cell>
          <cell r="N1199">
            <v>0.57214506172839497</v>
          </cell>
          <cell r="O1199">
            <v>72.689003999999997</v>
          </cell>
          <cell r="P1199">
            <v>1.3275462962962901</v>
          </cell>
          <cell r="Q1199">
            <v>68.663683000000006</v>
          </cell>
          <cell r="R1199">
            <v>1.3152006172839501</v>
          </cell>
          <cell r="S1199">
            <v>130.015165</v>
          </cell>
          <cell r="T1199">
            <v>0.3652950310559</v>
          </cell>
          <cell r="U1199">
            <v>77.551591000000002</v>
          </cell>
          <cell r="V1199">
            <v>0.256987577639751</v>
          </cell>
        </row>
        <row r="1200">
          <cell r="A1200" t="str">
            <v>073102</v>
          </cell>
          <cell r="B1200">
            <v>424.5</v>
          </cell>
          <cell r="C1200">
            <v>1703.4717900000001</v>
          </cell>
          <cell r="D1200">
            <v>1.2162790697674399</v>
          </cell>
          <cell r="E1200">
            <v>19.718302000000001</v>
          </cell>
          <cell r="F1200">
            <v>0.19767441860465099</v>
          </cell>
          <cell r="G1200">
            <v>39.092998999999999</v>
          </cell>
          <cell r="H1200">
            <v>0.21212121212121199</v>
          </cell>
          <cell r="I1200">
            <v>39.092998999999999</v>
          </cell>
          <cell r="J1200">
            <v>0.21212121212121199</v>
          </cell>
          <cell r="K1200">
            <v>253.44999899999999</v>
          </cell>
          <cell r="L1200">
            <v>0.117096018735362</v>
          </cell>
          <cell r="M1200">
            <v>6.535558</v>
          </cell>
          <cell r="N1200">
            <v>5.8548009367681397E-2</v>
          </cell>
          <cell r="O1200">
            <v>13.105161000000001</v>
          </cell>
          <cell r="P1200">
            <v>0.15839243498817901</v>
          </cell>
          <cell r="Q1200">
            <v>13.105161000000001</v>
          </cell>
          <cell r="R1200">
            <v>0.15839243498817901</v>
          </cell>
          <cell r="S1200">
            <v>295.69839300000001</v>
          </cell>
          <cell r="T1200">
            <v>0.183132530120481</v>
          </cell>
          <cell r="U1200">
            <v>5.3520079999999997</v>
          </cell>
          <cell r="V1200">
            <v>0.12289156626506</v>
          </cell>
        </row>
        <row r="1201">
          <cell r="A1201" t="str">
            <v>073201</v>
          </cell>
          <cell r="B1201">
            <v>500.8</v>
          </cell>
          <cell r="C1201">
            <v>276.70905599999998</v>
          </cell>
          <cell r="D1201">
            <v>2.0787401574803099</v>
          </cell>
          <cell r="E1201">
            <v>216.305151</v>
          </cell>
          <cell r="F1201">
            <v>1.6535433070866099</v>
          </cell>
          <cell r="G1201">
            <v>1775.534594</v>
          </cell>
          <cell r="H1201">
            <v>2.3722772277227699</v>
          </cell>
          <cell r="I1201">
            <v>903.77984400000003</v>
          </cell>
          <cell r="J1201">
            <v>1.9940594059405901</v>
          </cell>
          <cell r="K1201">
            <v>1794.7420629999999</v>
          </cell>
          <cell r="L1201">
            <v>2.1686507936507899</v>
          </cell>
          <cell r="M1201">
            <v>354.68465600000002</v>
          </cell>
          <cell r="N1201">
            <v>1.7460317460317401</v>
          </cell>
          <cell r="O1201">
            <v>492.55516599999999</v>
          </cell>
          <cell r="P1201">
            <v>1.756</v>
          </cell>
          <cell r="Q1201">
            <v>485.990433</v>
          </cell>
          <cell r="R1201">
            <v>1.5680000000000001</v>
          </cell>
          <cell r="S1201">
            <v>1209.094969</v>
          </cell>
          <cell r="T1201">
            <v>4.4763860369609798</v>
          </cell>
          <cell r="U1201">
            <v>669.50263500000005</v>
          </cell>
          <cell r="V1201">
            <v>3.3367556468172399</v>
          </cell>
        </row>
        <row r="1202">
          <cell r="A1202" t="str">
            <v>073202</v>
          </cell>
          <cell r="B1202">
            <v>674.55555500000003</v>
          </cell>
          <cell r="C1202">
            <v>206.38461599999999</v>
          </cell>
          <cell r="D1202">
            <v>1.4245973645680801</v>
          </cell>
          <cell r="E1202">
            <v>206.38461599999999</v>
          </cell>
          <cell r="F1202">
            <v>1.4245973645680801</v>
          </cell>
          <cell r="G1202">
            <v>62.502958999999997</v>
          </cell>
          <cell r="H1202">
            <v>0.50146198830409305</v>
          </cell>
          <cell r="I1202">
            <v>50.92783</v>
          </cell>
          <cell r="J1202">
            <v>0.48976608187134502</v>
          </cell>
          <cell r="K1202">
            <v>409.86413399999998</v>
          </cell>
          <cell r="L1202">
            <v>1.28023598820058</v>
          </cell>
          <cell r="M1202">
            <v>96.723253999999997</v>
          </cell>
          <cell r="N1202">
            <v>1.06342182890855</v>
          </cell>
          <cell r="O1202">
            <v>344.61440199999998</v>
          </cell>
          <cell r="P1202">
            <v>1.46567164179104</v>
          </cell>
          <cell r="Q1202">
            <v>180.01017400000001</v>
          </cell>
          <cell r="R1202">
            <v>1.1582089552238799</v>
          </cell>
          <cell r="S1202">
            <v>357.69967200000002</v>
          </cell>
          <cell r="T1202">
            <v>2.1691842900302101</v>
          </cell>
          <cell r="U1202">
            <v>334.655891</v>
          </cell>
          <cell r="V1202">
            <v>2.07250755287009</v>
          </cell>
        </row>
        <row r="1203">
          <cell r="A1203" t="str">
            <v>073301</v>
          </cell>
          <cell r="B1203">
            <v>1066.8</v>
          </cell>
          <cell r="C1203">
            <v>4423.1310039999998</v>
          </cell>
          <cell r="D1203">
            <v>1.64297945205479</v>
          </cell>
          <cell r="E1203">
            <v>95.446314000000001</v>
          </cell>
          <cell r="F1203">
            <v>0.49571917808219101</v>
          </cell>
          <cell r="G1203">
            <v>241.810046</v>
          </cell>
          <cell r="H1203">
            <v>0.35606731620903398</v>
          </cell>
          <cell r="I1203">
            <v>84.647294000000002</v>
          </cell>
          <cell r="J1203">
            <v>0.25775022143489801</v>
          </cell>
          <cell r="K1203">
            <v>307.96603900000002</v>
          </cell>
          <cell r="L1203">
            <v>0.97838345864661602</v>
          </cell>
          <cell r="M1203">
            <v>181.54234</v>
          </cell>
          <cell r="N1203">
            <v>0.78101503759398405</v>
          </cell>
          <cell r="O1203">
            <v>90.337241000000006</v>
          </cell>
          <cell r="P1203">
            <v>0.41816367265469001</v>
          </cell>
          <cell r="Q1203">
            <v>87.492896999999999</v>
          </cell>
          <cell r="R1203">
            <v>0.41616766467065802</v>
          </cell>
          <cell r="S1203">
            <v>373.02166099999999</v>
          </cell>
          <cell r="T1203">
            <v>0.60762100926879503</v>
          </cell>
          <cell r="U1203">
            <v>103.97694799999999</v>
          </cell>
          <cell r="V1203">
            <v>0.50257466529351102</v>
          </cell>
        </row>
        <row r="1204">
          <cell r="A1204" t="str">
            <v>073302</v>
          </cell>
          <cell r="B1204">
            <v>1428.2</v>
          </cell>
          <cell r="C1204">
            <v>3957.639068</v>
          </cell>
          <cell r="D1204">
            <v>1.57211870255348</v>
          </cell>
          <cell r="E1204">
            <v>47.544986999999999</v>
          </cell>
          <cell r="F1204">
            <v>0.364389233954451</v>
          </cell>
          <cell r="G1204">
            <v>991.73443799999995</v>
          </cell>
          <cell r="H1204">
            <v>1.7163763066202</v>
          </cell>
          <cell r="I1204">
            <v>102.90501399999999</v>
          </cell>
          <cell r="J1204">
            <v>0.64529616724738603</v>
          </cell>
          <cell r="K1204">
            <v>470.86314599999997</v>
          </cell>
          <cell r="L1204">
            <v>1.4062937062937</v>
          </cell>
          <cell r="M1204">
            <v>212.54527899999999</v>
          </cell>
          <cell r="N1204">
            <v>1.13986013986013</v>
          </cell>
          <cell r="O1204">
            <v>126.36536099999999</v>
          </cell>
          <cell r="P1204">
            <v>0.88998589562764396</v>
          </cell>
          <cell r="Q1204">
            <v>76.753420000000006</v>
          </cell>
          <cell r="R1204">
            <v>0.65655853314527501</v>
          </cell>
          <cell r="S1204">
            <v>332.54037099999999</v>
          </cell>
          <cell r="T1204">
            <v>1.73172462739531</v>
          </cell>
          <cell r="U1204">
            <v>207.994653</v>
          </cell>
          <cell r="V1204">
            <v>1.6564939673527299</v>
          </cell>
        </row>
        <row r="1205">
          <cell r="A1205" t="str">
            <v>073401</v>
          </cell>
          <cell r="B1205">
            <v>2</v>
          </cell>
          <cell r="C1205">
            <v>0</v>
          </cell>
          <cell r="D1205">
            <v>0</v>
          </cell>
          <cell r="E1205">
            <v>0</v>
          </cell>
          <cell r="F1205">
            <v>0</v>
          </cell>
          <cell r="G1205">
            <v>0</v>
          </cell>
          <cell r="H1205">
            <v>0</v>
          </cell>
          <cell r="I1205">
            <v>0</v>
          </cell>
          <cell r="J1205">
            <v>0</v>
          </cell>
          <cell r="K1205">
            <v>186.1</v>
          </cell>
          <cell r="L1205">
            <v>0.5</v>
          </cell>
          <cell r="M1205">
            <v>186.1</v>
          </cell>
          <cell r="N1205">
            <v>0.5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</row>
        <row r="1206">
          <cell r="A1206" t="str">
            <v>073501</v>
          </cell>
          <cell r="B1206">
            <v>858</v>
          </cell>
          <cell r="C1206">
            <v>1806.18454</v>
          </cell>
          <cell r="D1206">
            <v>1.5985010706638101</v>
          </cell>
          <cell r="E1206">
            <v>105.50285</v>
          </cell>
          <cell r="F1206">
            <v>0.57173447537473199</v>
          </cell>
          <cell r="G1206">
            <v>350.143171</v>
          </cell>
          <cell r="H1206">
            <v>1.1783029001074099</v>
          </cell>
          <cell r="I1206">
            <v>245.55538200000001</v>
          </cell>
          <cell r="J1206">
            <v>1.0977443609022499</v>
          </cell>
          <cell r="K1206">
            <v>100.27057600000001</v>
          </cell>
          <cell r="L1206">
            <v>0.28132118451025001</v>
          </cell>
          <cell r="M1206">
            <v>44.031377999999997</v>
          </cell>
          <cell r="N1206">
            <v>0.21753986332573999</v>
          </cell>
          <cell r="O1206">
            <v>5.7790759999999999</v>
          </cell>
          <cell r="P1206">
            <v>5.8823529411764698E-2</v>
          </cell>
          <cell r="Q1206">
            <v>5.7790759999999999</v>
          </cell>
          <cell r="R1206">
            <v>5.8823529411764698E-2</v>
          </cell>
          <cell r="S1206">
            <v>236.85323</v>
          </cell>
          <cell r="T1206">
            <v>1.9618208516886899</v>
          </cell>
          <cell r="U1206">
            <v>236.85323</v>
          </cell>
          <cell r="V1206">
            <v>1.9618208516886899</v>
          </cell>
        </row>
        <row r="1207">
          <cell r="A1207" t="str">
            <v>073502</v>
          </cell>
          <cell r="B1207">
            <v>609.6</v>
          </cell>
          <cell r="C1207">
            <v>1831.528665</v>
          </cell>
          <cell r="D1207">
            <v>0.54982206405693901</v>
          </cell>
          <cell r="E1207">
            <v>114.99042799999999</v>
          </cell>
          <cell r="F1207">
            <v>0.195729537366548</v>
          </cell>
          <cell r="G1207">
            <v>1295.4745190000001</v>
          </cell>
          <cell r="H1207">
            <v>1.4096</v>
          </cell>
          <cell r="I1207">
            <v>169.91047</v>
          </cell>
          <cell r="J1207">
            <v>0.87839999999999996</v>
          </cell>
          <cell r="K1207">
            <v>233.15714199999999</v>
          </cell>
          <cell r="L1207">
            <v>0.72391653290529601</v>
          </cell>
          <cell r="M1207">
            <v>153.475628</v>
          </cell>
          <cell r="N1207">
            <v>0.52648475120385196</v>
          </cell>
          <cell r="O1207">
            <v>160.60718</v>
          </cell>
          <cell r="P1207">
            <v>1.0819935691318301</v>
          </cell>
          <cell r="Q1207">
            <v>160.12526700000001</v>
          </cell>
          <cell r="R1207">
            <v>1.06430868167202</v>
          </cell>
          <cell r="S1207">
            <v>375.72502600000001</v>
          </cell>
          <cell r="T1207">
            <v>1.1412337662337599</v>
          </cell>
          <cell r="U1207">
            <v>200.66653099999999</v>
          </cell>
          <cell r="V1207">
            <v>0.75811688311688297</v>
          </cell>
        </row>
        <row r="1208">
          <cell r="A1208" t="str">
            <v>073601</v>
          </cell>
          <cell r="B1208">
            <v>528.33333300000004</v>
          </cell>
          <cell r="C1208">
            <v>132.521466</v>
          </cell>
          <cell r="D1208">
            <v>0.32509505703421998</v>
          </cell>
          <cell r="E1208">
            <v>132.521466</v>
          </cell>
          <cell r="F1208">
            <v>0.32509505703421998</v>
          </cell>
          <cell r="G1208">
            <v>8.8630479999999991</v>
          </cell>
          <cell r="H1208">
            <v>3.2196969696969599E-2</v>
          </cell>
          <cell r="I1208">
            <v>8.8630479999999991</v>
          </cell>
          <cell r="J1208">
            <v>3.2196969696969599E-2</v>
          </cell>
          <cell r="K1208">
            <v>61.301070000000003</v>
          </cell>
          <cell r="L1208">
            <v>0.37618147448015099</v>
          </cell>
          <cell r="M1208">
            <v>61.185285999999998</v>
          </cell>
          <cell r="N1208">
            <v>0.37429111531190901</v>
          </cell>
          <cell r="O1208">
            <v>15.7776</v>
          </cell>
          <cell r="P1208">
            <v>0.12030075187969901</v>
          </cell>
          <cell r="Q1208">
            <v>15.7776</v>
          </cell>
          <cell r="R1208">
            <v>0.12030075187969901</v>
          </cell>
          <cell r="S1208">
            <v>18.682858</v>
          </cell>
          <cell r="T1208">
            <v>0.15019011406844099</v>
          </cell>
          <cell r="U1208">
            <v>18.682858</v>
          </cell>
          <cell r="V1208">
            <v>0.15019011406844099</v>
          </cell>
        </row>
        <row r="1209">
          <cell r="A1209" t="str">
            <v>073602</v>
          </cell>
          <cell r="B1209">
            <v>883.88888799999995</v>
          </cell>
          <cell r="C1209">
            <v>10.152568</v>
          </cell>
          <cell r="D1209">
            <v>3.7199124726476997E-2</v>
          </cell>
          <cell r="E1209">
            <v>10.083641</v>
          </cell>
          <cell r="F1209">
            <v>3.6105032822757101E-2</v>
          </cell>
          <cell r="G1209">
            <v>179.14728199999999</v>
          </cell>
          <cell r="H1209">
            <v>0.122222222222222</v>
          </cell>
          <cell r="I1209">
            <v>1.1633739999999999</v>
          </cell>
          <cell r="J1209">
            <v>1.8888888888888799E-2</v>
          </cell>
          <cell r="K1209">
            <v>88.999754999999993</v>
          </cell>
          <cell r="L1209">
            <v>0.44144144144144098</v>
          </cell>
          <cell r="M1209">
            <v>88.566197000000003</v>
          </cell>
          <cell r="N1209">
            <v>0.43581081081081002</v>
          </cell>
          <cell r="O1209">
            <v>124.969577</v>
          </cell>
          <cell r="P1209">
            <v>1.15599534342258</v>
          </cell>
          <cell r="Q1209">
            <v>124.969577</v>
          </cell>
          <cell r="R1209">
            <v>1.15599534342258</v>
          </cell>
          <cell r="S1209">
            <v>1637.705121</v>
          </cell>
          <cell r="T1209">
            <v>2.5626477541371102</v>
          </cell>
          <cell r="U1209">
            <v>881.64056300000004</v>
          </cell>
          <cell r="V1209">
            <v>1.4692671394799</v>
          </cell>
        </row>
        <row r="1210">
          <cell r="A1210" t="str">
            <v>073603</v>
          </cell>
          <cell r="B1210">
            <v>811.16666599999996</v>
          </cell>
          <cell r="C1210">
            <v>0</v>
          </cell>
          <cell r="D1210">
            <v>0</v>
          </cell>
          <cell r="E1210">
            <v>0</v>
          </cell>
          <cell r="F1210">
            <v>0</v>
          </cell>
          <cell r="G1210">
            <v>0.203794</v>
          </cell>
          <cell r="H1210">
            <v>2.4096385542168599E-3</v>
          </cell>
          <cell r="I1210">
            <v>0.203794</v>
          </cell>
          <cell r="J1210">
            <v>2.4096385542168599E-3</v>
          </cell>
          <cell r="K1210">
            <v>209.15312499999999</v>
          </cell>
          <cell r="L1210">
            <v>0.38948626045400198</v>
          </cell>
          <cell r="M1210">
            <v>207.57190299999999</v>
          </cell>
          <cell r="N1210">
            <v>0.38829151732377498</v>
          </cell>
          <cell r="O1210">
            <v>274.78483599999998</v>
          </cell>
          <cell r="P1210">
            <v>1.01437908496732</v>
          </cell>
          <cell r="Q1210">
            <v>6.9465139999999996</v>
          </cell>
          <cell r="R1210">
            <v>0.142483660130718</v>
          </cell>
          <cell r="S1210">
            <v>4.2148649999999996</v>
          </cell>
          <cell r="T1210">
            <v>2.1608643457382899E-2</v>
          </cell>
          <cell r="U1210">
            <v>4.2148649999999996</v>
          </cell>
          <cell r="V1210">
            <v>2.1608643457382899E-2</v>
          </cell>
        </row>
        <row r="1211">
          <cell r="A1211" t="str">
            <v>073604</v>
          </cell>
          <cell r="B1211">
            <v>303.625</v>
          </cell>
          <cell r="C1211">
            <v>14.295347</v>
          </cell>
          <cell r="D1211">
            <v>0.107142857142857</v>
          </cell>
          <cell r="E1211">
            <v>14.295347</v>
          </cell>
          <cell r="F1211">
            <v>0.107142857142857</v>
          </cell>
          <cell r="G1211">
            <v>83.690180999999995</v>
          </cell>
          <cell r="H1211">
            <v>0.30819672131147502</v>
          </cell>
          <cell r="I1211">
            <v>45.931241</v>
          </cell>
          <cell r="J1211">
            <v>0.121311475409836</v>
          </cell>
          <cell r="K1211">
            <v>212.30780999999999</v>
          </cell>
          <cell r="L1211">
            <v>1.2145214521452099</v>
          </cell>
          <cell r="M1211">
            <v>101.484323</v>
          </cell>
          <cell r="N1211">
            <v>1.01320132013201</v>
          </cell>
          <cell r="O1211">
            <v>196.710981</v>
          </cell>
          <cell r="P1211">
            <v>1.33444816053511</v>
          </cell>
          <cell r="Q1211">
            <v>196.710981</v>
          </cell>
          <cell r="R1211">
            <v>1.33444816053511</v>
          </cell>
          <cell r="S1211">
            <v>358.27398099999999</v>
          </cell>
          <cell r="T1211">
            <v>0.32013201320132001</v>
          </cell>
          <cell r="U1211">
            <v>60.234707999999998</v>
          </cell>
          <cell r="V1211">
            <v>0.19471947194719399</v>
          </cell>
        </row>
        <row r="1212">
          <cell r="A1212" t="str">
            <v>074301</v>
          </cell>
          <cell r="B1212">
            <v>1197.2</v>
          </cell>
          <cell r="C1212">
            <v>430.28359499999999</v>
          </cell>
          <cell r="D1212">
            <v>1.5203657522859499</v>
          </cell>
          <cell r="E1212">
            <v>392.51416799999998</v>
          </cell>
          <cell r="F1212">
            <v>1.5070656691604301</v>
          </cell>
          <cell r="G1212">
            <v>235.548303</v>
          </cell>
          <cell r="H1212">
            <v>1.1898417985012399</v>
          </cell>
          <cell r="I1212">
            <v>193.93578199999999</v>
          </cell>
          <cell r="J1212">
            <v>1.1723563696919199</v>
          </cell>
          <cell r="K1212">
            <v>19.608630000000002</v>
          </cell>
          <cell r="L1212">
            <v>0.117402164862614</v>
          </cell>
          <cell r="M1212">
            <v>15.734304</v>
          </cell>
          <cell r="N1212">
            <v>0.106577851790174</v>
          </cell>
          <cell r="O1212">
            <v>289.08259099999998</v>
          </cell>
          <cell r="P1212">
            <v>1.55285234899328</v>
          </cell>
          <cell r="Q1212">
            <v>288.08535999999998</v>
          </cell>
          <cell r="R1212">
            <v>1.5520134228187901</v>
          </cell>
          <cell r="S1212">
            <v>21.502452000000002</v>
          </cell>
          <cell r="T1212">
            <v>5.5508830950378403E-2</v>
          </cell>
          <cell r="U1212">
            <v>4.6103019999999999</v>
          </cell>
          <cell r="V1212">
            <v>2.9436501261564298E-2</v>
          </cell>
        </row>
        <row r="1213">
          <cell r="A1213" t="str">
            <v>074302</v>
          </cell>
          <cell r="B1213">
            <v>912.2</v>
          </cell>
          <cell r="C1213">
            <v>326.45937099999998</v>
          </cell>
          <cell r="D1213">
            <v>1.3326381647549499</v>
          </cell>
          <cell r="E1213">
            <v>175.04555500000001</v>
          </cell>
          <cell r="F1213">
            <v>1.09071949947862</v>
          </cell>
          <cell r="G1213">
            <v>183.37260699999999</v>
          </cell>
          <cell r="H1213">
            <v>1.05416666666666</v>
          </cell>
          <cell r="I1213">
            <v>150.27540200000001</v>
          </cell>
          <cell r="J1213">
            <v>1.028125</v>
          </cell>
          <cell r="K1213">
            <v>824.88560900000004</v>
          </cell>
          <cell r="L1213">
            <v>1.711157455683</v>
          </cell>
          <cell r="M1213">
            <v>85.059175999999994</v>
          </cell>
          <cell r="N1213">
            <v>0.67153284671532798</v>
          </cell>
          <cell r="O1213">
            <v>325.62750699999998</v>
          </cell>
          <cell r="P1213">
            <v>1.5631067961164999</v>
          </cell>
          <cell r="Q1213">
            <v>298.54972199999997</v>
          </cell>
          <cell r="R1213">
            <v>1.5381414701803</v>
          </cell>
          <cell r="S1213">
            <v>24.679019</v>
          </cell>
          <cell r="T1213">
            <v>8.3160083160083095E-2</v>
          </cell>
          <cell r="U1213">
            <v>7.0439879999999997</v>
          </cell>
          <cell r="V1213">
            <v>3.7422037422037403E-2</v>
          </cell>
        </row>
        <row r="1214">
          <cell r="A1214" t="str">
            <v>074303</v>
          </cell>
          <cell r="B1214">
            <v>1514.8</v>
          </cell>
          <cell r="C1214">
            <v>155.563615</v>
          </cell>
          <cell r="D1214">
            <v>1.32450331125827</v>
          </cell>
          <cell r="E1214">
            <v>56.089528999999999</v>
          </cell>
          <cell r="F1214">
            <v>1.24768211920529</v>
          </cell>
          <cell r="G1214">
            <v>158.34730400000001</v>
          </cell>
          <cell r="H1214">
            <v>0.319840743198407</v>
          </cell>
          <cell r="I1214">
            <v>61.102004999999998</v>
          </cell>
          <cell r="J1214">
            <v>0.222959522229595</v>
          </cell>
          <cell r="K1214">
            <v>992.70050400000002</v>
          </cell>
          <cell r="L1214">
            <v>1.14144736842105</v>
          </cell>
          <cell r="M1214">
            <v>204.962763</v>
          </cell>
          <cell r="N1214">
            <v>0.76776315789473604</v>
          </cell>
          <cell r="O1214">
            <v>72.456900000000005</v>
          </cell>
          <cell r="P1214">
            <v>0.29921259842519599</v>
          </cell>
          <cell r="Q1214">
            <v>67.296499999999995</v>
          </cell>
          <cell r="R1214">
            <v>0.28937007874015702</v>
          </cell>
          <cell r="S1214">
            <v>595.28415800000005</v>
          </cell>
          <cell r="T1214">
            <v>0.65234633179114299</v>
          </cell>
          <cell r="U1214">
            <v>117.25397599999999</v>
          </cell>
          <cell r="V1214">
            <v>0.477858559153998</v>
          </cell>
        </row>
        <row r="1215">
          <cell r="A1215" t="str">
            <v>074304</v>
          </cell>
          <cell r="B1215">
            <v>1597.4</v>
          </cell>
          <cell r="C1215">
            <v>388.23440799999997</v>
          </cell>
          <cell r="D1215">
            <v>1.3366398016119001</v>
          </cell>
          <cell r="E1215">
            <v>388.05710599999998</v>
          </cell>
          <cell r="F1215">
            <v>1.33601983880967</v>
          </cell>
          <cell r="G1215">
            <v>640.90034400000002</v>
          </cell>
          <cell r="H1215">
            <v>1.4081250000000001</v>
          </cell>
          <cell r="I1215">
            <v>36.214117999999999</v>
          </cell>
          <cell r="J1215">
            <v>0.25687500000000002</v>
          </cell>
          <cell r="K1215">
            <v>40.338625</v>
          </cell>
          <cell r="L1215">
            <v>0.19785759294265901</v>
          </cell>
          <cell r="M1215">
            <v>37.720120999999999</v>
          </cell>
          <cell r="N1215">
            <v>0.19155639571518501</v>
          </cell>
          <cell r="O1215">
            <v>685.48291500000005</v>
          </cell>
          <cell r="P1215">
            <v>3.4533500313087</v>
          </cell>
          <cell r="Q1215">
            <v>684.02720699999998</v>
          </cell>
          <cell r="R1215">
            <v>3.4458359423919802</v>
          </cell>
          <cell r="S1215">
            <v>106.380292</v>
          </cell>
          <cell r="T1215">
            <v>0.34779874213836398</v>
          </cell>
          <cell r="U1215">
            <v>90.235795999999993</v>
          </cell>
          <cell r="V1215">
            <v>0.31698113207547102</v>
          </cell>
        </row>
        <row r="1216">
          <cell r="A1216" t="str">
            <v>074401</v>
          </cell>
          <cell r="B1216">
            <v>774.8</v>
          </cell>
          <cell r="C1216">
            <v>97.079087999999999</v>
          </cell>
          <cell r="D1216">
            <v>0.56327543424317605</v>
          </cell>
          <cell r="E1216">
            <v>90.020927999999998</v>
          </cell>
          <cell r="F1216">
            <v>0.55086848635235697</v>
          </cell>
          <cell r="G1216">
            <v>4.7320799999999998</v>
          </cell>
          <cell r="H1216">
            <v>1.23456790123456E-2</v>
          </cell>
          <cell r="I1216">
            <v>4.624619</v>
          </cell>
          <cell r="J1216">
            <v>1.1111111111111099E-2</v>
          </cell>
          <cell r="K1216">
            <v>101.27011899999999</v>
          </cell>
          <cell r="L1216">
            <v>1.01373283395755</v>
          </cell>
          <cell r="M1216">
            <v>64.056511999999998</v>
          </cell>
          <cell r="N1216">
            <v>0.79650436953807702</v>
          </cell>
          <cell r="O1216">
            <v>161.15288100000001</v>
          </cell>
          <cell r="P1216">
            <v>0.65413533834586401</v>
          </cell>
          <cell r="Q1216">
            <v>83.478545999999994</v>
          </cell>
          <cell r="R1216">
            <v>0.62105263157894697</v>
          </cell>
          <cell r="S1216">
            <v>177.53080700000001</v>
          </cell>
          <cell r="T1216">
            <v>0.95580808080808</v>
          </cell>
          <cell r="U1216">
            <v>94.982449000000003</v>
          </cell>
          <cell r="V1216">
            <v>0.59090909090909005</v>
          </cell>
        </row>
        <row r="1217">
          <cell r="A1217" t="str">
            <v>074402</v>
          </cell>
          <cell r="B1217">
            <v>1880.1111109999999</v>
          </cell>
          <cell r="C1217">
            <v>23.483468999999999</v>
          </cell>
          <cell r="D1217">
            <v>0.105849582172701</v>
          </cell>
          <cell r="E1217">
            <v>23.483468999999999</v>
          </cell>
          <cell r="F1217">
            <v>0.105849582172701</v>
          </cell>
          <cell r="G1217">
            <v>117.34589200000001</v>
          </cell>
          <cell r="H1217">
            <v>0.53336678374309998</v>
          </cell>
          <cell r="I1217">
            <v>70.592538000000005</v>
          </cell>
          <cell r="J1217">
            <v>0.50275965880581996</v>
          </cell>
          <cell r="K1217">
            <v>307.44052900000003</v>
          </cell>
          <cell r="L1217">
            <v>1.32863613487669</v>
          </cell>
          <cell r="M1217">
            <v>244.347768</v>
          </cell>
          <cell r="N1217">
            <v>1.29793658782083</v>
          </cell>
          <cell r="O1217">
            <v>27.231708999999999</v>
          </cell>
          <cell r="P1217">
            <v>0.20499745028046901</v>
          </cell>
          <cell r="Q1217">
            <v>24.761907000000001</v>
          </cell>
          <cell r="R1217">
            <v>0.181030086690464</v>
          </cell>
          <cell r="S1217">
            <v>74.565218999999999</v>
          </cell>
          <cell r="T1217">
            <v>0.43361938414941897</v>
          </cell>
          <cell r="U1217">
            <v>28.108412999999999</v>
          </cell>
          <cell r="V1217">
            <v>0.21453811206461301</v>
          </cell>
        </row>
        <row r="1218">
          <cell r="A1218" t="str">
            <v>074403</v>
          </cell>
          <cell r="B1218">
            <v>115</v>
          </cell>
          <cell r="C1218">
            <v>0</v>
          </cell>
          <cell r="D1218">
            <v>0</v>
          </cell>
          <cell r="E1218">
            <v>0</v>
          </cell>
          <cell r="F1218">
            <v>0</v>
          </cell>
          <cell r="G1218">
            <v>0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117.88</v>
          </cell>
          <cell r="P1218">
            <v>0.2</v>
          </cell>
          <cell r="Q1218">
            <v>117.88</v>
          </cell>
          <cell r="R1218">
            <v>0.2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</row>
        <row r="1219">
          <cell r="A1219" t="str">
            <v>074404</v>
          </cell>
          <cell r="B1219">
            <v>332</v>
          </cell>
          <cell r="C1219">
            <v>70.692930000000004</v>
          </cell>
          <cell r="D1219">
            <v>0.451807228915662</v>
          </cell>
          <cell r="E1219">
            <v>63.493625999999999</v>
          </cell>
          <cell r="F1219">
            <v>0.43975903614457801</v>
          </cell>
          <cell r="G1219">
            <v>0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  <cell r="Q1219">
            <v>0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</row>
        <row r="1220">
          <cell r="A1220" t="str">
            <v>074601</v>
          </cell>
          <cell r="B1220">
            <v>1593.6666660000001</v>
          </cell>
          <cell r="C1220">
            <v>1294.215526</v>
          </cell>
          <cell r="D1220">
            <v>1.0501237623762301</v>
          </cell>
          <cell r="E1220">
            <v>7.194693</v>
          </cell>
          <cell r="F1220">
            <v>4.6410891089108897E-2</v>
          </cell>
          <cell r="G1220">
            <v>13.019078</v>
          </cell>
          <cell r="H1220">
            <v>0.120049504950495</v>
          </cell>
          <cell r="I1220">
            <v>12.19295</v>
          </cell>
          <cell r="J1220">
            <v>0.119430693069306</v>
          </cell>
          <cell r="K1220">
            <v>128.84873099999999</v>
          </cell>
          <cell r="L1220">
            <v>2.3335396039603902</v>
          </cell>
          <cell r="M1220">
            <v>121.044771</v>
          </cell>
          <cell r="N1220">
            <v>2.3310643564356401</v>
          </cell>
          <cell r="O1220">
            <v>2.3834499999999998</v>
          </cell>
          <cell r="P1220">
            <v>3.9515615041427601E-2</v>
          </cell>
          <cell r="Q1220">
            <v>2.3834499999999998</v>
          </cell>
          <cell r="R1220">
            <v>3.9515615041427601E-2</v>
          </cell>
          <cell r="S1220">
            <v>1447.880799</v>
          </cell>
          <cell r="T1220">
            <v>2.5133203378817401</v>
          </cell>
          <cell r="U1220">
            <v>34.423056000000003</v>
          </cell>
          <cell r="V1220">
            <v>0.15854450942170201</v>
          </cell>
        </row>
        <row r="1221">
          <cell r="A1221" t="str">
            <v>074602</v>
          </cell>
          <cell r="B1221">
            <v>547.44444399999998</v>
          </cell>
          <cell r="C1221">
            <v>4269.2738069999996</v>
          </cell>
          <cell r="D1221">
            <v>2.0286738351254399</v>
          </cell>
          <cell r="E1221">
            <v>155.75660099999999</v>
          </cell>
          <cell r="F1221">
            <v>0.18817204301075199</v>
          </cell>
          <cell r="G1221">
            <v>29.529713000000001</v>
          </cell>
          <cell r="H1221">
            <v>0.28288288288288199</v>
          </cell>
          <cell r="I1221">
            <v>29.529713000000001</v>
          </cell>
          <cell r="J1221">
            <v>0.28288288288288199</v>
          </cell>
          <cell r="K1221">
            <v>410.79383899999999</v>
          </cell>
          <cell r="L1221">
            <v>0.55797101449275299</v>
          </cell>
          <cell r="M1221">
            <v>312.51853799999998</v>
          </cell>
          <cell r="N1221">
            <v>0.51811594202898503</v>
          </cell>
          <cell r="O1221">
            <v>458.81663500000002</v>
          </cell>
          <cell r="P1221">
            <v>1.5248618784530299</v>
          </cell>
          <cell r="Q1221">
            <v>451.76758699999999</v>
          </cell>
          <cell r="R1221">
            <v>1.5193370165745801</v>
          </cell>
          <cell r="S1221">
            <v>2602.5163219999999</v>
          </cell>
          <cell r="T1221">
            <v>2.3227016885553402</v>
          </cell>
          <cell r="U1221">
            <v>142.507848</v>
          </cell>
          <cell r="V1221">
            <v>0.20637898686679099</v>
          </cell>
        </row>
        <row r="1222">
          <cell r="A1222" t="str">
            <v>074603</v>
          </cell>
          <cell r="B1222">
            <v>1</v>
          </cell>
          <cell r="C1222">
            <v>1072.843267</v>
          </cell>
          <cell r="D1222">
            <v>1</v>
          </cell>
          <cell r="E1222">
            <v>0</v>
          </cell>
          <cell r="F1222">
            <v>0</v>
          </cell>
          <cell r="G1222">
            <v>0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  <cell r="S1222">
            <v>128.69999999999999</v>
          </cell>
          <cell r="T1222">
            <v>1</v>
          </cell>
          <cell r="U1222">
            <v>0</v>
          </cell>
          <cell r="V1222">
            <v>0</v>
          </cell>
        </row>
        <row r="1223">
          <cell r="A1223" t="str">
            <v>074604</v>
          </cell>
          <cell r="B1223">
            <v>754.25</v>
          </cell>
          <cell r="C1223">
            <v>1369.7541100000001</v>
          </cell>
          <cell r="D1223">
            <v>1.0763157894736799</v>
          </cell>
          <cell r="E1223">
            <v>7.9997980000000002</v>
          </cell>
          <cell r="F1223">
            <v>6.8421052631578896E-2</v>
          </cell>
          <cell r="G1223">
            <v>409.36771800000002</v>
          </cell>
          <cell r="H1223">
            <v>2.2042440318302301</v>
          </cell>
          <cell r="I1223">
            <v>409.36771800000002</v>
          </cell>
          <cell r="J1223">
            <v>2.2042440318302301</v>
          </cell>
          <cell r="K1223">
            <v>51.669595000000001</v>
          </cell>
          <cell r="L1223">
            <v>0.39680426098535199</v>
          </cell>
          <cell r="M1223">
            <v>47.886484000000003</v>
          </cell>
          <cell r="N1223">
            <v>0.39547270306258298</v>
          </cell>
          <cell r="O1223">
            <v>11.784552</v>
          </cell>
          <cell r="P1223">
            <v>0.13164893617021201</v>
          </cell>
          <cell r="Q1223">
            <v>11.784552</v>
          </cell>
          <cell r="R1223">
            <v>0.13164893617021201</v>
          </cell>
          <cell r="S1223">
            <v>434.179393</v>
          </cell>
          <cell r="T1223">
            <v>1.4116865869853901</v>
          </cell>
          <cell r="U1223">
            <v>55.264077</v>
          </cell>
          <cell r="V1223">
            <v>0.21513944223107501</v>
          </cell>
        </row>
        <row r="1224">
          <cell r="A1224" t="str">
            <v>074801</v>
          </cell>
          <cell r="B1224">
            <v>706.625</v>
          </cell>
          <cell r="C1224">
            <v>159.59454400000001</v>
          </cell>
          <cell r="D1224">
            <v>1.16573033707865</v>
          </cell>
          <cell r="E1224">
            <v>159.59454400000001</v>
          </cell>
          <cell r="F1224">
            <v>1.16573033707865</v>
          </cell>
          <cell r="G1224">
            <v>691.96657800000003</v>
          </cell>
          <cell r="H1224">
            <v>0.51631205673758795</v>
          </cell>
          <cell r="I1224">
            <v>106.63644600000001</v>
          </cell>
          <cell r="J1224">
            <v>0.30212765957446802</v>
          </cell>
          <cell r="K1224">
            <v>3766.8326040000002</v>
          </cell>
          <cell r="L1224">
            <v>2.17207334273624</v>
          </cell>
          <cell r="M1224">
            <v>56.263869</v>
          </cell>
          <cell r="N1224">
            <v>0.417489421720733</v>
          </cell>
          <cell r="O1224">
            <v>1804.8877359999999</v>
          </cell>
          <cell r="P1224">
            <v>1.92187499999999</v>
          </cell>
          <cell r="Q1224">
            <v>91.759326999999999</v>
          </cell>
          <cell r="R1224">
            <v>0.63352272727272696</v>
          </cell>
          <cell r="S1224">
            <v>430.29642999999999</v>
          </cell>
          <cell r="T1224">
            <v>0.85957446808510596</v>
          </cell>
          <cell r="U1224">
            <v>430.29642999999999</v>
          </cell>
          <cell r="V1224">
            <v>0.85957446808510596</v>
          </cell>
        </row>
        <row r="1225">
          <cell r="A1225" t="str">
            <v>074802</v>
          </cell>
          <cell r="B1225">
            <v>504.44444399999998</v>
          </cell>
          <cell r="C1225">
            <v>316.38179600000001</v>
          </cell>
          <cell r="D1225">
            <v>2.0590551181102299</v>
          </cell>
          <cell r="E1225">
            <v>316.38179600000001</v>
          </cell>
          <cell r="F1225">
            <v>2.0590551181102299</v>
          </cell>
          <cell r="G1225">
            <v>151.81110699999999</v>
          </cell>
          <cell r="H1225">
            <v>0.66865079365079305</v>
          </cell>
          <cell r="I1225">
            <v>131.76432700000001</v>
          </cell>
          <cell r="J1225">
            <v>0.634920634920634</v>
          </cell>
          <cell r="K1225">
            <v>304.90288600000002</v>
          </cell>
          <cell r="L1225">
            <v>1.0511811023622</v>
          </cell>
          <cell r="M1225">
            <v>297.61935599999998</v>
          </cell>
          <cell r="N1225">
            <v>1.0393700787401501</v>
          </cell>
          <cell r="O1225">
            <v>834.12701600000003</v>
          </cell>
          <cell r="P1225">
            <v>3.6249999999999898</v>
          </cell>
          <cell r="Q1225">
            <v>395.40720800000003</v>
          </cell>
          <cell r="R1225">
            <v>2.1071428571428501</v>
          </cell>
          <cell r="S1225">
            <v>1582.486999</v>
          </cell>
          <cell r="T1225">
            <v>2.254</v>
          </cell>
          <cell r="U1225">
            <v>647.36339899999996</v>
          </cell>
          <cell r="V1225">
            <v>0.90200000000000002</v>
          </cell>
        </row>
        <row r="1226">
          <cell r="A1226" t="str">
            <v>074901</v>
          </cell>
          <cell r="B1226">
            <v>856.11111100000005</v>
          </cell>
          <cell r="C1226">
            <v>279.57181800000001</v>
          </cell>
          <cell r="D1226">
            <v>1.06783625730994</v>
          </cell>
          <cell r="E1226">
            <v>279.57181800000001</v>
          </cell>
          <cell r="F1226">
            <v>1.06783625730994</v>
          </cell>
          <cell r="G1226">
            <v>1292.221597</v>
          </cell>
          <cell r="H1226">
            <v>0.97313084112149495</v>
          </cell>
          <cell r="I1226">
            <v>124.941028</v>
          </cell>
          <cell r="J1226">
            <v>0.62266355140186902</v>
          </cell>
          <cell r="K1226">
            <v>2436.9998249999999</v>
          </cell>
          <cell r="L1226">
            <v>2.7892898719441201</v>
          </cell>
          <cell r="M1226">
            <v>550.00908000000004</v>
          </cell>
          <cell r="N1226">
            <v>2.04423748544819</v>
          </cell>
          <cell r="O1226">
            <v>2477.9207449999999</v>
          </cell>
          <cell r="P1226">
            <v>3.0629370629370598</v>
          </cell>
          <cell r="Q1226">
            <v>517.29918399999997</v>
          </cell>
          <cell r="R1226">
            <v>2.0629370629370598</v>
          </cell>
          <cell r="S1226">
            <v>251.79471699999999</v>
          </cell>
          <cell r="T1226">
            <v>0.27347417840375499</v>
          </cell>
          <cell r="U1226">
            <v>30.313732000000002</v>
          </cell>
          <cell r="V1226">
            <v>6.3380281690140802E-2</v>
          </cell>
        </row>
        <row r="1227">
          <cell r="A1227" t="str">
            <v>074902</v>
          </cell>
          <cell r="B1227">
            <v>1</v>
          </cell>
          <cell r="C1227">
            <v>0</v>
          </cell>
          <cell r="D1227">
            <v>0</v>
          </cell>
          <cell r="E1227">
            <v>0</v>
          </cell>
          <cell r="F1227">
            <v>0</v>
          </cell>
          <cell r="G1227">
            <v>0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2230.4</v>
          </cell>
          <cell r="P1227">
            <v>2</v>
          </cell>
          <cell r="Q1227">
            <v>285</v>
          </cell>
          <cell r="R1227">
            <v>1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</row>
        <row r="1228">
          <cell r="A1228" t="str">
            <v>074903</v>
          </cell>
          <cell r="B1228">
            <v>889.875</v>
          </cell>
          <cell r="C1228">
            <v>157.655146</v>
          </cell>
          <cell r="D1228">
            <v>0.518312985571587</v>
          </cell>
          <cell r="E1228">
            <v>157.655146</v>
          </cell>
          <cell r="F1228">
            <v>0.518312985571587</v>
          </cell>
          <cell r="G1228">
            <v>0.21438599999999999</v>
          </cell>
          <cell r="H1228">
            <v>1.12107623318385E-3</v>
          </cell>
          <cell r="I1228">
            <v>0.21438599999999999</v>
          </cell>
          <cell r="J1228">
            <v>1.12107623318385E-3</v>
          </cell>
          <cell r="K1228">
            <v>26.273018</v>
          </cell>
          <cell r="L1228">
            <v>0.11995515695067201</v>
          </cell>
          <cell r="M1228">
            <v>2.7917969999999999</v>
          </cell>
          <cell r="N1228">
            <v>3.9237668161434897E-2</v>
          </cell>
          <cell r="O1228">
            <v>1660.9687980000001</v>
          </cell>
          <cell r="P1228">
            <v>2.79797979797979</v>
          </cell>
          <cell r="Q1228">
            <v>296.93778500000002</v>
          </cell>
          <cell r="R1228">
            <v>1.8900112233445501</v>
          </cell>
          <cell r="S1228">
            <v>20.706589999999998</v>
          </cell>
          <cell r="T1228">
            <v>1.08181818181818</v>
          </cell>
          <cell r="U1228">
            <v>18.460757000000001</v>
          </cell>
          <cell r="V1228">
            <v>1.06704545454545</v>
          </cell>
        </row>
        <row r="1229">
          <cell r="A1229" t="str">
            <v>075101</v>
          </cell>
          <cell r="B1229">
            <v>540.79999999999995</v>
          </cell>
          <cell r="C1229">
            <v>140.855953</v>
          </cell>
          <cell r="D1229">
            <v>0.493506493506493</v>
          </cell>
          <cell r="E1229">
            <v>112.520979</v>
          </cell>
          <cell r="F1229">
            <v>0.48376623376623301</v>
          </cell>
          <cell r="G1229">
            <v>45.714703</v>
          </cell>
          <cell r="H1229">
            <v>0.211920529801324</v>
          </cell>
          <cell r="I1229">
            <v>25.371307000000002</v>
          </cell>
          <cell r="J1229">
            <v>0.19701986754966799</v>
          </cell>
          <cell r="K1229">
            <v>583.54464700000005</v>
          </cell>
          <cell r="L1229">
            <v>2.0549084858568998</v>
          </cell>
          <cell r="M1229">
            <v>381.92620599999998</v>
          </cell>
          <cell r="N1229">
            <v>1.9567387687188</v>
          </cell>
          <cell r="O1229">
            <v>475.53201799999999</v>
          </cell>
          <cell r="P1229">
            <v>1.96140939597315</v>
          </cell>
          <cell r="Q1229">
            <v>352.43366800000001</v>
          </cell>
          <cell r="R1229">
            <v>1.9127516778523399</v>
          </cell>
          <cell r="S1229">
            <v>475.44582500000001</v>
          </cell>
          <cell r="T1229">
            <v>0.66218487394957903</v>
          </cell>
          <cell r="U1229">
            <v>73.761679999999998</v>
          </cell>
          <cell r="V1229">
            <v>0.30084033613445299</v>
          </cell>
        </row>
        <row r="1230">
          <cell r="A1230" t="str">
            <v>075102</v>
          </cell>
          <cell r="B1230">
            <v>580.20000000000005</v>
          </cell>
          <cell r="C1230">
            <v>587.78547300000002</v>
          </cell>
          <cell r="D1230">
            <v>0.74280879864636196</v>
          </cell>
          <cell r="E1230">
            <v>54.959448000000002</v>
          </cell>
          <cell r="F1230">
            <v>0.47546531302876399</v>
          </cell>
          <cell r="G1230">
            <v>778.52181599999994</v>
          </cell>
          <cell r="H1230">
            <v>1.6219931271477599</v>
          </cell>
          <cell r="I1230">
            <v>245.983576</v>
          </cell>
          <cell r="J1230">
            <v>1.3041237113402</v>
          </cell>
          <cell r="K1230">
            <v>873.42507000000001</v>
          </cell>
          <cell r="L1230">
            <v>2.8290155440414502</v>
          </cell>
          <cell r="M1230">
            <v>301.514478</v>
          </cell>
          <cell r="N1230">
            <v>1.6165803108808201</v>
          </cell>
          <cell r="O1230">
            <v>307.54540700000001</v>
          </cell>
          <cell r="P1230">
            <v>0.78682842287694899</v>
          </cell>
          <cell r="Q1230">
            <v>205.962536</v>
          </cell>
          <cell r="R1230">
            <v>0.71403812824956603</v>
          </cell>
          <cell r="S1230">
            <v>252.84184099999999</v>
          </cell>
          <cell r="T1230">
            <v>0.89860139860139798</v>
          </cell>
          <cell r="U1230">
            <v>67.297085999999993</v>
          </cell>
          <cell r="V1230">
            <v>0.59965034965034902</v>
          </cell>
        </row>
        <row r="1231">
          <cell r="A1231" t="str">
            <v>075401</v>
          </cell>
          <cell r="B1231">
            <v>853</v>
          </cell>
          <cell r="C1231">
            <v>1430.2389209999999</v>
          </cell>
          <cell r="D1231">
            <v>2.1109813084112101</v>
          </cell>
          <cell r="E1231">
            <v>190.19658100000001</v>
          </cell>
          <cell r="F1231">
            <v>1.0981308411214901</v>
          </cell>
          <cell r="G1231">
            <v>453.89610099999999</v>
          </cell>
          <cell r="H1231">
            <v>2.60375146541617</v>
          </cell>
          <cell r="I1231">
            <v>453.89610099999999</v>
          </cell>
          <cell r="J1231">
            <v>2.60375146541617</v>
          </cell>
          <cell r="K1231">
            <v>804.88574100000005</v>
          </cell>
          <cell r="L1231">
            <v>0.36780258519388898</v>
          </cell>
          <cell r="M1231">
            <v>96.639267000000004</v>
          </cell>
          <cell r="N1231">
            <v>0.22561692126909499</v>
          </cell>
          <cell r="O1231">
            <v>55.188620999999998</v>
          </cell>
          <cell r="P1231">
            <v>0.32902467685076298</v>
          </cell>
          <cell r="Q1231">
            <v>55.188620999999998</v>
          </cell>
          <cell r="R1231">
            <v>0.32902467685076298</v>
          </cell>
          <cell r="S1231">
            <v>3.7820239999999998</v>
          </cell>
          <cell r="T1231">
            <v>1.6412661195779599E-2</v>
          </cell>
          <cell r="U1231">
            <v>3.7820239999999998</v>
          </cell>
          <cell r="V1231">
            <v>1.6412661195779599E-2</v>
          </cell>
        </row>
        <row r="1232">
          <cell r="A1232" t="str">
            <v>075402</v>
          </cell>
          <cell r="B1232">
            <v>970</v>
          </cell>
          <cell r="C1232">
            <v>12.527068999999999</v>
          </cell>
          <cell r="D1232">
            <v>2.44140625E-2</v>
          </cell>
          <cell r="E1232">
            <v>12.527068999999999</v>
          </cell>
          <cell r="F1232">
            <v>2.44140625E-2</v>
          </cell>
          <cell r="G1232">
            <v>681.17012299999999</v>
          </cell>
          <cell r="H1232">
            <v>2.4735812133072401</v>
          </cell>
          <cell r="I1232">
            <v>432.849785</v>
          </cell>
          <cell r="J1232">
            <v>1.44031311154598</v>
          </cell>
          <cell r="K1232">
            <v>613.85458300000005</v>
          </cell>
          <cell r="L1232">
            <v>0.98946259220231803</v>
          </cell>
          <cell r="M1232">
            <v>558.23470299999997</v>
          </cell>
          <cell r="N1232">
            <v>0.97049525816649096</v>
          </cell>
          <cell r="O1232">
            <v>1077.387213</v>
          </cell>
          <cell r="P1232">
            <v>3.1405579399141601</v>
          </cell>
          <cell r="Q1232">
            <v>1077.387213</v>
          </cell>
          <cell r="R1232">
            <v>3.1405579399141601</v>
          </cell>
          <cell r="S1232">
            <v>332.12567100000001</v>
          </cell>
          <cell r="T1232">
            <v>1.312567132116</v>
          </cell>
          <cell r="U1232">
            <v>319.73972400000002</v>
          </cell>
          <cell r="V1232">
            <v>1.3007518796992401</v>
          </cell>
        </row>
        <row r="1233">
          <cell r="A1233" t="str">
            <v>075701</v>
          </cell>
          <cell r="B1233">
            <v>1418.4</v>
          </cell>
          <cell r="C1233">
            <v>1140.199136</v>
          </cell>
          <cell r="D1233">
            <v>3.6631578947368402</v>
          </cell>
          <cell r="E1233">
            <v>652.81186300000002</v>
          </cell>
          <cell r="F1233">
            <v>2.50526315789473</v>
          </cell>
          <cell r="G1233">
            <v>52.310887000000001</v>
          </cell>
          <cell r="H1233">
            <v>0.29073033707865098</v>
          </cell>
          <cell r="I1233">
            <v>51.466569</v>
          </cell>
          <cell r="J1233">
            <v>0.288623595505617</v>
          </cell>
          <cell r="K1233">
            <v>54.559361000000003</v>
          </cell>
          <cell r="L1233">
            <v>0.343904157857646</v>
          </cell>
          <cell r="M1233">
            <v>54.330255999999999</v>
          </cell>
          <cell r="N1233">
            <v>0.33967582804792101</v>
          </cell>
          <cell r="O1233">
            <v>278.94603499999999</v>
          </cell>
          <cell r="P1233">
            <v>1.5201129146083201</v>
          </cell>
          <cell r="Q1233">
            <v>278.82996900000001</v>
          </cell>
          <cell r="R1233">
            <v>1.51729004940014</v>
          </cell>
          <cell r="S1233">
            <v>343.45011699999998</v>
          </cell>
          <cell r="T1233">
            <v>0.57356076759061803</v>
          </cell>
          <cell r="U1233">
            <v>108.274958</v>
          </cell>
          <cell r="V1233">
            <v>0.38805970149253699</v>
          </cell>
        </row>
        <row r="1234">
          <cell r="A1234" t="str">
            <v>075702</v>
          </cell>
          <cell r="B1234">
            <v>2147</v>
          </cell>
          <cell r="C1234">
            <v>1048.904835</v>
          </cell>
          <cell r="D1234">
            <v>4.4356846473029004</v>
          </cell>
          <cell r="E1234">
            <v>270.25654800000001</v>
          </cell>
          <cell r="F1234">
            <v>3.3941908713692901</v>
          </cell>
          <cell r="G1234">
            <v>409.02141899999998</v>
          </cell>
          <cell r="H1234">
            <v>0.530612244897959</v>
          </cell>
          <cell r="I1234">
            <v>26.989559</v>
          </cell>
          <cell r="J1234">
            <v>0.10018552875695701</v>
          </cell>
          <cell r="K1234">
            <v>131.77793199999999</v>
          </cell>
          <cell r="L1234">
            <v>0.49208566108007401</v>
          </cell>
          <cell r="M1234">
            <v>68.937336999999999</v>
          </cell>
          <cell r="N1234">
            <v>0.47811918063314701</v>
          </cell>
          <cell r="O1234">
            <v>385.06124</v>
          </cell>
          <cell r="P1234">
            <v>2.8690364826941002</v>
          </cell>
          <cell r="Q1234">
            <v>308.40105999999997</v>
          </cell>
          <cell r="R1234">
            <v>2.8288119738072899</v>
          </cell>
          <cell r="S1234">
            <v>289.29815500000001</v>
          </cell>
          <cell r="T1234">
            <v>1.3432203389830499</v>
          </cell>
          <cell r="U1234">
            <v>267.895197</v>
          </cell>
          <cell r="V1234">
            <v>1.28436911487758</v>
          </cell>
        </row>
        <row r="1235">
          <cell r="A1235" t="str">
            <v>075704</v>
          </cell>
          <cell r="B1235">
            <v>1067.4000000000001</v>
          </cell>
          <cell r="C1235">
            <v>34.260426000000002</v>
          </cell>
          <cell r="D1235">
            <v>0.140151515151515</v>
          </cell>
          <cell r="E1235">
            <v>6.4535799999999997</v>
          </cell>
          <cell r="F1235">
            <v>0.125946969696969</v>
          </cell>
          <cell r="G1235">
            <v>7.0832480000000002</v>
          </cell>
          <cell r="H1235">
            <v>3.4354688950789199E-2</v>
          </cell>
          <cell r="I1235">
            <v>3.516057</v>
          </cell>
          <cell r="J1235">
            <v>2.4141132776230201E-2</v>
          </cell>
          <cell r="K1235">
            <v>106.71116600000001</v>
          </cell>
          <cell r="L1235">
            <v>0.202602230483271</v>
          </cell>
          <cell r="M1235">
            <v>100.76256100000001</v>
          </cell>
          <cell r="N1235">
            <v>0.19981412639405199</v>
          </cell>
          <cell r="O1235">
            <v>103.903301</v>
          </cell>
          <cell r="P1235">
            <v>0.54232558139534803</v>
          </cell>
          <cell r="Q1235">
            <v>79.124976000000004</v>
          </cell>
          <cell r="R1235">
            <v>0.46511627906976699</v>
          </cell>
          <cell r="S1235">
            <v>682.06074599999999</v>
          </cell>
          <cell r="T1235">
            <v>2.38841405508072</v>
          </cell>
          <cell r="U1235">
            <v>528.321684</v>
          </cell>
          <cell r="V1235">
            <v>2.01519468186134</v>
          </cell>
        </row>
        <row r="1236">
          <cell r="A1236" t="str">
            <v>075705</v>
          </cell>
          <cell r="B1236">
            <v>739.11111100000005</v>
          </cell>
          <cell r="C1236">
            <v>38.566454999999998</v>
          </cell>
          <cell r="D1236">
            <v>0.13235294117647001</v>
          </cell>
          <cell r="E1236">
            <v>11.283588</v>
          </cell>
          <cell r="F1236">
            <v>0.11229946524064099</v>
          </cell>
          <cell r="G1236">
            <v>183.744507</v>
          </cell>
          <cell r="H1236">
            <v>1.0691994572591501</v>
          </cell>
          <cell r="I1236">
            <v>181.93978200000001</v>
          </cell>
          <cell r="J1236">
            <v>1.06377204884667</v>
          </cell>
          <cell r="K1236">
            <v>176.87115</v>
          </cell>
          <cell r="L1236">
            <v>1.22282608695652</v>
          </cell>
          <cell r="M1236">
            <v>176.87115</v>
          </cell>
          <cell r="N1236">
            <v>1.22282608695652</v>
          </cell>
          <cell r="O1236">
            <v>315.24897399999998</v>
          </cell>
          <cell r="P1236">
            <v>2.46448087431693</v>
          </cell>
          <cell r="Q1236">
            <v>120.693647</v>
          </cell>
          <cell r="R1236">
            <v>1.6639344262294999</v>
          </cell>
          <cell r="S1236">
            <v>122.194084</v>
          </cell>
          <cell r="T1236">
            <v>1.0310391363022899</v>
          </cell>
          <cell r="U1236">
            <v>111.834255</v>
          </cell>
          <cell r="V1236">
            <v>1.01214574898785</v>
          </cell>
        </row>
        <row r="1237">
          <cell r="A1237" t="str">
            <v>075901</v>
          </cell>
          <cell r="B1237">
            <v>1231.5999999999999</v>
          </cell>
          <cell r="C1237">
            <v>4660.5757329999997</v>
          </cell>
          <cell r="D1237">
            <v>3.32258064516129</v>
          </cell>
          <cell r="E1237">
            <v>422.68932100000001</v>
          </cell>
          <cell r="F1237">
            <v>1.26278520849724</v>
          </cell>
          <cell r="G1237">
            <v>1888.105902</v>
          </cell>
          <cell r="H1237">
            <v>3.0748620961386899</v>
          </cell>
          <cell r="I1237">
            <v>321.891122</v>
          </cell>
          <cell r="J1237">
            <v>2.6477541371158302</v>
          </cell>
          <cell r="K1237">
            <v>643.55533200000002</v>
          </cell>
          <cell r="L1237">
            <v>1.44360902255639</v>
          </cell>
          <cell r="M1237">
            <v>239.52442199999999</v>
          </cell>
          <cell r="N1237">
            <v>1.1979949874686699</v>
          </cell>
          <cell r="O1237">
            <v>352.417394</v>
          </cell>
          <cell r="P1237">
            <v>1.8334735071488599</v>
          </cell>
          <cell r="Q1237">
            <v>298.083823</v>
          </cell>
          <cell r="R1237">
            <v>1.7283431455004199</v>
          </cell>
          <cell r="S1237">
            <v>111.22823200000001</v>
          </cell>
          <cell r="T1237">
            <v>1.54870129870129</v>
          </cell>
          <cell r="U1237">
            <v>79.877502000000007</v>
          </cell>
          <cell r="V1237">
            <v>1.3449675324675301</v>
          </cell>
        </row>
        <row r="1238">
          <cell r="A1238" t="str">
            <v>075902</v>
          </cell>
          <cell r="B1238">
            <v>741.8</v>
          </cell>
          <cell r="C1238">
            <v>11696.271248999999</v>
          </cell>
          <cell r="D1238">
            <v>4.4639999999999898</v>
          </cell>
          <cell r="E1238">
            <v>155.01835199999999</v>
          </cell>
          <cell r="F1238">
            <v>1.62933333333333</v>
          </cell>
          <cell r="G1238">
            <v>1741.488171</v>
          </cell>
          <cell r="H1238">
            <v>3.32042723631508</v>
          </cell>
          <cell r="I1238">
            <v>190.245901</v>
          </cell>
          <cell r="J1238">
            <v>1.84512683578104</v>
          </cell>
          <cell r="K1238">
            <v>297.994981</v>
          </cell>
          <cell r="L1238">
            <v>1.0846774193548301</v>
          </cell>
          <cell r="M1238">
            <v>165.346102</v>
          </cell>
          <cell r="N1238">
            <v>0.87634408602150504</v>
          </cell>
          <cell r="O1238">
            <v>364.21954799999997</v>
          </cell>
          <cell r="P1238">
            <v>1.5797297297297199</v>
          </cell>
          <cell r="Q1238">
            <v>313.73547200000002</v>
          </cell>
          <cell r="R1238">
            <v>1.46621621621621</v>
          </cell>
          <cell r="S1238">
            <v>513.31848000000002</v>
          </cell>
          <cell r="T1238">
            <v>2.8016528925619801</v>
          </cell>
          <cell r="U1238">
            <v>340.03668499999998</v>
          </cell>
          <cell r="V1238">
            <v>2.6749311294765801</v>
          </cell>
        </row>
        <row r="1239">
          <cell r="A1239" t="str">
            <v>076001</v>
          </cell>
          <cell r="B1239">
            <v>1251</v>
          </cell>
          <cell r="C1239">
            <v>8.6442300000000003</v>
          </cell>
          <cell r="D1239">
            <v>4.33734939759036E-2</v>
          </cell>
          <cell r="E1239">
            <v>5.0315620000000001</v>
          </cell>
          <cell r="F1239">
            <v>3.6144578313252997E-2</v>
          </cell>
          <cell r="G1239">
            <v>177.873797</v>
          </cell>
          <cell r="H1239">
            <v>1.0623501199040699</v>
          </cell>
          <cell r="I1239">
            <v>177.873797</v>
          </cell>
          <cell r="J1239">
            <v>1.0623501199040699</v>
          </cell>
          <cell r="K1239">
            <v>602.92199000000005</v>
          </cell>
          <cell r="L1239">
            <v>0.60702875399361</v>
          </cell>
          <cell r="M1239">
            <v>63.923414999999999</v>
          </cell>
          <cell r="N1239">
            <v>0.349041533546325</v>
          </cell>
          <cell r="O1239">
            <v>173.64443900000001</v>
          </cell>
          <cell r="P1239">
            <v>0.57142857142857095</v>
          </cell>
          <cell r="Q1239">
            <v>132.69481200000001</v>
          </cell>
          <cell r="R1239">
            <v>0.54189944134078205</v>
          </cell>
          <cell r="S1239">
            <v>169.458505</v>
          </cell>
          <cell r="T1239">
            <v>1.14433811802232</v>
          </cell>
          <cell r="U1239">
            <v>160.36939100000001</v>
          </cell>
          <cell r="V1239">
            <v>1.13875598086124</v>
          </cell>
        </row>
        <row r="1240">
          <cell r="A1240" t="str">
            <v>076002</v>
          </cell>
          <cell r="B1240">
            <v>1139.4000000000001</v>
          </cell>
          <cell r="C1240">
            <v>116.328866</v>
          </cell>
          <cell r="D1240">
            <v>1.0464912280701699</v>
          </cell>
          <cell r="E1240">
            <v>115.308691</v>
          </cell>
          <cell r="F1240">
            <v>1.0456140350877099</v>
          </cell>
          <cell r="G1240">
            <v>233.167115</v>
          </cell>
          <cell r="H1240">
            <v>1.04912280701754</v>
          </cell>
          <cell r="I1240">
            <v>233.085588</v>
          </cell>
          <cell r="J1240">
            <v>1.04824561403508</v>
          </cell>
          <cell r="K1240">
            <v>1951.45649</v>
          </cell>
          <cell r="L1240">
            <v>3.3798245614034998</v>
          </cell>
          <cell r="M1240">
            <v>197.57662199999999</v>
          </cell>
          <cell r="N1240">
            <v>1.37105263157894</v>
          </cell>
          <cell r="O1240">
            <v>1636.55493</v>
          </cell>
          <cell r="P1240">
            <v>1.37576821773485</v>
          </cell>
          <cell r="Q1240">
            <v>50.786361999999997</v>
          </cell>
          <cell r="R1240">
            <v>0.19841966637401201</v>
          </cell>
          <cell r="S1240">
            <v>61.005476000000002</v>
          </cell>
          <cell r="T1240">
            <v>0.172231985940246</v>
          </cell>
          <cell r="U1240">
            <v>50.772612000000002</v>
          </cell>
          <cell r="V1240">
            <v>0.112478031634446</v>
          </cell>
        </row>
        <row r="1241">
          <cell r="A1241" t="str">
            <v>076003</v>
          </cell>
          <cell r="B1241">
            <v>692</v>
          </cell>
          <cell r="C1241">
            <v>305.09793500000001</v>
          </cell>
          <cell r="D1241">
            <v>2.0057553956834502</v>
          </cell>
          <cell r="E1241">
            <v>305.09793500000001</v>
          </cell>
          <cell r="F1241">
            <v>2.0057553956834502</v>
          </cell>
          <cell r="G1241">
            <v>445.95003500000001</v>
          </cell>
          <cell r="H1241">
            <v>1.96969696969696</v>
          </cell>
          <cell r="I1241">
            <v>299.516141</v>
          </cell>
          <cell r="J1241">
            <v>1.5497835497835399</v>
          </cell>
          <cell r="K1241">
            <v>3.667243</v>
          </cell>
          <cell r="L1241">
            <v>3.60230547550432E-2</v>
          </cell>
          <cell r="M1241">
            <v>3.667243</v>
          </cell>
          <cell r="N1241">
            <v>3.60230547550432E-2</v>
          </cell>
          <cell r="O1241">
            <v>20.508672000000001</v>
          </cell>
          <cell r="P1241">
            <v>6.5406976744185996E-2</v>
          </cell>
          <cell r="Q1241">
            <v>20.508672000000001</v>
          </cell>
          <cell r="R1241">
            <v>6.5406976744185996E-2</v>
          </cell>
          <cell r="S1241">
            <v>338.947701</v>
          </cell>
          <cell r="T1241">
            <v>1.00290275761973</v>
          </cell>
          <cell r="U1241">
            <v>338.947701</v>
          </cell>
          <cell r="V1241">
            <v>1.00290275761973</v>
          </cell>
        </row>
        <row r="1242">
          <cell r="A1242" t="str">
            <v>076004</v>
          </cell>
          <cell r="B1242">
            <v>812</v>
          </cell>
          <cell r="C1242">
            <v>147.20139800000001</v>
          </cell>
          <cell r="D1242">
            <v>0.368483412322274</v>
          </cell>
          <cell r="E1242">
            <v>147.20139800000001</v>
          </cell>
          <cell r="F1242">
            <v>0.368483412322274</v>
          </cell>
          <cell r="G1242">
            <v>246.71629899999999</v>
          </cell>
          <cell r="H1242">
            <v>1.04872107186358</v>
          </cell>
          <cell r="I1242">
            <v>218.070584</v>
          </cell>
          <cell r="J1242">
            <v>1.00121802679658</v>
          </cell>
          <cell r="K1242">
            <v>147.880664</v>
          </cell>
          <cell r="L1242">
            <v>0.12561576354679799</v>
          </cell>
          <cell r="M1242">
            <v>6.5401470000000002</v>
          </cell>
          <cell r="N1242">
            <v>6.8965517241379296E-2</v>
          </cell>
          <cell r="O1242">
            <v>170.80033399999999</v>
          </cell>
          <cell r="P1242">
            <v>0.26507537688442201</v>
          </cell>
          <cell r="Q1242">
            <v>2.145896</v>
          </cell>
          <cell r="R1242">
            <v>2.5125628140703501E-2</v>
          </cell>
          <cell r="S1242">
            <v>165.63261900000001</v>
          </cell>
          <cell r="T1242">
            <v>1.01133501259445</v>
          </cell>
          <cell r="U1242">
            <v>165.63261900000001</v>
          </cell>
          <cell r="V1242">
            <v>1.01133501259445</v>
          </cell>
        </row>
        <row r="1243">
          <cell r="A1243" t="str">
            <v>076005</v>
          </cell>
          <cell r="B1243">
            <v>849</v>
          </cell>
          <cell r="C1243">
            <v>150.584002</v>
          </cell>
          <cell r="D1243">
            <v>3.0389150943396199</v>
          </cell>
          <cell r="E1243">
            <v>150.584002</v>
          </cell>
          <cell r="F1243">
            <v>3.0389150943396199</v>
          </cell>
          <cell r="G1243">
            <v>320.649385</v>
          </cell>
          <cell r="H1243">
            <v>1.7067137809187201</v>
          </cell>
          <cell r="I1243">
            <v>320.649385</v>
          </cell>
          <cell r="J1243">
            <v>1.7067137809187201</v>
          </cell>
          <cell r="K1243">
            <v>1521.965387</v>
          </cell>
          <cell r="L1243">
            <v>2.02715466351829</v>
          </cell>
          <cell r="M1243">
            <v>187.075108</v>
          </cell>
          <cell r="N1243">
            <v>1.02715466351829</v>
          </cell>
          <cell r="O1243">
            <v>25.938634</v>
          </cell>
          <cell r="P1243">
            <v>0.115023474178403</v>
          </cell>
          <cell r="Q1243">
            <v>13.811737000000001</v>
          </cell>
          <cell r="R1243">
            <v>0.104460093896713</v>
          </cell>
          <cell r="S1243">
            <v>219.63081700000001</v>
          </cell>
          <cell r="T1243">
            <v>1.02830188679245</v>
          </cell>
          <cell r="U1243">
            <v>219.63081700000001</v>
          </cell>
          <cell r="V1243">
            <v>1.02830188679245</v>
          </cell>
        </row>
        <row r="1244">
          <cell r="A1244" t="str">
            <v>076006</v>
          </cell>
          <cell r="B1244">
            <v>1668</v>
          </cell>
          <cell r="C1244">
            <v>7.73177</v>
          </cell>
          <cell r="D1244">
            <v>2.09424083769633E-2</v>
          </cell>
          <cell r="E1244">
            <v>7.73177</v>
          </cell>
          <cell r="F1244">
            <v>2.09424083769633E-2</v>
          </cell>
          <cell r="G1244">
            <v>216.871724</v>
          </cell>
          <cell r="H1244">
            <v>1.14419695193434</v>
          </cell>
          <cell r="I1244">
            <v>198.373051</v>
          </cell>
          <cell r="J1244">
            <v>1.1178194607268399</v>
          </cell>
          <cell r="K1244">
            <v>803.66499599999997</v>
          </cell>
          <cell r="L1244">
            <v>0.53605615826419895</v>
          </cell>
          <cell r="M1244">
            <v>18.104254000000001</v>
          </cell>
          <cell r="N1244">
            <v>7.3388640714741493E-2</v>
          </cell>
          <cell r="O1244">
            <v>5.6263719999999999</v>
          </cell>
          <cell r="P1244">
            <v>3.0213270142180001E-2</v>
          </cell>
          <cell r="Q1244">
            <v>1.292654</v>
          </cell>
          <cell r="R1244">
            <v>2.3104265402843601E-2</v>
          </cell>
          <cell r="S1244">
            <v>63.885984999999998</v>
          </cell>
          <cell r="T1244">
            <v>0.88079859072225397</v>
          </cell>
          <cell r="U1244">
            <v>63.885984999999998</v>
          </cell>
          <cell r="V1244">
            <v>0.88079859072225397</v>
          </cell>
        </row>
        <row r="1245">
          <cell r="A1245" t="str">
            <v>076201</v>
          </cell>
          <cell r="B1245">
            <v>335.88888800000001</v>
          </cell>
          <cell r="C1245">
            <v>1709.896753</v>
          </cell>
          <cell r="D1245">
            <v>1.74999999999999</v>
          </cell>
          <cell r="E1245">
            <v>27.985389000000001</v>
          </cell>
          <cell r="F1245">
            <v>0.29464285714285698</v>
          </cell>
          <cell r="G1245">
            <v>641.50165100000004</v>
          </cell>
          <cell r="H1245">
            <v>2.1014925373134301</v>
          </cell>
          <cell r="I1245">
            <v>431.94948399999998</v>
          </cell>
          <cell r="J1245">
            <v>2.0298507462686501</v>
          </cell>
          <cell r="K1245">
            <v>7059.1992069999997</v>
          </cell>
          <cell r="L1245">
            <v>4.0741839762611196</v>
          </cell>
          <cell r="M1245">
            <v>1095.3909980000001</v>
          </cell>
          <cell r="N1245">
            <v>2.2195845697329299</v>
          </cell>
          <cell r="O1245">
            <v>3164.8789409999999</v>
          </cell>
          <cell r="P1245">
            <v>1.8203592814371199</v>
          </cell>
          <cell r="Q1245">
            <v>93.531636000000006</v>
          </cell>
          <cell r="R1245">
            <v>0.95508982035928103</v>
          </cell>
          <cell r="S1245">
            <v>344.96297900000002</v>
          </cell>
          <cell r="T1245">
            <v>0.53687315634218202</v>
          </cell>
          <cell r="U1245">
            <v>344.96297900000002</v>
          </cell>
          <cell r="V1245">
            <v>0.53687315634218202</v>
          </cell>
        </row>
        <row r="1246">
          <cell r="A1246" t="str">
            <v>076202</v>
          </cell>
          <cell r="B1246">
            <v>826.6</v>
          </cell>
          <cell r="C1246">
            <v>611.37381500000004</v>
          </cell>
          <cell r="D1246">
            <v>0.49399038461538403</v>
          </cell>
          <cell r="E1246">
            <v>23.145060999999998</v>
          </cell>
          <cell r="F1246">
            <v>0.28245192307692302</v>
          </cell>
          <cell r="G1246">
            <v>81.714680000000001</v>
          </cell>
          <cell r="H1246">
            <v>0.890624999999999</v>
          </cell>
          <cell r="I1246">
            <v>77.394394000000005</v>
          </cell>
          <cell r="J1246">
            <v>0.85697115384615297</v>
          </cell>
          <cell r="K1246">
            <v>5891.8104359999998</v>
          </cell>
          <cell r="L1246">
            <v>4.4759615384615303</v>
          </cell>
          <cell r="M1246">
            <v>331.90781199999998</v>
          </cell>
          <cell r="N1246">
            <v>1.9459134615384599</v>
          </cell>
          <cell r="O1246">
            <v>4271.2099909999997</v>
          </cell>
          <cell r="P1246">
            <v>1.8470149253731301</v>
          </cell>
          <cell r="Q1246">
            <v>278.83333299999998</v>
          </cell>
          <cell r="R1246">
            <v>0.77363184079601899</v>
          </cell>
          <cell r="S1246">
            <v>234.924689</v>
          </cell>
          <cell r="T1246">
            <v>0.60384153661464501</v>
          </cell>
          <cell r="U1246">
            <v>164.40872300000001</v>
          </cell>
          <cell r="V1246">
            <v>0.51860744297718997</v>
          </cell>
        </row>
        <row r="1247">
          <cell r="A1247" t="str">
            <v>076401</v>
          </cell>
          <cell r="B1247">
            <v>811.6</v>
          </cell>
          <cell r="C1247">
            <v>514.62235299999998</v>
          </cell>
          <cell r="D1247">
            <v>0.95476772616136896</v>
          </cell>
          <cell r="E1247">
            <v>113.28605</v>
          </cell>
          <cell r="F1247">
            <v>0.58679706601466897</v>
          </cell>
          <cell r="G1247">
            <v>227.26368199999999</v>
          </cell>
          <cell r="H1247">
            <v>0.85294117647058798</v>
          </cell>
          <cell r="I1247">
            <v>126.592231</v>
          </cell>
          <cell r="J1247">
            <v>0.80269607843137203</v>
          </cell>
          <cell r="K1247">
            <v>1324.124045</v>
          </cell>
          <cell r="L1247">
            <v>2.5215252152521499</v>
          </cell>
          <cell r="M1247">
            <v>312.337535</v>
          </cell>
          <cell r="N1247">
            <v>2.1599015990159902</v>
          </cell>
          <cell r="O1247">
            <v>466.63155699999999</v>
          </cell>
          <cell r="P1247">
            <v>1.5375939849624001</v>
          </cell>
          <cell r="Q1247">
            <v>155.87913499999999</v>
          </cell>
          <cell r="R1247">
            <v>1.1365914786967399</v>
          </cell>
          <cell r="S1247">
            <v>898.15381200000002</v>
          </cell>
          <cell r="T1247">
            <v>1.9581795817958101</v>
          </cell>
          <cell r="U1247">
            <v>456.66904399999999</v>
          </cell>
          <cell r="V1247">
            <v>1.7158671586715799</v>
          </cell>
        </row>
        <row r="1248">
          <cell r="A1248" t="str">
            <v>076402</v>
          </cell>
          <cell r="B1248">
            <v>386</v>
          </cell>
          <cell r="C1248">
            <v>1077.4921509999999</v>
          </cell>
          <cell r="D1248">
            <v>0.66666666666666596</v>
          </cell>
          <cell r="E1248">
            <v>80.266853999999995</v>
          </cell>
          <cell r="F1248">
            <v>0.403100775193798</v>
          </cell>
          <cell r="G1248">
            <v>762.62992999999994</v>
          </cell>
          <cell r="H1248">
            <v>1.99742268041237</v>
          </cell>
          <cell r="I1248">
            <v>645.215328</v>
          </cell>
          <cell r="J1248">
            <v>1.8530927835051501</v>
          </cell>
          <cell r="K1248">
            <v>2906.3829890000002</v>
          </cell>
          <cell r="L1248">
            <v>1.83762886597938</v>
          </cell>
          <cell r="M1248">
            <v>143.90850499999999</v>
          </cell>
          <cell r="N1248">
            <v>0.72422680412371099</v>
          </cell>
          <cell r="O1248">
            <v>1002.636117</v>
          </cell>
          <cell r="P1248">
            <v>3.7154046997389001</v>
          </cell>
          <cell r="Q1248">
            <v>627.57162700000003</v>
          </cell>
          <cell r="R1248">
            <v>3.18276762402088</v>
          </cell>
          <cell r="S1248">
            <v>775.96974699999998</v>
          </cell>
          <cell r="T1248">
            <v>2.1015624999999898</v>
          </cell>
          <cell r="U1248">
            <v>545.69262100000003</v>
          </cell>
          <cell r="V1248">
            <v>1.9557291666666601</v>
          </cell>
        </row>
        <row r="1249">
          <cell r="A1249" t="str">
            <v>076505</v>
          </cell>
          <cell r="B1249">
            <v>3</v>
          </cell>
          <cell r="C1249">
            <v>60</v>
          </cell>
          <cell r="D1249">
            <v>1</v>
          </cell>
          <cell r="E1249">
            <v>60</v>
          </cell>
          <cell r="F1249">
            <v>1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</row>
        <row r="1250">
          <cell r="A1250" t="str">
            <v>076507</v>
          </cell>
          <cell r="B1250">
            <v>54.333333000000003</v>
          </cell>
          <cell r="C1250">
            <v>1.8020240000000001</v>
          </cell>
          <cell r="D1250">
            <v>1.4925373134328301E-2</v>
          </cell>
          <cell r="E1250">
            <v>1.8020240000000001</v>
          </cell>
          <cell r="F1250">
            <v>1.4925373134328301E-2</v>
          </cell>
          <cell r="G1250">
            <v>30.347342000000001</v>
          </cell>
          <cell r="H1250">
            <v>0.15942028985507201</v>
          </cell>
          <cell r="I1250">
            <v>30.347342000000001</v>
          </cell>
          <cell r="J1250">
            <v>0.15942028985507201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190.981481</v>
          </cell>
          <cell r="T1250">
            <v>0.55555555555555503</v>
          </cell>
          <cell r="U1250">
            <v>190.981481</v>
          </cell>
          <cell r="V1250">
            <v>0.55555555555555503</v>
          </cell>
        </row>
        <row r="1251">
          <cell r="A1251" t="str">
            <v>076508</v>
          </cell>
          <cell r="B1251">
            <v>2</v>
          </cell>
          <cell r="C1251">
            <v>103.155</v>
          </cell>
          <cell r="D1251">
            <v>1.5</v>
          </cell>
          <cell r="E1251">
            <v>103.155</v>
          </cell>
          <cell r="F1251">
            <v>1.5</v>
          </cell>
          <cell r="G1251">
            <v>0</v>
          </cell>
          <cell r="H1251">
            <v>0</v>
          </cell>
          <cell r="I1251">
            <v>0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91.658332999999999</v>
          </cell>
          <cell r="P1251">
            <v>0.5</v>
          </cell>
          <cell r="Q1251">
            <v>91.658332999999999</v>
          </cell>
          <cell r="R1251">
            <v>0.5</v>
          </cell>
          <cell r="S1251">
            <v>0</v>
          </cell>
          <cell r="T1251">
            <v>0</v>
          </cell>
          <cell r="U1251">
            <v>0</v>
          </cell>
          <cell r="V1251">
            <v>0</v>
          </cell>
        </row>
        <row r="1252">
          <cell r="A1252" t="str">
            <v>076509</v>
          </cell>
          <cell r="B1252">
            <v>81</v>
          </cell>
          <cell r="C1252">
            <v>0</v>
          </cell>
          <cell r="D1252">
            <v>0</v>
          </cell>
          <cell r="E1252">
            <v>0</v>
          </cell>
          <cell r="F1252">
            <v>0</v>
          </cell>
          <cell r="G1252">
            <v>0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31.880246</v>
          </cell>
          <cell r="P1252">
            <v>0.172839506172839</v>
          </cell>
          <cell r="Q1252">
            <v>31.880246</v>
          </cell>
          <cell r="R1252">
            <v>0.172839506172839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</row>
        <row r="1253">
          <cell r="A1253" t="str">
            <v>076510</v>
          </cell>
          <cell r="B1253">
            <v>175</v>
          </cell>
          <cell r="C1253">
            <v>0</v>
          </cell>
          <cell r="D1253">
            <v>0</v>
          </cell>
          <cell r="E1253">
            <v>0</v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154.69257099999999</v>
          </cell>
          <cell r="P1253">
            <v>0.78285714285714203</v>
          </cell>
          <cell r="Q1253">
            <v>154.69257099999999</v>
          </cell>
          <cell r="R1253">
            <v>0.78285714285714203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</row>
        <row r="1254">
          <cell r="A1254" t="str">
            <v>076511</v>
          </cell>
          <cell r="B1254">
            <v>403</v>
          </cell>
          <cell r="C1254">
            <v>397.68959799999999</v>
          </cell>
          <cell r="D1254">
            <v>0.35802469135802401</v>
          </cell>
          <cell r="E1254">
            <v>25.080224000000001</v>
          </cell>
          <cell r="F1254">
            <v>0.28641975308641898</v>
          </cell>
          <cell r="G1254">
            <v>855.17964400000005</v>
          </cell>
          <cell r="H1254">
            <v>1.7827160493827101</v>
          </cell>
          <cell r="I1254">
            <v>237.39730900000001</v>
          </cell>
          <cell r="J1254">
            <v>1.1580246913580201</v>
          </cell>
          <cell r="K1254">
            <v>465.36036999999999</v>
          </cell>
          <cell r="L1254">
            <v>2.4172839506172799</v>
          </cell>
          <cell r="M1254">
            <v>234.93386799999999</v>
          </cell>
          <cell r="N1254">
            <v>0.407407407407407</v>
          </cell>
          <cell r="O1254">
            <v>14.482035</v>
          </cell>
          <cell r="P1254">
            <v>0.133165829145728</v>
          </cell>
          <cell r="Q1254">
            <v>14.482035</v>
          </cell>
          <cell r="R1254">
            <v>0.133165829145728</v>
          </cell>
          <cell r="S1254">
            <v>287.66384599999998</v>
          </cell>
          <cell r="T1254">
            <v>1.79797979797979</v>
          </cell>
          <cell r="U1254">
            <v>287.66384599999998</v>
          </cell>
          <cell r="V1254">
            <v>1.79797979797979</v>
          </cell>
        </row>
        <row r="1255">
          <cell r="A1255" t="str">
            <v>076601</v>
          </cell>
          <cell r="B1255">
            <v>1656.714285</v>
          </cell>
          <cell r="C1255">
            <v>0.11820799999999999</v>
          </cell>
          <cell r="D1255">
            <v>5.9701492537313401E-4</v>
          </cell>
          <cell r="E1255">
            <v>0.11820799999999999</v>
          </cell>
          <cell r="F1255">
            <v>5.9701492537313401E-4</v>
          </cell>
          <cell r="G1255">
            <v>9.5876090000000005</v>
          </cell>
          <cell r="H1255">
            <v>4.8076923076923003E-2</v>
          </cell>
          <cell r="I1255">
            <v>9.5876090000000005</v>
          </cell>
          <cell r="J1255">
            <v>4.8076923076923003E-2</v>
          </cell>
          <cell r="K1255">
            <v>19.041609999999999</v>
          </cell>
          <cell r="L1255">
            <v>8.2779456193353404E-2</v>
          </cell>
          <cell r="M1255">
            <v>13.656183</v>
          </cell>
          <cell r="N1255">
            <v>6.4048338368579996E-2</v>
          </cell>
          <cell r="O1255">
            <v>34.267231000000002</v>
          </cell>
          <cell r="P1255">
            <v>0.105326876513317</v>
          </cell>
          <cell r="Q1255">
            <v>23.540234000000002</v>
          </cell>
          <cell r="R1255">
            <v>9.3825665859564103E-2</v>
          </cell>
          <cell r="S1255">
            <v>5.4654800000000003</v>
          </cell>
          <cell r="T1255">
            <v>7.5425790754257899E-2</v>
          </cell>
          <cell r="U1255">
            <v>5.4654800000000003</v>
          </cell>
          <cell r="V1255">
            <v>7.5425790754257899E-2</v>
          </cell>
        </row>
        <row r="1256">
          <cell r="A1256" t="str">
            <v>076602</v>
          </cell>
          <cell r="B1256">
            <v>369.4</v>
          </cell>
          <cell r="C1256">
            <v>534.44427900000005</v>
          </cell>
          <cell r="D1256">
            <v>0.429729729729729</v>
          </cell>
          <cell r="E1256">
            <v>124.573455</v>
          </cell>
          <cell r="F1256">
            <v>0.28108108108108099</v>
          </cell>
          <cell r="G1256">
            <v>338.184031</v>
          </cell>
          <cell r="H1256">
            <v>0.38544474393530898</v>
          </cell>
          <cell r="I1256">
            <v>113.14288500000001</v>
          </cell>
          <cell r="J1256">
            <v>0.164420485175202</v>
          </cell>
          <cell r="K1256">
            <v>394.94653</v>
          </cell>
          <cell r="L1256">
            <v>0.53243243243243199</v>
          </cell>
          <cell r="M1256">
            <v>205.910765</v>
          </cell>
          <cell r="N1256">
            <v>0.36756756756756698</v>
          </cell>
          <cell r="O1256">
            <v>428.40896700000002</v>
          </cell>
          <cell r="P1256">
            <v>0.94836956521739102</v>
          </cell>
          <cell r="Q1256">
            <v>426.964719</v>
          </cell>
          <cell r="R1256">
            <v>0.94565217391304301</v>
          </cell>
          <cell r="S1256">
            <v>164.52617599999999</v>
          </cell>
          <cell r="T1256">
            <v>0.97826086956521696</v>
          </cell>
          <cell r="U1256">
            <v>134.105253</v>
          </cell>
          <cell r="V1256">
            <v>0.75543478260869501</v>
          </cell>
        </row>
        <row r="1257">
          <cell r="A1257" t="str">
            <v>076603</v>
          </cell>
          <cell r="B1257">
            <v>1441.625</v>
          </cell>
          <cell r="C1257">
            <v>90.992165</v>
          </cell>
          <cell r="D1257">
            <v>0.391394864677307</v>
          </cell>
          <cell r="E1257">
            <v>48.278958000000003</v>
          </cell>
          <cell r="F1257">
            <v>0.16446911866759101</v>
          </cell>
          <cell r="G1257">
            <v>49.866211</v>
          </cell>
          <cell r="H1257">
            <v>0.144736842105263</v>
          </cell>
          <cell r="I1257">
            <v>30.689001999999999</v>
          </cell>
          <cell r="J1257">
            <v>0.12811634349030401</v>
          </cell>
          <cell r="K1257">
            <v>45.449779999999997</v>
          </cell>
          <cell r="L1257">
            <v>0.181440443213296</v>
          </cell>
          <cell r="M1257">
            <v>23.468305000000001</v>
          </cell>
          <cell r="N1257">
            <v>0.15166204986149501</v>
          </cell>
          <cell r="O1257">
            <v>9.5897919999999992</v>
          </cell>
          <cell r="P1257">
            <v>3.7709497206703899E-2</v>
          </cell>
          <cell r="Q1257">
            <v>9.5897919999999992</v>
          </cell>
          <cell r="R1257">
            <v>3.7709497206703899E-2</v>
          </cell>
          <cell r="S1257">
            <v>3.9389810000000001</v>
          </cell>
          <cell r="T1257">
            <v>3.0492030492030399E-2</v>
          </cell>
          <cell r="U1257">
            <v>3.9389810000000001</v>
          </cell>
          <cell r="V1257">
            <v>3.0492030492030399E-2</v>
          </cell>
        </row>
        <row r="1258">
          <cell r="A1258" t="str">
            <v>076604</v>
          </cell>
          <cell r="B1258">
            <v>322</v>
          </cell>
          <cell r="C1258">
            <v>1536.3594390000001</v>
          </cell>
          <cell r="D1258">
            <v>2.2105263157894699</v>
          </cell>
          <cell r="E1258">
            <v>512.42300699999998</v>
          </cell>
          <cell r="F1258">
            <v>1.56140350877192</v>
          </cell>
          <cell r="G1258">
            <v>17.760636999999999</v>
          </cell>
          <cell r="H1258">
            <v>9.4915254237288096E-2</v>
          </cell>
          <cell r="I1258">
            <v>17.760636999999999</v>
          </cell>
          <cell r="J1258">
            <v>9.4915254237288096E-2</v>
          </cell>
          <cell r="K1258">
            <v>144.57412400000001</v>
          </cell>
          <cell r="L1258">
            <v>0.8</v>
          </cell>
          <cell r="M1258">
            <v>144.57412400000001</v>
          </cell>
          <cell r="N1258">
            <v>0.8</v>
          </cell>
          <cell r="O1258">
            <v>1197.322774</v>
          </cell>
          <cell r="P1258">
            <v>1.4130434782608601</v>
          </cell>
          <cell r="Q1258">
            <v>1197.322774</v>
          </cell>
          <cell r="R1258">
            <v>1.4130434782608601</v>
          </cell>
          <cell r="S1258">
            <v>4.5313489999999996</v>
          </cell>
          <cell r="T1258">
            <v>1.48809523809523E-2</v>
          </cell>
          <cell r="U1258">
            <v>4.5313489999999996</v>
          </cell>
          <cell r="V1258">
            <v>1.48809523809523E-2</v>
          </cell>
        </row>
        <row r="1259">
          <cell r="A1259" t="str">
            <v>076605</v>
          </cell>
          <cell r="B1259">
            <v>1343.888888</v>
          </cell>
          <cell r="C1259">
            <v>426.197428</v>
          </cell>
          <cell r="D1259">
            <v>0.55815709969788496</v>
          </cell>
          <cell r="E1259">
            <v>37.125895999999997</v>
          </cell>
          <cell r="F1259">
            <v>0.138972809667673</v>
          </cell>
          <cell r="G1259">
            <v>292.46781800000002</v>
          </cell>
          <cell r="H1259">
            <v>0.84609773887673201</v>
          </cell>
          <cell r="I1259">
            <v>269.39499899999998</v>
          </cell>
          <cell r="J1259">
            <v>0.83661560904449295</v>
          </cell>
          <cell r="K1259">
            <v>184.34176299999999</v>
          </cell>
          <cell r="L1259">
            <v>0.75801749271136998</v>
          </cell>
          <cell r="M1259">
            <v>147.22478100000001</v>
          </cell>
          <cell r="N1259">
            <v>0.74635568513119499</v>
          </cell>
          <cell r="O1259">
            <v>1476.750252</v>
          </cell>
          <cell r="P1259">
            <v>2.33813495072024</v>
          </cell>
          <cell r="Q1259">
            <v>1439.22354</v>
          </cell>
          <cell r="R1259">
            <v>2.1607278241091699</v>
          </cell>
          <cell r="S1259">
            <v>9.8416720000000009</v>
          </cell>
          <cell r="T1259">
            <v>5.66893424036281E-2</v>
          </cell>
          <cell r="U1259">
            <v>9.8416720000000009</v>
          </cell>
          <cell r="V1259">
            <v>5.66893424036281E-2</v>
          </cell>
        </row>
        <row r="1260">
          <cell r="A1260" t="str">
            <v>076606</v>
          </cell>
          <cell r="B1260">
            <v>988.75</v>
          </cell>
          <cell r="C1260">
            <v>519.32807400000002</v>
          </cell>
          <cell r="D1260">
            <v>1.0523665659617301</v>
          </cell>
          <cell r="E1260">
            <v>519.32807400000002</v>
          </cell>
          <cell r="F1260">
            <v>1.0523665659617301</v>
          </cell>
          <cell r="G1260">
            <v>61.108294000000001</v>
          </cell>
          <cell r="H1260">
            <v>0.22365805168986</v>
          </cell>
          <cell r="I1260">
            <v>42.260472</v>
          </cell>
          <cell r="J1260">
            <v>0.181908548707753</v>
          </cell>
          <cell r="K1260">
            <v>461.89022599999998</v>
          </cell>
          <cell r="L1260">
            <v>0.66633366633366597</v>
          </cell>
          <cell r="M1260">
            <v>20.522977000000001</v>
          </cell>
          <cell r="N1260">
            <v>0.121878121878121</v>
          </cell>
          <cell r="O1260">
            <v>99.647908999999999</v>
          </cell>
          <cell r="P1260">
            <v>0.69167523124357599</v>
          </cell>
          <cell r="Q1260">
            <v>93.942667999999998</v>
          </cell>
          <cell r="R1260">
            <v>0.67934224049331904</v>
          </cell>
          <cell r="S1260">
            <v>40.932270000000003</v>
          </cell>
          <cell r="T1260">
            <v>0.13584117032392801</v>
          </cell>
          <cell r="U1260">
            <v>40.932270000000003</v>
          </cell>
          <cell r="V1260">
            <v>0.13584117032392801</v>
          </cell>
        </row>
        <row r="1261">
          <cell r="A1261" t="str">
            <v>076701</v>
          </cell>
          <cell r="B1261">
            <v>372.6</v>
          </cell>
          <cell r="C1261">
            <v>55.534267</v>
          </cell>
          <cell r="D1261">
            <v>0.72511848341232199</v>
          </cell>
          <cell r="E1261">
            <v>53.402470999999998</v>
          </cell>
          <cell r="F1261">
            <v>0.72037914691943095</v>
          </cell>
          <cell r="G1261">
            <v>9.7027040000000007</v>
          </cell>
          <cell r="H1261">
            <v>6.2499999999999903E-2</v>
          </cell>
          <cell r="I1261">
            <v>8.9229260000000004</v>
          </cell>
          <cell r="J1261">
            <v>5.7692307692307598E-2</v>
          </cell>
          <cell r="K1261">
            <v>1558.0298150000001</v>
          </cell>
          <cell r="L1261">
            <v>2.4700239808153399</v>
          </cell>
          <cell r="M1261">
            <v>47.127696999999998</v>
          </cell>
          <cell r="N1261">
            <v>0.26618705035971202</v>
          </cell>
          <cell r="O1261">
            <v>165.84247500000001</v>
          </cell>
          <cell r="P1261">
            <v>1.24757281553398</v>
          </cell>
          <cell r="Q1261">
            <v>159.05380199999999</v>
          </cell>
          <cell r="R1261">
            <v>1.2427184466019401</v>
          </cell>
          <cell r="S1261">
            <v>721.48742800000002</v>
          </cell>
          <cell r="T1261">
            <v>1.75921375921375</v>
          </cell>
          <cell r="U1261">
            <v>254.69160500000001</v>
          </cell>
          <cell r="V1261">
            <v>1.28255528255528</v>
          </cell>
        </row>
        <row r="1262">
          <cell r="A1262" t="str">
            <v>076702</v>
          </cell>
          <cell r="B1262">
            <v>429.22222199999999</v>
          </cell>
          <cell r="C1262">
            <v>29.907136000000001</v>
          </cell>
          <cell r="D1262">
            <v>0.228438228438228</v>
          </cell>
          <cell r="E1262">
            <v>29.907136000000001</v>
          </cell>
          <cell r="F1262">
            <v>0.228438228438228</v>
          </cell>
          <cell r="G1262">
            <v>343.84136899999999</v>
          </cell>
          <cell r="H1262">
            <v>3.0489510489510399</v>
          </cell>
          <cell r="I1262">
            <v>275.91287599999998</v>
          </cell>
          <cell r="J1262">
            <v>2.8321678321678299</v>
          </cell>
          <cell r="K1262">
            <v>822.64918499999999</v>
          </cell>
          <cell r="L1262">
            <v>1.97209302325581</v>
          </cell>
          <cell r="M1262">
            <v>180.03860399999999</v>
          </cell>
          <cell r="N1262">
            <v>0.68604651162790597</v>
          </cell>
          <cell r="O1262">
            <v>481.415772</v>
          </cell>
          <cell r="P1262">
            <v>1.23543123543123</v>
          </cell>
          <cell r="Q1262">
            <v>146.26845299999999</v>
          </cell>
          <cell r="R1262">
            <v>1.03263403263403</v>
          </cell>
          <cell r="S1262">
            <v>380.15334000000001</v>
          </cell>
          <cell r="T1262">
            <v>1.1048951048950999</v>
          </cell>
          <cell r="U1262">
            <v>89.537451000000004</v>
          </cell>
          <cell r="V1262">
            <v>0.54079254079254002</v>
          </cell>
        </row>
        <row r="1263">
          <cell r="A1263" t="str">
            <v>076901</v>
          </cell>
          <cell r="B1263">
            <v>2</v>
          </cell>
          <cell r="C1263">
            <v>0</v>
          </cell>
          <cell r="D1263">
            <v>0</v>
          </cell>
          <cell r="E1263">
            <v>0</v>
          </cell>
          <cell r="F1263">
            <v>0</v>
          </cell>
          <cell r="G1263">
            <v>0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58.783332999999999</v>
          </cell>
          <cell r="T1263">
            <v>0.5</v>
          </cell>
          <cell r="U1263">
            <v>58.783332999999999</v>
          </cell>
          <cell r="V1263">
            <v>0.5</v>
          </cell>
        </row>
        <row r="1264">
          <cell r="A1264" t="str">
            <v>076902</v>
          </cell>
          <cell r="B1264">
            <v>313.33333299999998</v>
          </cell>
          <cell r="C1264">
            <v>3.1611449999999999</v>
          </cell>
          <cell r="D1264">
            <v>2.3529411764705799E-2</v>
          </cell>
          <cell r="E1264">
            <v>3.1611449999999999</v>
          </cell>
          <cell r="F1264">
            <v>2.3529411764705799E-2</v>
          </cell>
          <cell r="G1264">
            <v>0.33730399999999999</v>
          </cell>
          <cell r="H1264">
            <v>9.8039215686274508E-3</v>
          </cell>
          <cell r="I1264">
            <v>0</v>
          </cell>
          <cell r="J1264">
            <v>0</v>
          </cell>
          <cell r="K1264">
            <v>1102.829043</v>
          </cell>
          <cell r="L1264">
            <v>0.999999999999999</v>
          </cell>
          <cell r="M1264">
            <v>0.88018399999999997</v>
          </cell>
          <cell r="N1264">
            <v>3.2573289902280101E-3</v>
          </cell>
          <cell r="O1264">
            <v>11.191345999999999</v>
          </cell>
          <cell r="P1264">
            <v>1.2820512820512799E-2</v>
          </cell>
          <cell r="Q1264">
            <v>0</v>
          </cell>
          <cell r="R1264">
            <v>0</v>
          </cell>
          <cell r="S1264">
            <v>194.316666</v>
          </cell>
          <cell r="T1264">
            <v>1</v>
          </cell>
          <cell r="U1264">
            <v>194.316666</v>
          </cell>
          <cell r="V1264">
            <v>1</v>
          </cell>
        </row>
        <row r="1265">
          <cell r="A1265" t="str">
            <v>076903</v>
          </cell>
          <cell r="B1265">
            <v>173.2</v>
          </cell>
          <cell r="C1265">
            <v>0</v>
          </cell>
          <cell r="D1265">
            <v>0</v>
          </cell>
          <cell r="E1265">
            <v>0</v>
          </cell>
          <cell r="F1265">
            <v>0</v>
          </cell>
          <cell r="G1265">
            <v>23.300416999999999</v>
          </cell>
          <cell r="H1265">
            <v>0.45251396648044601</v>
          </cell>
          <cell r="I1265">
            <v>23.300416999999999</v>
          </cell>
          <cell r="J1265">
            <v>0.45251396648044601</v>
          </cell>
          <cell r="K1265">
            <v>30.074293000000001</v>
          </cell>
          <cell r="L1265">
            <v>7.3446327683615795E-2</v>
          </cell>
          <cell r="M1265">
            <v>8.3178900000000002</v>
          </cell>
          <cell r="N1265">
            <v>5.6497175141242903E-2</v>
          </cell>
          <cell r="O1265">
            <v>49.709839000000002</v>
          </cell>
          <cell r="P1265">
            <v>0.52409638554216798</v>
          </cell>
          <cell r="Q1265">
            <v>49.709839000000002</v>
          </cell>
          <cell r="R1265">
            <v>0.52409638554216798</v>
          </cell>
          <cell r="S1265">
            <v>194.62335300000001</v>
          </cell>
          <cell r="T1265">
            <v>1.0299401197604701</v>
          </cell>
          <cell r="U1265">
            <v>194.62335300000001</v>
          </cell>
          <cell r="V1265">
            <v>1.0299401197604701</v>
          </cell>
        </row>
        <row r="1266">
          <cell r="A1266" t="str">
            <v>077001</v>
          </cell>
          <cell r="B1266">
            <v>492.6</v>
          </cell>
          <cell r="C1266">
            <v>229.93007900000001</v>
          </cell>
          <cell r="D1266">
            <v>1.8499999999999901</v>
          </cell>
          <cell r="E1266">
            <v>229.704038</v>
          </cell>
          <cell r="F1266">
            <v>1.84642857142857</v>
          </cell>
          <cell r="G1266">
            <v>51.369653999999997</v>
          </cell>
          <cell r="H1266">
            <v>0.29369369369369303</v>
          </cell>
          <cell r="I1266">
            <v>43.365096000000001</v>
          </cell>
          <cell r="J1266">
            <v>0.29009009009009001</v>
          </cell>
          <cell r="K1266">
            <v>2530.45964</v>
          </cell>
          <cell r="L1266">
            <v>2.7335766423357599</v>
          </cell>
          <cell r="M1266">
            <v>261.52767599999999</v>
          </cell>
          <cell r="N1266">
            <v>1.8065693430656899</v>
          </cell>
          <cell r="O1266">
            <v>375.83760699999999</v>
          </cell>
          <cell r="P1266">
            <v>2.6476014760147599</v>
          </cell>
          <cell r="Q1266">
            <v>221.084901</v>
          </cell>
          <cell r="R1266">
            <v>2.0442804428044199</v>
          </cell>
          <cell r="S1266">
            <v>1194.3611519999999</v>
          </cell>
          <cell r="T1266">
            <v>6.0539033457249003</v>
          </cell>
          <cell r="U1266">
            <v>850.26443600000005</v>
          </cell>
          <cell r="V1266">
            <v>3.7342007434944202</v>
          </cell>
        </row>
        <row r="1267">
          <cell r="A1267" t="str">
            <v>077002</v>
          </cell>
          <cell r="B1267">
            <v>1</v>
          </cell>
          <cell r="C1267">
            <v>0</v>
          </cell>
          <cell r="D1267">
            <v>0</v>
          </cell>
          <cell r="E1267">
            <v>0</v>
          </cell>
          <cell r="F1267">
            <v>0</v>
          </cell>
          <cell r="G1267">
            <v>0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116.8</v>
          </cell>
          <cell r="P1267">
            <v>1</v>
          </cell>
          <cell r="Q1267">
            <v>116.8</v>
          </cell>
          <cell r="R1267">
            <v>1</v>
          </cell>
          <cell r="S1267">
            <v>79</v>
          </cell>
          <cell r="T1267">
            <v>1</v>
          </cell>
          <cell r="U1267">
            <v>0</v>
          </cell>
          <cell r="V1267">
            <v>0</v>
          </cell>
        </row>
        <row r="1268">
          <cell r="A1268" t="str">
            <v>077101</v>
          </cell>
          <cell r="B1268">
            <v>630.55555500000003</v>
          </cell>
          <cell r="C1268">
            <v>4568.4252919999999</v>
          </cell>
          <cell r="D1268">
            <v>3.7981072555205002</v>
          </cell>
          <cell r="E1268">
            <v>535.251306</v>
          </cell>
          <cell r="F1268">
            <v>2.4337539432176598</v>
          </cell>
          <cell r="G1268">
            <v>407.78585399999997</v>
          </cell>
          <cell r="H1268">
            <v>3.3870458135860901</v>
          </cell>
          <cell r="I1268">
            <v>407.78585399999997</v>
          </cell>
          <cell r="J1268">
            <v>3.3870458135860901</v>
          </cell>
          <cell r="K1268">
            <v>1473.797016</v>
          </cell>
          <cell r="L1268">
            <v>3.4803767660910498</v>
          </cell>
          <cell r="M1268">
            <v>296.09107699999998</v>
          </cell>
          <cell r="N1268">
            <v>3.1287284144426999</v>
          </cell>
          <cell r="O1268">
            <v>836.20582899999999</v>
          </cell>
          <cell r="P1268">
            <v>3.56120826709062</v>
          </cell>
          <cell r="Q1268">
            <v>322.662215</v>
          </cell>
          <cell r="R1268">
            <v>2.9395866454689901</v>
          </cell>
          <cell r="S1268">
            <v>3092.4240460000001</v>
          </cell>
          <cell r="T1268">
            <v>5.8502415458937103</v>
          </cell>
          <cell r="U1268">
            <v>844.48760000000004</v>
          </cell>
          <cell r="V1268">
            <v>4.3639291465378403</v>
          </cell>
        </row>
        <row r="1269">
          <cell r="A1269" t="str">
            <v>077102</v>
          </cell>
          <cell r="B1269">
            <v>309.39999999999998</v>
          </cell>
          <cell r="C1269">
            <v>2126.2869329999999</v>
          </cell>
          <cell r="D1269">
            <v>3.1806451612903199</v>
          </cell>
          <cell r="E1269">
            <v>620.40524100000005</v>
          </cell>
          <cell r="F1269">
            <v>2.1161290322580601</v>
          </cell>
          <cell r="G1269">
            <v>519.97254299999997</v>
          </cell>
          <cell r="H1269">
            <v>1.44551282051282</v>
          </cell>
          <cell r="I1269">
            <v>377.73037399999998</v>
          </cell>
          <cell r="J1269">
            <v>1.2371794871794799</v>
          </cell>
          <cell r="K1269">
            <v>1392.039763</v>
          </cell>
          <cell r="L1269">
            <v>1.32475884244372</v>
          </cell>
          <cell r="M1269">
            <v>65.136601999999996</v>
          </cell>
          <cell r="N1269">
            <v>0.57877813504823095</v>
          </cell>
          <cell r="O1269">
            <v>673.58279200000004</v>
          </cell>
          <cell r="P1269">
            <v>2.1331168831168799</v>
          </cell>
          <cell r="Q1269">
            <v>164.865422</v>
          </cell>
          <cell r="R1269">
            <v>1.85064935064935</v>
          </cell>
          <cell r="S1269">
            <v>738.87543400000004</v>
          </cell>
          <cell r="T1269">
            <v>3.1633986928104498</v>
          </cell>
          <cell r="U1269">
            <v>383.16470500000003</v>
          </cell>
          <cell r="V1269">
            <v>2.4607843137254899</v>
          </cell>
        </row>
        <row r="1270">
          <cell r="A1270" t="str">
            <v>077201</v>
          </cell>
          <cell r="B1270">
            <v>467.4</v>
          </cell>
          <cell r="C1270">
            <v>10445.550098</v>
          </cell>
          <cell r="D1270">
            <v>4.5585215605749401</v>
          </cell>
          <cell r="E1270">
            <v>935.26497500000005</v>
          </cell>
          <cell r="F1270">
            <v>2.4394250513347</v>
          </cell>
          <cell r="G1270">
            <v>825.01554799999997</v>
          </cell>
          <cell r="H1270">
            <v>2.60869565217391</v>
          </cell>
          <cell r="I1270">
            <v>225.19521800000001</v>
          </cell>
          <cell r="J1270">
            <v>2.4409937888198701</v>
          </cell>
          <cell r="K1270">
            <v>13187.275173</v>
          </cell>
          <cell r="L1270">
            <v>5.2874999999999899</v>
          </cell>
          <cell r="M1270">
            <v>1069.487118</v>
          </cell>
          <cell r="N1270">
            <v>3.2208333333333301</v>
          </cell>
          <cell r="O1270">
            <v>421.325425</v>
          </cell>
          <cell r="P1270">
            <v>0.48139534883720903</v>
          </cell>
          <cell r="Q1270">
            <v>9.4695339999999995</v>
          </cell>
          <cell r="R1270">
            <v>6.0465116279069697E-2</v>
          </cell>
          <cell r="S1270">
            <v>949.08074299999998</v>
          </cell>
          <cell r="T1270">
            <v>4.2275711159737401</v>
          </cell>
          <cell r="U1270">
            <v>914.88384299999996</v>
          </cell>
          <cell r="V1270">
            <v>4.2035010940918998</v>
          </cell>
        </row>
        <row r="1271">
          <cell r="A1271" t="str">
            <v>077202</v>
          </cell>
          <cell r="B1271">
            <v>650</v>
          </cell>
          <cell r="C1271">
            <v>8080.7870569999995</v>
          </cell>
          <cell r="D1271">
            <v>6.8822629969418898</v>
          </cell>
          <cell r="E1271">
            <v>681.32828199999994</v>
          </cell>
          <cell r="F1271">
            <v>2.4556574923547401</v>
          </cell>
          <cell r="G1271">
            <v>607.91852500000005</v>
          </cell>
          <cell r="H1271">
            <v>3.2085235920852302</v>
          </cell>
          <cell r="I1271">
            <v>333.33197000000001</v>
          </cell>
          <cell r="J1271">
            <v>2.4916286149162801</v>
          </cell>
          <cell r="K1271">
            <v>1467.931411</v>
          </cell>
          <cell r="L1271">
            <v>1.5144157814871</v>
          </cell>
          <cell r="M1271">
            <v>183.58052599999999</v>
          </cell>
          <cell r="N1271">
            <v>0.74506828528072799</v>
          </cell>
          <cell r="O1271">
            <v>131.977689</v>
          </cell>
          <cell r="P1271">
            <v>0.559055118110236</v>
          </cell>
          <cell r="Q1271">
            <v>115.564671</v>
          </cell>
          <cell r="R1271">
            <v>0.55275590551181097</v>
          </cell>
          <cell r="S1271">
            <v>353.22408100000001</v>
          </cell>
          <cell r="T1271">
            <v>1.4372093023255801</v>
          </cell>
          <cell r="U1271">
            <v>227.72387499999999</v>
          </cell>
          <cell r="V1271">
            <v>1.37829457364341</v>
          </cell>
        </row>
        <row r="1272">
          <cell r="A1272" t="str">
            <v>077401</v>
          </cell>
          <cell r="B1272">
            <v>965.2</v>
          </cell>
          <cell r="C1272">
            <v>287.60849999999999</v>
          </cell>
          <cell r="D1272">
            <v>1.13065326633165</v>
          </cell>
          <cell r="E1272">
            <v>287.10176899999999</v>
          </cell>
          <cell r="F1272">
            <v>1.1286432160804001</v>
          </cell>
          <cell r="G1272">
            <v>1690.6741850000001</v>
          </cell>
          <cell r="H1272">
            <v>4.4883720930232496</v>
          </cell>
          <cell r="I1272">
            <v>337.15798699999999</v>
          </cell>
          <cell r="J1272">
            <v>2.81298449612403</v>
          </cell>
          <cell r="K1272">
            <v>95.410060000000001</v>
          </cell>
          <cell r="L1272">
            <v>1.1463178294573599</v>
          </cell>
          <cell r="M1272">
            <v>14.249337000000001</v>
          </cell>
          <cell r="N1272">
            <v>0.111434108527131</v>
          </cell>
          <cell r="O1272">
            <v>588.12784299999998</v>
          </cell>
          <cell r="P1272">
            <v>2.0107991360691102</v>
          </cell>
          <cell r="Q1272">
            <v>548.74258399999997</v>
          </cell>
          <cell r="R1272">
            <v>1.98380129589632</v>
          </cell>
          <cell r="S1272">
            <v>18.152515999999999</v>
          </cell>
          <cell r="T1272">
            <v>0.1474435196195</v>
          </cell>
          <cell r="U1272">
            <v>16.958997</v>
          </cell>
          <cell r="V1272">
            <v>0.143876337693222</v>
          </cell>
        </row>
        <row r="1273">
          <cell r="A1273" t="str">
            <v>077402</v>
          </cell>
          <cell r="B1273">
            <v>3716.4</v>
          </cell>
          <cell r="C1273">
            <v>813.48589400000003</v>
          </cell>
          <cell r="D1273">
            <v>4.5651830392415</v>
          </cell>
          <cell r="E1273">
            <v>188.34800300000001</v>
          </cell>
          <cell r="F1273">
            <v>2.5380563602844299</v>
          </cell>
          <cell r="G1273">
            <v>1633.8238570000001</v>
          </cell>
          <cell r="H1273">
            <v>3.51013958388201</v>
          </cell>
          <cell r="I1273">
            <v>60.679409999999997</v>
          </cell>
          <cell r="J1273">
            <v>1.14063734527258</v>
          </cell>
          <cell r="K1273">
            <v>767.66846799999996</v>
          </cell>
          <cell r="L1273">
            <v>1.36334576451784</v>
          </cell>
          <cell r="M1273">
            <v>10.207578</v>
          </cell>
          <cell r="N1273">
            <v>0.118007458710708</v>
          </cell>
          <cell r="O1273">
            <v>1144.352701</v>
          </cell>
          <cell r="P1273">
            <v>2.3461333333333299</v>
          </cell>
          <cell r="Q1273">
            <v>465.50190600000002</v>
          </cell>
          <cell r="R1273">
            <v>1.1709333333333301</v>
          </cell>
          <cell r="S1273">
            <v>1858.7866329999999</v>
          </cell>
          <cell r="T1273">
            <v>2.49282433983926</v>
          </cell>
          <cell r="U1273">
            <v>89.751328999999998</v>
          </cell>
          <cell r="V1273">
            <v>0.402985074626865</v>
          </cell>
        </row>
        <row r="1274">
          <cell r="A1274" t="str">
            <v>077403</v>
          </cell>
          <cell r="B1274">
            <v>410.16666600000002</v>
          </cell>
          <cell r="C1274">
            <v>0.34941699999999998</v>
          </cell>
          <cell r="D1274">
            <v>1.85528756957328E-3</v>
          </cell>
          <cell r="E1274">
            <v>0.34941699999999998</v>
          </cell>
          <cell r="F1274">
            <v>1.85528756957328E-3</v>
          </cell>
          <cell r="G1274">
            <v>254.710184</v>
          </cell>
          <cell r="H1274">
            <v>1.0404411764705801</v>
          </cell>
          <cell r="I1274">
            <v>161.65982299999999</v>
          </cell>
          <cell r="J1274">
            <v>0.99448529411764697</v>
          </cell>
          <cell r="K1274">
            <v>2.5979329999999998</v>
          </cell>
          <cell r="L1274">
            <v>5.1181102362204703E-2</v>
          </cell>
          <cell r="M1274">
            <v>2.5979329999999998</v>
          </cell>
          <cell r="N1274">
            <v>5.1181102362204703E-2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1692.6057249999999</v>
          </cell>
          <cell r="T1274">
            <v>2.22699386503067</v>
          </cell>
          <cell r="U1274">
            <v>573.26094000000001</v>
          </cell>
          <cell r="V1274">
            <v>1.29447852760736</v>
          </cell>
        </row>
        <row r="1275">
          <cell r="A1275" t="str">
            <v>077404</v>
          </cell>
          <cell r="B1275">
            <v>488.14285699999999</v>
          </cell>
          <cell r="C1275">
            <v>0.59336800000000001</v>
          </cell>
          <cell r="D1275">
            <v>2.2988505747126402E-3</v>
          </cell>
          <cell r="E1275">
            <v>0.59336800000000001</v>
          </cell>
          <cell r="F1275">
            <v>2.2988505747126402E-3</v>
          </cell>
          <cell r="G1275">
            <v>1290.819289</v>
          </cell>
          <cell r="H1275">
            <v>0.999999999999999</v>
          </cell>
          <cell r="I1275">
            <v>0.61386300000000005</v>
          </cell>
          <cell r="J1275">
            <v>4.60829493087557E-3</v>
          </cell>
          <cell r="K1275">
            <v>174.943701</v>
          </cell>
          <cell r="L1275">
            <v>1.8386411889596599</v>
          </cell>
          <cell r="M1275">
            <v>174.943701</v>
          </cell>
          <cell r="N1275">
            <v>1.8386411889596599</v>
          </cell>
          <cell r="O1275">
            <v>52.983893000000002</v>
          </cell>
          <cell r="P1275">
            <v>0.47899159663865498</v>
          </cell>
          <cell r="Q1275">
            <v>52.983893000000002</v>
          </cell>
          <cell r="R1275">
            <v>0.47899159663865498</v>
          </cell>
          <cell r="S1275">
            <v>8.5267160000000004</v>
          </cell>
          <cell r="T1275">
            <v>2.4809160305343501E-2</v>
          </cell>
          <cell r="U1275">
            <v>3.4368629999999998</v>
          </cell>
          <cell r="V1275">
            <v>2.0992366412213699E-2</v>
          </cell>
        </row>
        <row r="1276">
          <cell r="A1276" t="str">
            <v>077601</v>
          </cell>
          <cell r="B1276">
            <v>1560.2</v>
          </cell>
          <cell r="C1276">
            <v>307.82750700000003</v>
          </cell>
          <cell r="D1276">
            <v>1.3902439024390201</v>
          </cell>
          <cell r="E1276">
            <v>47.865195</v>
          </cell>
          <cell r="F1276">
            <v>0.55222013758599098</v>
          </cell>
          <cell r="G1276">
            <v>54.390946999999997</v>
          </cell>
          <cell r="H1276">
            <v>0.43670076726342699</v>
          </cell>
          <cell r="I1276">
            <v>51.134146999999999</v>
          </cell>
          <cell r="J1276">
            <v>0.43158567774936002</v>
          </cell>
          <cell r="K1276">
            <v>329.80128300000001</v>
          </cell>
          <cell r="L1276">
            <v>1.36136071887034</v>
          </cell>
          <cell r="M1276">
            <v>326.219041</v>
          </cell>
          <cell r="N1276">
            <v>1.34467265725288</v>
          </cell>
          <cell r="O1276">
            <v>636.05321900000001</v>
          </cell>
          <cell r="P1276">
            <v>5.36896329684481</v>
          </cell>
          <cell r="Q1276">
            <v>633.26832999999999</v>
          </cell>
          <cell r="R1276">
            <v>5.3535093367675399</v>
          </cell>
          <cell r="S1276">
            <v>748.17708900000002</v>
          </cell>
          <cell r="T1276">
            <v>3.4767518009168299</v>
          </cell>
          <cell r="U1276">
            <v>358.96884899999998</v>
          </cell>
          <cell r="V1276">
            <v>2.1604453176162401</v>
          </cell>
        </row>
        <row r="1277">
          <cell r="A1277" t="str">
            <v>077602</v>
          </cell>
          <cell r="B1277">
            <v>766.22222199999999</v>
          </cell>
          <cell r="C1277">
            <v>960.652198</v>
          </cell>
          <cell r="D1277">
            <v>3.2951885565669699</v>
          </cell>
          <cell r="E1277">
            <v>220.01796899999999</v>
          </cell>
          <cell r="F1277">
            <v>2.3784135240572102</v>
          </cell>
          <cell r="G1277">
            <v>11.529491</v>
          </cell>
          <cell r="H1277">
            <v>0.16103896103896101</v>
          </cell>
          <cell r="I1277">
            <v>11.529491</v>
          </cell>
          <cell r="J1277">
            <v>0.16103896103896101</v>
          </cell>
          <cell r="K1277">
            <v>543.74913100000003</v>
          </cell>
          <cell r="L1277">
            <v>3.2786458333333299</v>
          </cell>
          <cell r="M1277">
            <v>462.263216</v>
          </cell>
          <cell r="N1277">
            <v>3.1966145833333299</v>
          </cell>
          <cell r="O1277">
            <v>1222.81873</v>
          </cell>
          <cell r="P1277">
            <v>6.4159061277705298</v>
          </cell>
          <cell r="Q1277">
            <v>1024.0025419999999</v>
          </cell>
          <cell r="R1277">
            <v>5.9530638852672704</v>
          </cell>
          <cell r="S1277">
            <v>2392.2077939999999</v>
          </cell>
          <cell r="T1277">
            <v>5.7562582345191</v>
          </cell>
          <cell r="U1277">
            <v>746.78473799999995</v>
          </cell>
          <cell r="V1277">
            <v>4.64558629776021</v>
          </cell>
        </row>
        <row r="1278">
          <cell r="A1278" t="str">
            <v>077603</v>
          </cell>
          <cell r="B1278">
            <v>120</v>
          </cell>
          <cell r="C1278">
            <v>205.58353</v>
          </cell>
          <cell r="D1278">
            <v>0.27966101694915202</v>
          </cell>
          <cell r="E1278">
            <v>43.175986000000002</v>
          </cell>
          <cell r="F1278">
            <v>0.20338983050847401</v>
          </cell>
          <cell r="G1278">
            <v>31.932267</v>
          </cell>
          <cell r="H1278">
            <v>0.36842105263157798</v>
          </cell>
          <cell r="I1278">
            <v>23.617484999999999</v>
          </cell>
          <cell r="J1278">
            <v>0.30701754385964902</v>
          </cell>
          <cell r="K1278">
            <v>250.329913</v>
          </cell>
          <cell r="L1278">
            <v>1.0085470085470001</v>
          </cell>
          <cell r="M1278">
            <v>77.342307000000005</v>
          </cell>
          <cell r="N1278">
            <v>0.75213675213675202</v>
          </cell>
          <cell r="O1278">
            <v>213.752083</v>
          </cell>
          <cell r="P1278">
            <v>1.9921875</v>
          </cell>
          <cell r="Q1278">
            <v>213.752083</v>
          </cell>
          <cell r="R1278">
            <v>1.9921875</v>
          </cell>
          <cell r="S1278">
            <v>874.446325</v>
          </cell>
          <cell r="T1278">
            <v>1.2992125984251901</v>
          </cell>
          <cell r="U1278">
            <v>823.51299200000005</v>
          </cell>
          <cell r="V1278">
            <v>1.1023622047243999</v>
          </cell>
        </row>
        <row r="1279">
          <cell r="A1279" t="str">
            <v>077604</v>
          </cell>
          <cell r="B1279">
            <v>618.25</v>
          </cell>
          <cell r="C1279">
            <v>2137.6038060000001</v>
          </cell>
          <cell r="D1279">
            <v>1.2404643449419499</v>
          </cell>
          <cell r="E1279">
            <v>59.646590000000003</v>
          </cell>
          <cell r="F1279">
            <v>0.34162520729684898</v>
          </cell>
          <cell r="G1279">
            <v>118.448618</v>
          </cell>
          <cell r="H1279">
            <v>1.10031847133757</v>
          </cell>
          <cell r="I1279">
            <v>118.448618</v>
          </cell>
          <cell r="J1279">
            <v>1.10031847133757</v>
          </cell>
          <cell r="K1279">
            <v>303.708438</v>
          </cell>
          <cell r="L1279">
            <v>1.96031746031746</v>
          </cell>
          <cell r="M1279">
            <v>287.82714199999998</v>
          </cell>
          <cell r="N1279">
            <v>1.9396825396825299</v>
          </cell>
          <cell r="O1279">
            <v>262.36306000000002</v>
          </cell>
          <cell r="P1279">
            <v>2.4567307692307598</v>
          </cell>
          <cell r="Q1279">
            <v>262.36306000000002</v>
          </cell>
          <cell r="R1279">
            <v>2.4567307692307598</v>
          </cell>
          <cell r="S1279">
            <v>816.481405</v>
          </cell>
          <cell r="T1279">
            <v>2.1449511400651402</v>
          </cell>
          <cell r="U1279">
            <v>807.969109</v>
          </cell>
          <cell r="V1279">
            <v>2.1156351791530899</v>
          </cell>
        </row>
        <row r="1280">
          <cell r="A1280" t="str">
            <v>078001</v>
          </cell>
          <cell r="B1280">
            <v>292</v>
          </cell>
          <cell r="C1280">
            <v>170.38238899999999</v>
          </cell>
          <cell r="D1280">
            <v>1.0204081632652999</v>
          </cell>
          <cell r="E1280">
            <v>170.38238899999999</v>
          </cell>
          <cell r="F1280">
            <v>1.0204081632652999</v>
          </cell>
          <cell r="G1280">
            <v>50.533698000000001</v>
          </cell>
          <cell r="H1280">
            <v>0.57482993197278898</v>
          </cell>
          <cell r="I1280">
            <v>50.533698000000001</v>
          </cell>
          <cell r="J1280">
            <v>0.57482993197278898</v>
          </cell>
          <cell r="K1280">
            <v>1162.276791</v>
          </cell>
          <cell r="L1280">
            <v>1.3617747440273</v>
          </cell>
          <cell r="M1280">
            <v>188.575199</v>
          </cell>
          <cell r="N1280">
            <v>0.63139931740614297</v>
          </cell>
          <cell r="O1280">
            <v>660.778367</v>
          </cell>
          <cell r="P1280">
            <v>2.09246575342465</v>
          </cell>
          <cell r="Q1280">
            <v>214.76563899999999</v>
          </cell>
          <cell r="R1280">
            <v>1.06849315068493</v>
          </cell>
          <cell r="S1280">
            <v>409.60444000000001</v>
          </cell>
          <cell r="T1280">
            <v>1.4498269896193701</v>
          </cell>
          <cell r="U1280">
            <v>145.81724299999999</v>
          </cell>
          <cell r="V1280">
            <v>0.73356401384083003</v>
          </cell>
        </row>
        <row r="1281">
          <cell r="A1281" t="str">
            <v>078002</v>
          </cell>
          <cell r="B1281">
            <v>1153.375</v>
          </cell>
          <cell r="C1281">
            <v>1.9726399999999999</v>
          </cell>
          <cell r="D1281">
            <v>3.4453057708871603E-2</v>
          </cell>
          <cell r="E1281">
            <v>0.58655999999999997</v>
          </cell>
          <cell r="F1281">
            <v>7.7519379844961196E-3</v>
          </cell>
          <cell r="G1281">
            <v>1.218504</v>
          </cell>
          <cell r="H1281">
            <v>8.5543199315654401E-4</v>
          </cell>
          <cell r="I1281">
            <v>0</v>
          </cell>
          <cell r="J1281">
            <v>0</v>
          </cell>
          <cell r="K1281">
            <v>40.749659000000001</v>
          </cell>
          <cell r="L1281">
            <v>0.85374149659863896</v>
          </cell>
          <cell r="M1281">
            <v>32.085146999999999</v>
          </cell>
          <cell r="N1281">
            <v>0.85034013605442105</v>
          </cell>
          <cell r="O1281">
            <v>228.56823900000001</v>
          </cell>
          <cell r="P1281">
            <v>0.76785714285714202</v>
          </cell>
          <cell r="Q1281">
            <v>228.56823900000001</v>
          </cell>
          <cell r="R1281">
            <v>0.76785714285714202</v>
          </cell>
          <cell r="S1281">
            <v>275.964628</v>
          </cell>
          <cell r="T1281">
            <v>1.2817028985507199</v>
          </cell>
          <cell r="U1281">
            <v>40.490715000000002</v>
          </cell>
          <cell r="V1281">
            <v>0.22192028985507201</v>
          </cell>
        </row>
        <row r="1282">
          <cell r="A1282" t="str">
            <v>078003</v>
          </cell>
          <cell r="B1282">
            <v>1113.2222220000001</v>
          </cell>
          <cell r="C1282">
            <v>11.642144999999999</v>
          </cell>
          <cell r="D1282">
            <v>6.9431920649233494E-2</v>
          </cell>
          <cell r="E1282">
            <v>11.642144999999999</v>
          </cell>
          <cell r="F1282">
            <v>6.9431920649233494E-2</v>
          </cell>
          <cell r="G1282">
            <v>106.565854</v>
          </cell>
          <cell r="H1282">
            <v>1.39228007181328</v>
          </cell>
          <cell r="I1282">
            <v>101.84585300000001</v>
          </cell>
          <cell r="J1282">
            <v>1.37881508078994</v>
          </cell>
          <cell r="K1282">
            <v>83.867777000000004</v>
          </cell>
          <cell r="L1282">
            <v>0.139765554553651</v>
          </cell>
          <cell r="M1282">
            <v>13.449954</v>
          </cell>
          <cell r="N1282">
            <v>0.105500450856627</v>
          </cell>
          <cell r="O1282">
            <v>93.960825999999997</v>
          </cell>
          <cell r="P1282">
            <v>0.85354896675651304</v>
          </cell>
          <cell r="Q1282">
            <v>91.718688</v>
          </cell>
          <cell r="R1282">
            <v>0.84905660377358405</v>
          </cell>
          <cell r="S1282">
            <v>242.05364800000001</v>
          </cell>
          <cell r="T1282">
            <v>1.1814119749776499</v>
          </cell>
          <cell r="U1282">
            <v>18.126422000000002</v>
          </cell>
          <cell r="V1282">
            <v>0.16532618409294</v>
          </cell>
        </row>
        <row r="1283">
          <cell r="A1283" t="str">
            <v>078201</v>
          </cell>
          <cell r="B1283">
            <v>863.55555500000003</v>
          </cell>
          <cell r="C1283">
            <v>0.53194699999999995</v>
          </cell>
          <cell r="D1283">
            <v>3.5629453681710198E-3</v>
          </cell>
          <cell r="E1283">
            <v>0.53194699999999995</v>
          </cell>
          <cell r="F1283">
            <v>3.5629453681710198E-3</v>
          </cell>
          <cell r="G1283">
            <v>55.980035000000001</v>
          </cell>
          <cell r="H1283">
            <v>0.13038277511961699</v>
          </cell>
          <cell r="I1283">
            <v>17.377970000000001</v>
          </cell>
          <cell r="J1283">
            <v>0.101674641148325</v>
          </cell>
          <cell r="K1283">
            <v>1105.028004</v>
          </cell>
          <cell r="L1283">
            <v>2.6069711538461502</v>
          </cell>
          <cell r="M1283">
            <v>993.73894199999995</v>
          </cell>
          <cell r="N1283">
            <v>2.3882211538461502</v>
          </cell>
          <cell r="O1283">
            <v>131.11571499999999</v>
          </cell>
          <cell r="P1283">
            <v>1.2851941747572799</v>
          </cell>
          <cell r="Q1283">
            <v>107.28713500000001</v>
          </cell>
          <cell r="R1283">
            <v>1.2754854368932</v>
          </cell>
          <cell r="S1283">
            <v>236.44945100000001</v>
          </cell>
          <cell r="T1283">
            <v>1.53751284686536</v>
          </cell>
          <cell r="U1283">
            <v>200.22977</v>
          </cell>
          <cell r="V1283">
            <v>1.45940390544707</v>
          </cell>
        </row>
        <row r="1284">
          <cell r="A1284" t="str">
            <v>078202</v>
          </cell>
          <cell r="B1284">
            <v>925.66666599999996</v>
          </cell>
          <cell r="C1284">
            <v>438.68715400000002</v>
          </cell>
          <cell r="D1284">
            <v>1.2271973466003301</v>
          </cell>
          <cell r="E1284">
            <v>438.68715400000002</v>
          </cell>
          <cell r="F1284">
            <v>1.2271973466003301</v>
          </cell>
          <cell r="G1284">
            <v>1277.5480660000001</v>
          </cell>
          <cell r="H1284">
            <v>1.21618953603158</v>
          </cell>
          <cell r="I1284">
            <v>16.65823</v>
          </cell>
          <cell r="J1284">
            <v>0.117472852912142</v>
          </cell>
          <cell r="K1284">
            <v>1958.963021</v>
          </cell>
          <cell r="L1284">
            <v>3.1560636182902502</v>
          </cell>
          <cell r="M1284">
            <v>773.02375700000005</v>
          </cell>
          <cell r="N1284">
            <v>1.8906560636182901</v>
          </cell>
          <cell r="O1284">
            <v>480.13676600000002</v>
          </cell>
          <cell r="P1284">
            <v>2.7890000000000001</v>
          </cell>
          <cell r="Q1284">
            <v>416.24248299999999</v>
          </cell>
          <cell r="R1284">
            <v>2.7559999999999998</v>
          </cell>
          <cell r="S1284">
            <v>434.04266100000001</v>
          </cell>
          <cell r="T1284">
            <v>4.4177514792899402</v>
          </cell>
          <cell r="U1284">
            <v>376.351518</v>
          </cell>
          <cell r="V1284">
            <v>4.3739644970414204</v>
          </cell>
        </row>
        <row r="1285">
          <cell r="A1285" t="str">
            <v>078301</v>
          </cell>
          <cell r="B1285">
            <v>780.625</v>
          </cell>
          <cell r="C1285">
            <v>103.427954</v>
          </cell>
          <cell r="D1285">
            <v>1.1598984771573599</v>
          </cell>
          <cell r="E1285">
            <v>103.427954</v>
          </cell>
          <cell r="F1285">
            <v>1.1598984771573599</v>
          </cell>
          <cell r="G1285">
            <v>422.44734899999997</v>
          </cell>
          <cell r="H1285">
            <v>3.1872611464968101</v>
          </cell>
          <cell r="I1285">
            <v>422.44734899999997</v>
          </cell>
          <cell r="J1285">
            <v>3.1872611464968101</v>
          </cell>
          <cell r="K1285">
            <v>1670.205888</v>
          </cell>
          <cell r="L1285">
            <v>4.7321428571428497</v>
          </cell>
          <cell r="M1285">
            <v>468.97665799999999</v>
          </cell>
          <cell r="N1285">
            <v>3.0204081632653001</v>
          </cell>
          <cell r="O1285">
            <v>484.03696500000001</v>
          </cell>
          <cell r="P1285">
            <v>2.3807692307692299</v>
          </cell>
          <cell r="Q1285">
            <v>367.35504200000003</v>
          </cell>
          <cell r="R1285">
            <v>2.3038461538461501</v>
          </cell>
          <cell r="S1285">
            <v>927.72918700000002</v>
          </cell>
          <cell r="T1285">
            <v>2.0608808290155398</v>
          </cell>
          <cell r="U1285">
            <v>67.749459999999999</v>
          </cell>
          <cell r="V1285">
            <v>0.62046632124352297</v>
          </cell>
        </row>
        <row r="1286">
          <cell r="A1286" t="str">
            <v>078302</v>
          </cell>
          <cell r="B1286">
            <v>521.20000000000005</v>
          </cell>
          <cell r="C1286">
            <v>84.976384999999993</v>
          </cell>
          <cell r="D1286">
            <v>0.76146788990825598</v>
          </cell>
          <cell r="E1286">
            <v>84.663516000000001</v>
          </cell>
          <cell r="F1286">
            <v>0.757798165137614</v>
          </cell>
          <cell r="G1286">
            <v>112.662862</v>
          </cell>
          <cell r="H1286">
            <v>0.50373134328358204</v>
          </cell>
          <cell r="I1286">
            <v>110.727726</v>
          </cell>
          <cell r="J1286">
            <v>0.48507462686567099</v>
          </cell>
          <cell r="K1286">
            <v>316.13546000000002</v>
          </cell>
          <cell r="L1286">
            <v>0.45714285714285702</v>
          </cell>
          <cell r="M1286">
            <v>119.835714</v>
          </cell>
          <cell r="N1286">
            <v>0.356190476190476</v>
          </cell>
          <cell r="O1286">
            <v>16.412858</v>
          </cell>
          <cell r="P1286">
            <v>0.14829659318637201</v>
          </cell>
          <cell r="Q1286">
            <v>10.258049</v>
          </cell>
          <cell r="R1286">
            <v>0.10621242484969901</v>
          </cell>
          <cell r="S1286">
            <v>464.22741100000002</v>
          </cell>
          <cell r="T1286">
            <v>1.35728542914171</v>
          </cell>
          <cell r="U1286">
            <v>62.034596999999998</v>
          </cell>
          <cell r="V1286">
            <v>0.399201596806387</v>
          </cell>
        </row>
        <row r="1287">
          <cell r="A1287" t="str">
            <v>078401</v>
          </cell>
          <cell r="B1287">
            <v>459</v>
          </cell>
          <cell r="C1287">
            <v>2.8603100000000001</v>
          </cell>
          <cell r="D1287">
            <v>2.2172949002217199E-3</v>
          </cell>
          <cell r="E1287">
            <v>0</v>
          </cell>
          <cell r="F1287">
            <v>0</v>
          </cell>
          <cell r="G1287">
            <v>4.9998180000000003</v>
          </cell>
          <cell r="H1287">
            <v>4.3956043956043904E-3</v>
          </cell>
          <cell r="I1287">
            <v>0.45203300000000002</v>
          </cell>
          <cell r="J1287">
            <v>2.19780219780219E-3</v>
          </cell>
          <cell r="K1287">
            <v>33.851056</v>
          </cell>
          <cell r="L1287">
            <v>0.20568927789934299</v>
          </cell>
          <cell r="M1287">
            <v>25.945550000000001</v>
          </cell>
          <cell r="N1287">
            <v>0.150984682713347</v>
          </cell>
          <cell r="O1287">
            <v>613.980591</v>
          </cell>
          <cell r="P1287">
            <v>0.87445887445887405</v>
          </cell>
          <cell r="Q1287">
            <v>0.517424</v>
          </cell>
          <cell r="R1287">
            <v>6.4935064935064896E-3</v>
          </cell>
          <cell r="S1287">
            <v>492.89728100000002</v>
          </cell>
          <cell r="T1287">
            <v>0.45708154506437698</v>
          </cell>
          <cell r="U1287">
            <v>2.6805430000000001</v>
          </cell>
          <cell r="V1287">
            <v>3.4334763948497798E-2</v>
          </cell>
        </row>
        <row r="1288">
          <cell r="A1288" t="str">
            <v>078402</v>
          </cell>
          <cell r="B1288">
            <v>44</v>
          </cell>
          <cell r="C1288">
            <v>0</v>
          </cell>
          <cell r="D1288">
            <v>0</v>
          </cell>
          <cell r="E1288">
            <v>0</v>
          </cell>
          <cell r="F1288">
            <v>0</v>
          </cell>
          <cell r="G1288">
            <v>72.115131000000005</v>
          </cell>
          <cell r="H1288">
            <v>0.45454545454545398</v>
          </cell>
          <cell r="I1288">
            <v>27.801397000000001</v>
          </cell>
          <cell r="J1288">
            <v>0.22727272727272699</v>
          </cell>
          <cell r="K1288">
            <v>42.930680000000002</v>
          </cell>
          <cell r="L1288">
            <v>0.36363636363636298</v>
          </cell>
          <cell r="M1288">
            <v>37.339393000000001</v>
          </cell>
          <cell r="N1288">
            <v>0.29545454545454503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</row>
        <row r="1289">
          <cell r="A1289" t="str">
            <v>078403</v>
          </cell>
          <cell r="B1289">
            <v>8</v>
          </cell>
          <cell r="C1289">
            <v>0</v>
          </cell>
          <cell r="D1289">
            <v>0</v>
          </cell>
          <cell r="E1289">
            <v>0</v>
          </cell>
          <cell r="F1289">
            <v>0</v>
          </cell>
          <cell r="G1289">
            <v>0</v>
          </cell>
          <cell r="H1289">
            <v>0</v>
          </cell>
          <cell r="I1289">
            <v>0</v>
          </cell>
          <cell r="J1289">
            <v>0</v>
          </cell>
          <cell r="K1289">
            <v>232.935416</v>
          </cell>
          <cell r="L1289">
            <v>0.125</v>
          </cell>
          <cell r="M1289">
            <v>232.935416</v>
          </cell>
          <cell r="N1289">
            <v>0.125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</row>
        <row r="1290">
          <cell r="A1290" t="str">
            <v>078405</v>
          </cell>
          <cell r="B1290">
            <v>1</v>
          </cell>
          <cell r="C1290">
            <v>0</v>
          </cell>
          <cell r="D1290">
            <v>0</v>
          </cell>
          <cell r="E1290">
            <v>0</v>
          </cell>
          <cell r="F1290">
            <v>0</v>
          </cell>
          <cell r="G1290">
            <v>0</v>
          </cell>
          <cell r="H1290">
            <v>0</v>
          </cell>
          <cell r="I1290">
            <v>0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596.81666600000005</v>
          </cell>
          <cell r="T1290">
            <v>1</v>
          </cell>
          <cell r="U1290">
            <v>596.81666600000005</v>
          </cell>
          <cell r="V1290">
            <v>1</v>
          </cell>
        </row>
        <row r="1291">
          <cell r="A1291" t="str">
            <v>078601</v>
          </cell>
          <cell r="B1291">
            <v>569</v>
          </cell>
          <cell r="C1291">
            <v>1444.5814170000001</v>
          </cell>
          <cell r="D1291">
            <v>1.94066317626527</v>
          </cell>
          <cell r="E1291">
            <v>129.481404</v>
          </cell>
          <cell r="F1291">
            <v>0.79057591623036605</v>
          </cell>
          <cell r="G1291">
            <v>23.802346</v>
          </cell>
          <cell r="H1291">
            <v>0.143356643356643</v>
          </cell>
          <cell r="I1291">
            <v>16.501632000000001</v>
          </cell>
          <cell r="J1291">
            <v>0.13811188811188799</v>
          </cell>
          <cell r="K1291">
            <v>733.65128400000003</v>
          </cell>
          <cell r="L1291">
            <v>1.1856392294220599</v>
          </cell>
          <cell r="M1291">
            <v>214.25125499999999</v>
          </cell>
          <cell r="N1291">
            <v>0.71803852889667197</v>
          </cell>
          <cell r="O1291">
            <v>198.948735</v>
          </cell>
          <cell r="P1291">
            <v>1.63492063492063</v>
          </cell>
          <cell r="Q1291">
            <v>53.450851999999998</v>
          </cell>
          <cell r="R1291">
            <v>0.179894179894179</v>
          </cell>
          <cell r="S1291">
            <v>203.35441800000001</v>
          </cell>
          <cell r="T1291">
            <v>1.2028469750889601</v>
          </cell>
          <cell r="U1291">
            <v>91.644216999999998</v>
          </cell>
          <cell r="V1291">
            <v>0.74555160142348698</v>
          </cell>
        </row>
        <row r="1292">
          <cell r="A1292" t="str">
            <v>078602</v>
          </cell>
          <cell r="B1292">
            <v>447.55555500000003</v>
          </cell>
          <cell r="C1292">
            <v>1091.997578</v>
          </cell>
          <cell r="D1292">
            <v>1.29010989010989</v>
          </cell>
          <cell r="E1292">
            <v>10.527265</v>
          </cell>
          <cell r="F1292">
            <v>2.6373626373626301E-2</v>
          </cell>
          <cell r="G1292">
            <v>9.6820299999999992</v>
          </cell>
          <cell r="H1292">
            <v>8.90868596881959E-3</v>
          </cell>
          <cell r="I1292">
            <v>0.82549499999999998</v>
          </cell>
          <cell r="J1292">
            <v>6.6815144766146899E-3</v>
          </cell>
          <cell r="K1292">
            <v>32.804895000000002</v>
          </cell>
          <cell r="L1292">
            <v>0.19506726457399101</v>
          </cell>
          <cell r="M1292">
            <v>32.804895000000002</v>
          </cell>
          <cell r="N1292">
            <v>0.19506726457399101</v>
          </cell>
          <cell r="O1292">
            <v>99.600373000000005</v>
          </cell>
          <cell r="P1292">
            <v>1.14157303370786</v>
          </cell>
          <cell r="Q1292">
            <v>19.320710999999999</v>
          </cell>
          <cell r="R1292">
            <v>0.13932584269662901</v>
          </cell>
          <cell r="S1292">
            <v>48.750526999999998</v>
          </cell>
          <cell r="T1292">
            <v>1.0452488687782799</v>
          </cell>
          <cell r="U1292">
            <v>48.600603</v>
          </cell>
          <cell r="V1292">
            <v>1.0407239819004499</v>
          </cell>
        </row>
        <row r="1293">
          <cell r="A1293" t="str">
            <v>078702</v>
          </cell>
          <cell r="B1293">
            <v>763.8</v>
          </cell>
          <cell r="C1293">
            <v>1142.1877280000001</v>
          </cell>
          <cell r="D1293">
            <v>1.34941329856584</v>
          </cell>
          <cell r="E1293">
            <v>69.973928000000001</v>
          </cell>
          <cell r="F1293">
            <v>0.239895697522816</v>
          </cell>
          <cell r="G1293">
            <v>380.09908999999999</v>
          </cell>
          <cell r="H1293">
            <v>0.54259501965923895</v>
          </cell>
          <cell r="I1293">
            <v>40.102817999999999</v>
          </cell>
          <cell r="J1293">
            <v>0.187418086500655</v>
          </cell>
          <cell r="K1293">
            <v>649.33573200000001</v>
          </cell>
          <cell r="L1293">
            <v>0.29973821989528698</v>
          </cell>
          <cell r="M1293">
            <v>29.054755</v>
          </cell>
          <cell r="N1293">
            <v>0.19502617801047101</v>
          </cell>
          <cell r="O1293">
            <v>73.550084999999996</v>
          </cell>
          <cell r="P1293">
            <v>0.15775749674054701</v>
          </cell>
          <cell r="Q1293">
            <v>4.0037799999999999</v>
          </cell>
          <cell r="R1293">
            <v>2.9986962190352E-2</v>
          </cell>
          <cell r="S1293">
            <v>305.11264199999999</v>
          </cell>
          <cell r="T1293">
            <v>2.1886543535620002</v>
          </cell>
          <cell r="U1293">
            <v>302.900263</v>
          </cell>
          <cell r="V1293">
            <v>2.17414248021108</v>
          </cell>
        </row>
        <row r="1294">
          <cell r="A1294" t="str">
            <v>078703</v>
          </cell>
          <cell r="B1294">
            <v>566.77777700000001</v>
          </cell>
          <cell r="C1294">
            <v>1629.5157589999999</v>
          </cell>
          <cell r="D1294">
            <v>1.46073298429319</v>
          </cell>
          <cell r="E1294">
            <v>85.088649000000004</v>
          </cell>
          <cell r="F1294">
            <v>0.104712041884816</v>
          </cell>
          <cell r="G1294">
            <v>1250.387142</v>
          </cell>
          <cell r="H1294">
            <v>0.57293497363796098</v>
          </cell>
          <cell r="I1294">
            <v>85.424210000000002</v>
          </cell>
          <cell r="J1294">
            <v>0.17750439367310999</v>
          </cell>
          <cell r="K1294">
            <v>73.128051999999997</v>
          </cell>
          <cell r="L1294">
            <v>0.11504424778760999</v>
          </cell>
          <cell r="M1294">
            <v>7.6373449999999998</v>
          </cell>
          <cell r="N1294">
            <v>6.3716814159292007E-2</v>
          </cell>
          <cell r="O1294">
            <v>6.6424479999999999</v>
          </cell>
          <cell r="P1294">
            <v>0.107964601769911</v>
          </cell>
          <cell r="Q1294">
            <v>6.6424479999999999</v>
          </cell>
          <cell r="R1294">
            <v>0.107964601769911</v>
          </cell>
          <cell r="S1294">
            <v>87.669785000000005</v>
          </cell>
          <cell r="T1294">
            <v>0.11586452762923299</v>
          </cell>
          <cell r="U1294">
            <v>5.5172309999999998</v>
          </cell>
          <cell r="V1294">
            <v>6.9518716577540093E-2</v>
          </cell>
        </row>
        <row r="1295">
          <cell r="A1295" t="str">
            <v>078801</v>
          </cell>
          <cell r="B1295">
            <v>914</v>
          </cell>
          <cell r="C1295">
            <v>259.05655100000001</v>
          </cell>
          <cell r="D1295">
            <v>1.35729386892177</v>
          </cell>
          <cell r="E1295">
            <v>259.05655100000001</v>
          </cell>
          <cell r="F1295">
            <v>1.35729386892177</v>
          </cell>
          <cell r="G1295">
            <v>1480.841126</v>
          </cell>
          <cell r="H1295">
            <v>4.1650485436893199</v>
          </cell>
          <cell r="I1295">
            <v>642.28409999999997</v>
          </cell>
          <cell r="J1295">
            <v>3.4045307443365602</v>
          </cell>
          <cell r="K1295">
            <v>3272.4680699999999</v>
          </cell>
          <cell r="L1295">
            <v>3.8260393873085299</v>
          </cell>
          <cell r="M1295">
            <v>575.62496299999998</v>
          </cell>
          <cell r="N1295">
            <v>1.6345733041575401</v>
          </cell>
          <cell r="O1295">
            <v>1245.3519490000001</v>
          </cell>
          <cell r="P1295">
            <v>2.6876379690949199</v>
          </cell>
          <cell r="Q1295">
            <v>253.441464</v>
          </cell>
          <cell r="R1295">
            <v>1.2693156732891799</v>
          </cell>
          <cell r="S1295">
            <v>836.35860300000002</v>
          </cell>
          <cell r="T1295">
            <v>3.4882418812989902</v>
          </cell>
          <cell r="U1295">
            <v>230.27861100000001</v>
          </cell>
          <cell r="V1295">
            <v>2.9048152295632601</v>
          </cell>
        </row>
        <row r="1296">
          <cell r="A1296" t="str">
            <v>078802</v>
          </cell>
          <cell r="B1296">
            <v>2046.4</v>
          </cell>
          <cell r="C1296">
            <v>711.12772500000005</v>
          </cell>
          <cell r="D1296">
            <v>4.8124467178175596</v>
          </cell>
          <cell r="E1296">
            <v>707.34633799999995</v>
          </cell>
          <cell r="F1296">
            <v>4.7919863597612897</v>
          </cell>
          <cell r="G1296">
            <v>798.90998500000001</v>
          </cell>
          <cell r="H1296">
            <v>2.1653543307086598</v>
          </cell>
          <cell r="I1296">
            <v>451.34662600000001</v>
          </cell>
          <cell r="J1296">
            <v>1.62642169728783</v>
          </cell>
          <cell r="K1296">
            <v>1231.1471819999999</v>
          </cell>
          <cell r="L1296">
            <v>2.5166374781085801</v>
          </cell>
          <cell r="M1296">
            <v>551.64095799999996</v>
          </cell>
          <cell r="N1296">
            <v>2.0665499124343198</v>
          </cell>
          <cell r="O1296">
            <v>993.29917599999999</v>
          </cell>
          <cell r="P1296">
            <v>3.5741394527802202</v>
          </cell>
          <cell r="Q1296">
            <v>222.099154</v>
          </cell>
          <cell r="R1296">
            <v>1.8451015004413001</v>
          </cell>
          <cell r="S1296">
            <v>414.03934600000002</v>
          </cell>
          <cell r="T1296">
            <v>3.3603238866396699</v>
          </cell>
          <cell r="U1296">
            <v>360.418451</v>
          </cell>
          <cell r="V1296">
            <v>3.2244714349977501</v>
          </cell>
        </row>
        <row r="1297">
          <cell r="A1297" t="str">
            <v>078901</v>
          </cell>
          <cell r="B1297">
            <v>774.4</v>
          </cell>
          <cell r="C1297">
            <v>7323.8237769999996</v>
          </cell>
          <cell r="D1297">
            <v>7.4387096774193502</v>
          </cell>
          <cell r="E1297">
            <v>497.48406899999998</v>
          </cell>
          <cell r="F1297">
            <v>3.3096774193548302</v>
          </cell>
          <cell r="G1297">
            <v>167.04153700000001</v>
          </cell>
          <cell r="H1297">
            <v>1.1107419712070801</v>
          </cell>
          <cell r="I1297">
            <v>79.598455999999999</v>
          </cell>
          <cell r="J1297">
            <v>0.66112956810631196</v>
          </cell>
          <cell r="K1297">
            <v>816.93594599999994</v>
          </cell>
          <cell r="L1297">
            <v>4.6251390433815303</v>
          </cell>
          <cell r="M1297">
            <v>563.22257999999999</v>
          </cell>
          <cell r="N1297">
            <v>4.0556173526140098</v>
          </cell>
          <cell r="O1297">
            <v>409.433763</v>
          </cell>
          <cell r="P1297">
            <v>1.53655793025871</v>
          </cell>
          <cell r="Q1297">
            <v>407.31807199999997</v>
          </cell>
          <cell r="R1297">
            <v>1.5163104611923499</v>
          </cell>
          <cell r="S1297">
            <v>1526.5902599999999</v>
          </cell>
          <cell r="T1297">
            <v>3.22388059701492</v>
          </cell>
          <cell r="U1297">
            <v>289.00172199999997</v>
          </cell>
          <cell r="V1297">
            <v>2.4259471871412099</v>
          </cell>
        </row>
        <row r="1298">
          <cell r="A1298" t="str">
            <v>078902</v>
          </cell>
          <cell r="B1298">
            <v>1142.2</v>
          </cell>
          <cell r="C1298">
            <v>1839.987044</v>
          </cell>
          <cell r="D1298">
            <v>2.7382146439317898</v>
          </cell>
          <cell r="E1298">
            <v>190.79136600000001</v>
          </cell>
          <cell r="F1298">
            <v>1.67001003009027</v>
          </cell>
          <cell r="G1298">
            <v>54.018416999999999</v>
          </cell>
          <cell r="H1298">
            <v>0.32274247491638702</v>
          </cell>
          <cell r="I1298">
            <v>29.743138999999999</v>
          </cell>
          <cell r="J1298">
            <v>0.30267558528428001</v>
          </cell>
          <cell r="K1298">
            <v>2027.748703</v>
          </cell>
          <cell r="L1298">
            <v>6.4414715719063498</v>
          </cell>
          <cell r="M1298">
            <v>832.47481800000003</v>
          </cell>
          <cell r="N1298">
            <v>5.6655518394648796</v>
          </cell>
          <cell r="O1298">
            <v>108.306084</v>
          </cell>
          <cell r="P1298">
            <v>0.76274018379281505</v>
          </cell>
          <cell r="Q1298">
            <v>37.451810000000002</v>
          </cell>
          <cell r="R1298">
            <v>0.30576441102756802</v>
          </cell>
          <cell r="S1298">
            <v>5959.3419100000001</v>
          </cell>
          <cell r="T1298">
            <v>8.1733333333333302</v>
          </cell>
          <cell r="U1298">
            <v>548.34471099999996</v>
          </cell>
          <cell r="V1298">
            <v>4.9404444444444398</v>
          </cell>
        </row>
        <row r="1299">
          <cell r="A1299" t="str">
            <v>079001</v>
          </cell>
          <cell r="B1299">
            <v>963.875</v>
          </cell>
          <cell r="C1299">
            <v>646.75060900000005</v>
          </cell>
          <cell r="D1299">
            <v>2.0184426229508099</v>
          </cell>
          <cell r="E1299">
            <v>644.47017200000005</v>
          </cell>
          <cell r="F1299">
            <v>2.0163934426229502</v>
          </cell>
          <cell r="G1299">
            <v>78.939763999999997</v>
          </cell>
          <cell r="H1299">
            <v>8.3758937691521901E-2</v>
          </cell>
          <cell r="I1299">
            <v>77.570965999999999</v>
          </cell>
          <cell r="J1299">
            <v>8.2737487231869203E-2</v>
          </cell>
          <cell r="K1299">
            <v>32.487388000000003</v>
          </cell>
          <cell r="L1299">
            <v>0.25979381443298899</v>
          </cell>
          <cell r="M1299">
            <v>32.487388000000003</v>
          </cell>
          <cell r="N1299">
            <v>0.25979381443298899</v>
          </cell>
          <cell r="O1299">
            <v>1.173468</v>
          </cell>
          <cell r="P1299">
            <v>2.25479143179255E-3</v>
          </cell>
          <cell r="Q1299">
            <v>1.173468</v>
          </cell>
          <cell r="R1299">
            <v>2.25479143179255E-3</v>
          </cell>
          <cell r="S1299">
            <v>136.677142</v>
          </cell>
          <cell r="T1299">
            <v>0.32201646090534902</v>
          </cell>
          <cell r="U1299">
            <v>63.240929000000001</v>
          </cell>
          <cell r="V1299">
            <v>0.23971193415637801</v>
          </cell>
        </row>
        <row r="1300">
          <cell r="A1300" t="str">
            <v>079002</v>
          </cell>
          <cell r="B1300">
            <v>1475</v>
          </cell>
          <cell r="C1300">
            <v>298.37836199999998</v>
          </cell>
          <cell r="D1300">
            <v>2.2111337406653</v>
          </cell>
          <cell r="E1300">
            <v>298.37836199999998</v>
          </cell>
          <cell r="F1300">
            <v>2.2111337406653</v>
          </cell>
          <cell r="G1300">
            <v>30.572044999999999</v>
          </cell>
          <cell r="H1300">
            <v>0.18618821936357399</v>
          </cell>
          <cell r="I1300">
            <v>26.055132</v>
          </cell>
          <cell r="J1300">
            <v>0.17603249830737899</v>
          </cell>
          <cell r="K1300">
            <v>37.547029000000002</v>
          </cell>
          <cell r="L1300">
            <v>0.109078590785907</v>
          </cell>
          <cell r="M1300">
            <v>14.724762</v>
          </cell>
          <cell r="N1300">
            <v>0.101626016260162</v>
          </cell>
          <cell r="O1300">
            <v>198.94298699999999</v>
          </cell>
          <cell r="P1300">
            <v>0.64159891598915897</v>
          </cell>
          <cell r="Q1300">
            <v>44.259202000000002</v>
          </cell>
          <cell r="R1300">
            <v>0.611788617886178</v>
          </cell>
          <cell r="S1300">
            <v>16.059159000000001</v>
          </cell>
          <cell r="T1300">
            <v>0.10258152173913</v>
          </cell>
          <cell r="U1300">
            <v>14.021433</v>
          </cell>
          <cell r="V1300">
            <v>9.6467391304347797E-2</v>
          </cell>
        </row>
        <row r="1301">
          <cell r="A1301" t="str">
            <v>079101</v>
          </cell>
          <cell r="B1301">
            <v>1</v>
          </cell>
          <cell r="C1301">
            <v>386</v>
          </cell>
          <cell r="D1301">
            <v>1</v>
          </cell>
          <cell r="E1301">
            <v>386</v>
          </cell>
          <cell r="F1301">
            <v>1</v>
          </cell>
          <cell r="G1301">
            <v>0</v>
          </cell>
          <cell r="H1301">
            <v>0</v>
          </cell>
          <cell r="I1301">
            <v>0</v>
          </cell>
          <cell r="J1301">
            <v>0</v>
          </cell>
          <cell r="K1301">
            <v>438</v>
          </cell>
          <cell r="L1301">
            <v>1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</row>
        <row r="1302">
          <cell r="A1302" t="str">
            <v>079201</v>
          </cell>
          <cell r="B1302">
            <v>1249.8</v>
          </cell>
          <cell r="C1302">
            <v>259.05067400000001</v>
          </cell>
          <cell r="D1302">
            <v>1.13460015835312</v>
          </cell>
          <cell r="E1302">
            <v>134.88121599999999</v>
          </cell>
          <cell r="F1302">
            <v>0.72446555819477398</v>
          </cell>
          <cell r="G1302">
            <v>993.26093900000001</v>
          </cell>
          <cell r="H1302">
            <v>1.7254290171606801</v>
          </cell>
          <cell r="I1302">
            <v>113.21549899999999</v>
          </cell>
          <cell r="J1302">
            <v>0.97659906396255802</v>
          </cell>
          <cell r="K1302">
            <v>1088.2862520000001</v>
          </cell>
          <cell r="L1302">
            <v>3.4001578531965202</v>
          </cell>
          <cell r="M1302">
            <v>629.13259600000004</v>
          </cell>
          <cell r="N1302">
            <v>2.86424625098658</v>
          </cell>
          <cell r="O1302">
            <v>143.458021</v>
          </cell>
          <cell r="P1302">
            <v>0.74959349593495905</v>
          </cell>
          <cell r="Q1302">
            <v>136.35606999999999</v>
          </cell>
          <cell r="R1302">
            <v>0.73089430894308904</v>
          </cell>
          <cell r="S1302">
            <v>1082.298342</v>
          </cell>
          <cell r="T1302">
            <v>4.2145816072907998</v>
          </cell>
          <cell r="U1302">
            <v>442.56242700000001</v>
          </cell>
          <cell r="V1302">
            <v>3.87323943661971</v>
          </cell>
        </row>
        <row r="1303">
          <cell r="A1303" t="str">
            <v>079202</v>
          </cell>
          <cell r="B1303">
            <v>1192.2222220000001</v>
          </cell>
          <cell r="C1303">
            <v>52.379367000000002</v>
          </cell>
          <cell r="D1303">
            <v>0.194029850746268</v>
          </cell>
          <cell r="E1303">
            <v>52.379367000000002</v>
          </cell>
          <cell r="F1303">
            <v>0.194029850746268</v>
          </cell>
          <cell r="G1303">
            <v>312.50055099999997</v>
          </cell>
          <cell r="H1303">
            <v>0.62697751873438801</v>
          </cell>
          <cell r="I1303">
            <v>69.652888000000004</v>
          </cell>
          <cell r="J1303">
            <v>0.37135720233139002</v>
          </cell>
          <cell r="K1303">
            <v>689.52644199999997</v>
          </cell>
          <cell r="L1303">
            <v>2.5715481171548098</v>
          </cell>
          <cell r="M1303">
            <v>603.90661</v>
          </cell>
          <cell r="N1303">
            <v>2.46192468619246</v>
          </cell>
          <cell r="O1303">
            <v>343.39744100000001</v>
          </cell>
          <cell r="P1303">
            <v>0.65436241610738199</v>
          </cell>
          <cell r="Q1303">
            <v>337.94995799999998</v>
          </cell>
          <cell r="R1303">
            <v>0.64010067114093905</v>
          </cell>
          <cell r="S1303">
            <v>931.11280499999998</v>
          </cell>
          <cell r="T1303">
            <v>4.1098807495741001</v>
          </cell>
          <cell r="U1303">
            <v>260.96540299999998</v>
          </cell>
          <cell r="V1303">
            <v>3.9037478705280999</v>
          </cell>
        </row>
        <row r="1304">
          <cell r="A1304" t="str">
            <v>079301</v>
          </cell>
          <cell r="B1304">
            <v>1256.625</v>
          </cell>
          <cell r="C1304">
            <v>607.41873299999997</v>
          </cell>
          <cell r="D1304">
            <v>2.1030684500393302</v>
          </cell>
          <cell r="E1304">
            <v>135.212276</v>
          </cell>
          <cell r="F1304">
            <v>1.09756097560975</v>
          </cell>
          <cell r="G1304">
            <v>175.690056</v>
          </cell>
          <cell r="H1304">
            <v>0.80769230769230704</v>
          </cell>
          <cell r="I1304">
            <v>175.690056</v>
          </cell>
          <cell r="J1304">
            <v>0.80769230769230704</v>
          </cell>
          <cell r="K1304">
            <v>312.13923599999998</v>
          </cell>
          <cell r="L1304">
            <v>2.3518808777429401</v>
          </cell>
          <cell r="M1304">
            <v>302.48627199999999</v>
          </cell>
          <cell r="N1304">
            <v>2.3424764890282099</v>
          </cell>
          <cell r="O1304">
            <v>654.56797800000004</v>
          </cell>
          <cell r="P1304">
            <v>1.80667236954662</v>
          </cell>
          <cell r="Q1304">
            <v>654.56797800000004</v>
          </cell>
          <cell r="R1304">
            <v>1.80667236954662</v>
          </cell>
          <cell r="S1304">
            <v>220.96454600000001</v>
          </cell>
          <cell r="T1304">
            <v>0.86248012718600897</v>
          </cell>
          <cell r="U1304">
            <v>72.445481999999998</v>
          </cell>
          <cell r="V1304">
            <v>0.57631160572337004</v>
          </cell>
        </row>
        <row r="1305">
          <cell r="A1305" t="str">
            <v>079302</v>
          </cell>
          <cell r="B1305">
            <v>1543.6</v>
          </cell>
          <cell r="C1305">
            <v>5623.570702</v>
          </cell>
          <cell r="D1305">
            <v>1.5174193548387001</v>
          </cell>
          <cell r="E1305">
            <v>24.126048999999998</v>
          </cell>
          <cell r="F1305">
            <v>9.6129032258064503E-2</v>
          </cell>
          <cell r="G1305">
            <v>762.27176499999996</v>
          </cell>
          <cell r="H1305">
            <v>1.4793014230271599</v>
          </cell>
          <cell r="I1305">
            <v>118.53278899999999</v>
          </cell>
          <cell r="J1305">
            <v>0.68175937904269002</v>
          </cell>
          <cell r="K1305">
            <v>473.06469099999998</v>
          </cell>
          <cell r="L1305">
            <v>1.07249190938511</v>
          </cell>
          <cell r="M1305">
            <v>162.63010700000001</v>
          </cell>
          <cell r="N1305">
            <v>0.51456310679611605</v>
          </cell>
          <cell r="O1305">
            <v>516.22043799999994</v>
          </cell>
          <cell r="P1305">
            <v>2.7490272373540798</v>
          </cell>
          <cell r="Q1305">
            <v>400.86843900000002</v>
          </cell>
          <cell r="R1305">
            <v>2.6439688715953298</v>
          </cell>
          <cell r="S1305">
            <v>141.27338700000001</v>
          </cell>
          <cell r="T1305">
            <v>1.86123778501628</v>
          </cell>
          <cell r="U1305">
            <v>129.69025999999999</v>
          </cell>
          <cell r="V1305">
            <v>1.82671009771986</v>
          </cell>
        </row>
        <row r="1306">
          <cell r="A1306" t="str">
            <v>079401</v>
          </cell>
          <cell r="B1306">
            <v>1</v>
          </cell>
          <cell r="C1306">
            <v>0</v>
          </cell>
          <cell r="D1306">
            <v>0</v>
          </cell>
          <cell r="E1306">
            <v>0</v>
          </cell>
          <cell r="F1306">
            <v>0</v>
          </cell>
          <cell r="G1306">
            <v>0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  <cell r="R1306">
            <v>0</v>
          </cell>
          <cell r="S1306">
            <v>845.55</v>
          </cell>
          <cell r="T1306">
            <v>1</v>
          </cell>
          <cell r="U1306">
            <v>0</v>
          </cell>
          <cell r="V1306">
            <v>0</v>
          </cell>
        </row>
        <row r="1307">
          <cell r="A1307" t="str">
            <v>079602</v>
          </cell>
          <cell r="B1307">
            <v>132.85714200000001</v>
          </cell>
          <cell r="C1307">
            <v>1002.252535</v>
          </cell>
          <cell r="D1307">
            <v>0.64661654135338298</v>
          </cell>
          <cell r="E1307">
            <v>8.3836729999999999</v>
          </cell>
          <cell r="F1307">
            <v>8.2706766917293201E-2</v>
          </cell>
          <cell r="G1307">
            <v>38.763002999999998</v>
          </cell>
          <cell r="H1307">
            <v>0.12977099236641201</v>
          </cell>
          <cell r="I1307">
            <v>38.763002999999998</v>
          </cell>
          <cell r="J1307">
            <v>0.12977099236641201</v>
          </cell>
          <cell r="K1307">
            <v>149.335432</v>
          </cell>
          <cell r="L1307">
            <v>0.68148148148148102</v>
          </cell>
          <cell r="M1307">
            <v>149.335432</v>
          </cell>
          <cell r="N1307">
            <v>0.68148148148148102</v>
          </cell>
          <cell r="O1307">
            <v>21.495272</v>
          </cell>
          <cell r="P1307">
            <v>0.23880597014925301</v>
          </cell>
          <cell r="Q1307">
            <v>13.749625999999999</v>
          </cell>
          <cell r="R1307">
            <v>0.20895522388059701</v>
          </cell>
          <cell r="S1307">
            <v>68.601665999999994</v>
          </cell>
          <cell r="T1307">
            <v>0.61538461538461497</v>
          </cell>
          <cell r="U1307">
            <v>68.601665999999994</v>
          </cell>
          <cell r="V1307">
            <v>0.61538461538461497</v>
          </cell>
        </row>
        <row r="1308">
          <cell r="A1308" t="str">
            <v>079702</v>
          </cell>
          <cell r="B1308">
            <v>1125.125</v>
          </cell>
          <cell r="C1308">
            <v>53.245103999999998</v>
          </cell>
          <cell r="D1308">
            <v>0.33746678476527903</v>
          </cell>
          <cell r="E1308">
            <v>53.245103999999998</v>
          </cell>
          <cell r="F1308">
            <v>0.33746678476527903</v>
          </cell>
          <cell r="G1308">
            <v>289.67967299999998</v>
          </cell>
          <cell r="H1308">
            <v>1.3380656610470201</v>
          </cell>
          <cell r="I1308">
            <v>152.89615699999999</v>
          </cell>
          <cell r="J1308">
            <v>1.0958296362022999</v>
          </cell>
          <cell r="K1308">
            <v>1100.801001</v>
          </cell>
          <cell r="L1308">
            <v>2.1575221238937998</v>
          </cell>
          <cell r="M1308">
            <v>624.94005800000002</v>
          </cell>
          <cell r="N1308">
            <v>1.4469026548672499</v>
          </cell>
          <cell r="O1308">
            <v>162.17746700000001</v>
          </cell>
          <cell r="P1308">
            <v>0.33510638297872303</v>
          </cell>
          <cell r="Q1308">
            <v>162.17746700000001</v>
          </cell>
          <cell r="R1308">
            <v>0.33510638297872303</v>
          </cell>
          <cell r="S1308">
            <v>219.06919099999999</v>
          </cell>
          <cell r="T1308">
            <v>0.65470852017937198</v>
          </cell>
          <cell r="U1308">
            <v>58.699745</v>
          </cell>
          <cell r="V1308">
            <v>0.41345291479820601</v>
          </cell>
        </row>
        <row r="1309">
          <cell r="A1309" t="str">
            <v>079703</v>
          </cell>
          <cell r="B1309">
            <v>1268.2222220000001</v>
          </cell>
          <cell r="C1309">
            <v>11.923083</v>
          </cell>
          <cell r="D1309">
            <v>8.6922474549725903E-2</v>
          </cell>
          <cell r="E1309">
            <v>11.506394</v>
          </cell>
          <cell r="F1309">
            <v>8.2223962411902801E-2</v>
          </cell>
          <cell r="G1309">
            <v>355.26180499999998</v>
          </cell>
          <cell r="H1309">
            <v>0.28083785880527501</v>
          </cell>
          <cell r="I1309">
            <v>22.574009</v>
          </cell>
          <cell r="J1309">
            <v>0.12412723041117101</v>
          </cell>
          <cell r="K1309">
            <v>622.31872499999997</v>
          </cell>
          <cell r="L1309">
            <v>1.5578865578865499</v>
          </cell>
          <cell r="M1309">
            <v>577.81125299999997</v>
          </cell>
          <cell r="N1309">
            <v>1.54001554001554</v>
          </cell>
          <cell r="O1309">
            <v>71.081935999999999</v>
          </cell>
          <cell r="P1309">
            <v>0.43931088488645198</v>
          </cell>
          <cell r="Q1309">
            <v>68.765844000000001</v>
          </cell>
          <cell r="R1309">
            <v>0.42756460454189499</v>
          </cell>
          <cell r="S1309">
            <v>21.819728000000001</v>
          </cell>
          <cell r="T1309">
            <v>9.9653379549393406E-2</v>
          </cell>
          <cell r="U1309">
            <v>21.819728000000001</v>
          </cell>
          <cell r="V1309">
            <v>9.9653379549393406E-2</v>
          </cell>
        </row>
        <row r="1310">
          <cell r="A1310" t="str">
            <v>079704</v>
          </cell>
          <cell r="B1310">
            <v>554.44444399999998</v>
          </cell>
          <cell r="C1310">
            <v>98.670445999999998</v>
          </cell>
          <cell r="D1310">
            <v>0.73655913978494603</v>
          </cell>
          <cell r="E1310">
            <v>12.489689</v>
          </cell>
          <cell r="F1310">
            <v>8.4229390681003505E-2</v>
          </cell>
          <cell r="G1310">
            <v>119.835548</v>
          </cell>
          <cell r="H1310">
            <v>0.38779174147217199</v>
          </cell>
          <cell r="I1310">
            <v>45.482261000000001</v>
          </cell>
          <cell r="J1310">
            <v>0.25493716337522399</v>
          </cell>
          <cell r="K1310">
            <v>831.08735000000001</v>
          </cell>
          <cell r="L1310">
            <v>1.4370503597122299</v>
          </cell>
          <cell r="M1310">
            <v>571.75113899999997</v>
          </cell>
          <cell r="N1310">
            <v>1.33093525179856</v>
          </cell>
          <cell r="O1310">
            <v>114.875494</v>
          </cell>
          <cell r="P1310">
            <v>1.15135135135135</v>
          </cell>
          <cell r="Q1310">
            <v>111.084954</v>
          </cell>
          <cell r="R1310">
            <v>1.13153153153153</v>
          </cell>
          <cell r="S1310">
            <v>28.267503000000001</v>
          </cell>
          <cell r="T1310">
            <v>0.22304832713754599</v>
          </cell>
          <cell r="U1310">
            <v>28.267503000000001</v>
          </cell>
          <cell r="V1310">
            <v>0.22304832713754599</v>
          </cell>
        </row>
        <row r="1311">
          <cell r="A1311" t="str">
            <v>079801</v>
          </cell>
          <cell r="B1311">
            <v>1028.25</v>
          </cell>
          <cell r="C1311">
            <v>274.94211100000001</v>
          </cell>
          <cell r="D1311">
            <v>1.3959537572254299</v>
          </cell>
          <cell r="E1311">
            <v>274.94211100000001</v>
          </cell>
          <cell r="F1311">
            <v>1.3959537572254299</v>
          </cell>
          <cell r="G1311">
            <v>1290.8206620000001</v>
          </cell>
          <cell r="H1311">
            <v>1.3505355404089501</v>
          </cell>
          <cell r="I1311">
            <v>1279.8009400000001</v>
          </cell>
          <cell r="J1311">
            <v>1.3378773125608501</v>
          </cell>
          <cell r="K1311">
            <v>1653.611952</v>
          </cell>
          <cell r="L1311">
            <v>3.16812439261418</v>
          </cell>
          <cell r="M1311">
            <v>354.37827900000002</v>
          </cell>
          <cell r="N1311">
            <v>2.1477162293488798</v>
          </cell>
          <cell r="O1311">
            <v>44.129691999999999</v>
          </cell>
          <cell r="P1311">
            <v>0.241747572815533</v>
          </cell>
          <cell r="Q1311">
            <v>44.129691999999999</v>
          </cell>
          <cell r="R1311">
            <v>0.241747572815533</v>
          </cell>
          <cell r="S1311">
            <v>85.788921000000002</v>
          </cell>
          <cell r="T1311">
            <v>1.1045943304007799</v>
          </cell>
          <cell r="U1311">
            <v>83.517415999999997</v>
          </cell>
          <cell r="V1311">
            <v>1.08602150537634</v>
          </cell>
        </row>
        <row r="1312">
          <cell r="A1312" t="str">
            <v>079802</v>
          </cell>
          <cell r="B1312">
            <v>1315.375</v>
          </cell>
          <cell r="C1312">
            <v>451.02593400000001</v>
          </cell>
          <cell r="D1312">
            <v>2.2493074792243699</v>
          </cell>
          <cell r="E1312">
            <v>451.02593400000001</v>
          </cell>
          <cell r="F1312">
            <v>2.2493074792243699</v>
          </cell>
          <cell r="G1312">
            <v>85.250810000000001</v>
          </cell>
          <cell r="H1312">
            <v>0.42424242424242398</v>
          </cell>
          <cell r="I1312">
            <v>85.250810000000001</v>
          </cell>
          <cell r="J1312">
            <v>0.42424242424242398</v>
          </cell>
          <cell r="K1312">
            <v>2166.5705400000002</v>
          </cell>
          <cell r="L1312">
            <v>3.6056537102473398</v>
          </cell>
          <cell r="M1312">
            <v>384.93319100000002</v>
          </cell>
          <cell r="N1312">
            <v>2.3837455830388601</v>
          </cell>
          <cell r="O1312">
            <v>271.549443</v>
          </cell>
          <cell r="P1312">
            <v>0.45138396025549998</v>
          </cell>
          <cell r="Q1312">
            <v>55.937378000000002</v>
          </cell>
          <cell r="R1312">
            <v>0.31085876508161803</v>
          </cell>
          <cell r="S1312">
            <v>153.76274000000001</v>
          </cell>
          <cell r="T1312">
            <v>0.52304316020482799</v>
          </cell>
          <cell r="U1312">
            <v>63.399084999999999</v>
          </cell>
          <cell r="V1312">
            <v>0.40087783467446902</v>
          </cell>
        </row>
        <row r="1313">
          <cell r="A1313" t="str">
            <v>080101</v>
          </cell>
          <cell r="B1313">
            <v>1</v>
          </cell>
          <cell r="C1313">
            <v>0</v>
          </cell>
          <cell r="D1313">
            <v>0</v>
          </cell>
          <cell r="E1313">
            <v>0</v>
          </cell>
          <cell r="F1313">
            <v>0</v>
          </cell>
          <cell r="G1313">
            <v>157</v>
          </cell>
          <cell r="H1313">
            <v>1</v>
          </cell>
          <cell r="I1313">
            <v>157</v>
          </cell>
          <cell r="J1313">
            <v>1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  <cell r="Q1313">
            <v>0</v>
          </cell>
          <cell r="R1313">
            <v>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</row>
        <row r="1314">
          <cell r="A1314" t="str">
            <v>080301</v>
          </cell>
          <cell r="B1314">
            <v>2</v>
          </cell>
          <cell r="C1314">
            <v>0</v>
          </cell>
          <cell r="D1314">
            <v>0</v>
          </cell>
          <cell r="E1314">
            <v>0</v>
          </cell>
          <cell r="F1314">
            <v>0</v>
          </cell>
          <cell r="G1314">
            <v>435.65437500000002</v>
          </cell>
          <cell r="H1314">
            <v>0.5</v>
          </cell>
          <cell r="I1314">
            <v>435.65437500000002</v>
          </cell>
          <cell r="J1314">
            <v>0.5</v>
          </cell>
          <cell r="K1314">
            <v>450.3</v>
          </cell>
          <cell r="L1314">
            <v>2</v>
          </cell>
          <cell r="M1314">
            <v>450.3</v>
          </cell>
          <cell r="N1314">
            <v>2</v>
          </cell>
          <cell r="O1314">
            <v>132.04166599999999</v>
          </cell>
          <cell r="P1314">
            <v>1.5</v>
          </cell>
          <cell r="Q1314">
            <v>74.791666000000006</v>
          </cell>
          <cell r="R1314">
            <v>0.5</v>
          </cell>
          <cell r="S1314">
            <v>129.85</v>
          </cell>
          <cell r="T1314">
            <v>0.5</v>
          </cell>
          <cell r="U1314">
            <v>129.85</v>
          </cell>
          <cell r="V1314">
            <v>0.5</v>
          </cell>
        </row>
        <row r="1315">
          <cell r="A1315" t="str">
            <v>080302</v>
          </cell>
          <cell r="B1315">
            <v>277</v>
          </cell>
          <cell r="C1315">
            <v>21.543064999999999</v>
          </cell>
          <cell r="D1315">
            <v>0.19148936170212699</v>
          </cell>
          <cell r="E1315">
            <v>21.543064999999999</v>
          </cell>
          <cell r="F1315">
            <v>0.19148936170212699</v>
          </cell>
          <cell r="G1315">
            <v>1.3713610000000001</v>
          </cell>
          <cell r="H1315">
            <v>3.5211267605633799E-3</v>
          </cell>
          <cell r="I1315">
            <v>1.3713610000000001</v>
          </cell>
          <cell r="J1315">
            <v>3.5211267605633799E-3</v>
          </cell>
          <cell r="K1315">
            <v>136.35741300000001</v>
          </cell>
          <cell r="L1315">
            <v>1.01423487544483</v>
          </cell>
          <cell r="M1315">
            <v>136.35741300000001</v>
          </cell>
          <cell r="N1315">
            <v>1.01423487544483</v>
          </cell>
          <cell r="O1315">
            <v>58.043937999999997</v>
          </cell>
          <cell r="P1315">
            <v>1.0109090909090901</v>
          </cell>
          <cell r="Q1315">
            <v>0.58575699999999997</v>
          </cell>
          <cell r="R1315">
            <v>7.2727272727272701E-3</v>
          </cell>
          <cell r="S1315">
            <v>369.24501800000002</v>
          </cell>
          <cell r="T1315">
            <v>1.99999999999999</v>
          </cell>
          <cell r="U1315">
            <v>290.42583000000002</v>
          </cell>
          <cell r="V1315">
            <v>1.01476014760147</v>
          </cell>
        </row>
        <row r="1316">
          <cell r="A1316" t="str">
            <v>080401</v>
          </cell>
          <cell r="B1316">
            <v>1</v>
          </cell>
          <cell r="C1316">
            <v>0</v>
          </cell>
          <cell r="D1316">
            <v>0</v>
          </cell>
          <cell r="E1316">
            <v>0</v>
          </cell>
          <cell r="F1316">
            <v>0</v>
          </cell>
          <cell r="G1316">
            <v>0</v>
          </cell>
          <cell r="H1316">
            <v>0</v>
          </cell>
          <cell r="I1316">
            <v>0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  <cell r="Q1316">
            <v>0</v>
          </cell>
          <cell r="R1316">
            <v>0</v>
          </cell>
          <cell r="S1316">
            <v>311.13333299999999</v>
          </cell>
          <cell r="T1316">
            <v>1</v>
          </cell>
          <cell r="U1316">
            <v>311.13333299999999</v>
          </cell>
          <cell r="V1316">
            <v>1</v>
          </cell>
        </row>
        <row r="1317">
          <cell r="A1317" t="str">
            <v>080801</v>
          </cell>
          <cell r="B1317">
            <v>341.8</v>
          </cell>
          <cell r="C1317">
            <v>211.503905</v>
          </cell>
          <cell r="D1317">
            <v>1.22689075630252</v>
          </cell>
          <cell r="E1317">
            <v>149.62817000000001</v>
          </cell>
          <cell r="F1317">
            <v>1.14005602240896</v>
          </cell>
          <cell r="G1317">
            <v>632.06165199999998</v>
          </cell>
          <cell r="H1317">
            <v>1.7752808988763999</v>
          </cell>
          <cell r="I1317">
            <v>211.05113800000001</v>
          </cell>
          <cell r="J1317">
            <v>1.1264044943820199</v>
          </cell>
          <cell r="K1317">
            <v>3679.270192</v>
          </cell>
          <cell r="L1317">
            <v>2.2144927536231802</v>
          </cell>
          <cell r="M1317">
            <v>482.07304299999998</v>
          </cell>
          <cell r="N1317">
            <v>1.5188405797101401</v>
          </cell>
          <cell r="O1317">
            <v>136.81768099999999</v>
          </cell>
          <cell r="P1317">
            <v>0.63109756097560898</v>
          </cell>
          <cell r="Q1317">
            <v>68.213058000000004</v>
          </cell>
          <cell r="R1317">
            <v>0.457317073170731</v>
          </cell>
          <cell r="S1317">
            <v>1111.8427240000001</v>
          </cell>
          <cell r="T1317">
            <v>1.5046439628482899</v>
          </cell>
          <cell r="U1317">
            <v>159.63617099999999</v>
          </cell>
          <cell r="V1317">
            <v>0.88235294117647001</v>
          </cell>
        </row>
        <row r="1318">
          <cell r="A1318" t="str">
            <v>080802</v>
          </cell>
          <cell r="B1318">
            <v>318.8</v>
          </cell>
          <cell r="C1318">
            <v>848.83684600000004</v>
          </cell>
          <cell r="D1318">
            <v>3.0155763239875299</v>
          </cell>
          <cell r="E1318">
            <v>576.55387299999995</v>
          </cell>
          <cell r="F1318">
            <v>2.8816199376946998</v>
          </cell>
          <cell r="G1318">
            <v>1482.3486150000001</v>
          </cell>
          <cell r="H1318">
            <v>1.0716510903426699</v>
          </cell>
          <cell r="I1318">
            <v>87.744353000000004</v>
          </cell>
          <cell r="J1318">
            <v>0.37383177570093401</v>
          </cell>
          <cell r="K1318">
            <v>4981.5268939999996</v>
          </cell>
          <cell r="L1318">
            <v>2.71028037383177</v>
          </cell>
          <cell r="M1318">
            <v>175.738733</v>
          </cell>
          <cell r="N1318">
            <v>0.91900311526479705</v>
          </cell>
          <cell r="O1318">
            <v>290.34072300000003</v>
          </cell>
          <cell r="P1318">
            <v>1.8081761006289301</v>
          </cell>
          <cell r="Q1318">
            <v>180.56939199999999</v>
          </cell>
          <cell r="R1318">
            <v>1.3742138364779799</v>
          </cell>
          <cell r="S1318">
            <v>1956.3850359999999</v>
          </cell>
          <cell r="T1318">
            <v>1.90415335463258</v>
          </cell>
          <cell r="U1318">
            <v>86.783598999999995</v>
          </cell>
          <cell r="V1318">
            <v>0.76677316293929698</v>
          </cell>
        </row>
        <row r="1319">
          <cell r="A1319" t="str">
            <v>080901</v>
          </cell>
          <cell r="B1319">
            <v>598.6</v>
          </cell>
          <cell r="C1319">
            <v>1215.7510580000001</v>
          </cell>
          <cell r="D1319">
            <v>3.2661448140900098</v>
          </cell>
          <cell r="E1319">
            <v>292.23359299999998</v>
          </cell>
          <cell r="F1319">
            <v>2.3463796477495098</v>
          </cell>
          <cell r="G1319">
            <v>433.72801800000002</v>
          </cell>
          <cell r="H1319">
            <v>1.7067307692307601</v>
          </cell>
          <cell r="I1319">
            <v>130.639478</v>
          </cell>
          <cell r="J1319">
            <v>0.52724358974358898</v>
          </cell>
          <cell r="K1319">
            <v>490.71075300000001</v>
          </cell>
          <cell r="L1319">
            <v>1.5361155698234299</v>
          </cell>
          <cell r="M1319">
            <v>89.927474000000004</v>
          </cell>
          <cell r="N1319">
            <v>1.3322632423756</v>
          </cell>
          <cell r="O1319">
            <v>278.22992199999999</v>
          </cell>
          <cell r="P1319">
            <v>2.2111292962356699</v>
          </cell>
          <cell r="Q1319">
            <v>215.675422</v>
          </cell>
          <cell r="R1319">
            <v>2.1931260229132499</v>
          </cell>
          <cell r="S1319">
            <v>479.57379700000001</v>
          </cell>
          <cell r="T1319">
            <v>2.2499999999999898</v>
          </cell>
          <cell r="U1319">
            <v>297.58384000000001</v>
          </cell>
          <cell r="V1319">
            <v>1.09615384615384</v>
          </cell>
        </row>
        <row r="1320">
          <cell r="A1320" t="str">
            <v>080902</v>
          </cell>
          <cell r="B1320">
            <v>752.6</v>
          </cell>
          <cell r="C1320">
            <v>1234.3345340000001</v>
          </cell>
          <cell r="D1320">
            <v>4.1084967320261399</v>
          </cell>
          <cell r="E1320">
            <v>421.09368699999999</v>
          </cell>
          <cell r="F1320">
            <v>3.4535947712418298</v>
          </cell>
          <cell r="G1320">
            <v>1541.1138800000001</v>
          </cell>
          <cell r="H1320">
            <v>2.5682414698162699</v>
          </cell>
          <cell r="I1320">
            <v>122.00243399999999</v>
          </cell>
          <cell r="J1320">
            <v>1.3608923884514399</v>
          </cell>
          <cell r="K1320">
            <v>795.39745300000004</v>
          </cell>
          <cell r="L1320">
            <v>4.0953002610966003</v>
          </cell>
          <cell r="M1320">
            <v>468.83150499999999</v>
          </cell>
          <cell r="N1320">
            <v>3.4281984334203601</v>
          </cell>
          <cell r="O1320">
            <v>4952.3225240000002</v>
          </cell>
          <cell r="P1320">
            <v>1.2929155313351399</v>
          </cell>
          <cell r="Q1320">
            <v>155.75483600000001</v>
          </cell>
          <cell r="R1320">
            <v>0.24386920980926399</v>
          </cell>
          <cell r="S1320">
            <v>567.58675100000005</v>
          </cell>
          <cell r="T1320">
            <v>1.0883152173913</v>
          </cell>
          <cell r="U1320">
            <v>109.000837</v>
          </cell>
          <cell r="V1320">
            <v>0.72010869565217295</v>
          </cell>
        </row>
        <row r="1321">
          <cell r="A1321" t="str">
            <v>081501</v>
          </cell>
          <cell r="B1321">
            <v>1275.8</v>
          </cell>
          <cell r="C1321">
            <v>4005.8444410000002</v>
          </cell>
          <cell r="D1321">
            <v>2.38551401869158</v>
          </cell>
          <cell r="E1321">
            <v>197.892529</v>
          </cell>
          <cell r="F1321">
            <v>1.6230529595015499</v>
          </cell>
          <cell r="G1321">
            <v>296.23981800000001</v>
          </cell>
          <cell r="H1321">
            <v>0.59282371294851699</v>
          </cell>
          <cell r="I1321">
            <v>34.110953000000002</v>
          </cell>
          <cell r="J1321">
            <v>0.42199687987519502</v>
          </cell>
          <cell r="K1321">
            <v>682.05747299999996</v>
          </cell>
          <cell r="L1321">
            <v>2.7109375</v>
          </cell>
          <cell r="M1321">
            <v>675.80052000000001</v>
          </cell>
          <cell r="N1321">
            <v>2.6953125</v>
          </cell>
          <cell r="O1321">
            <v>295.88656300000002</v>
          </cell>
          <cell r="P1321">
            <v>1.6436420722134999</v>
          </cell>
          <cell r="Q1321">
            <v>136.97638599999999</v>
          </cell>
          <cell r="R1321">
            <v>0.89167974882260503</v>
          </cell>
          <cell r="S1321">
            <v>632.28102899999999</v>
          </cell>
          <cell r="T1321">
            <v>1.3042096902303399</v>
          </cell>
          <cell r="U1321">
            <v>326.82340399999998</v>
          </cell>
          <cell r="V1321">
            <v>1.1723590150913401</v>
          </cell>
        </row>
        <row r="1322">
          <cell r="A1322" t="str">
            <v>081502</v>
          </cell>
          <cell r="B1322">
            <v>92.666666000000006</v>
          </cell>
          <cell r="C1322">
            <v>758.55490099999997</v>
          </cell>
          <cell r="D1322">
            <v>0.42553191489361702</v>
          </cell>
          <cell r="E1322">
            <v>72.773139</v>
          </cell>
          <cell r="F1322">
            <v>0.27659574468085102</v>
          </cell>
          <cell r="G1322">
            <v>0.91460699999999995</v>
          </cell>
          <cell r="H1322">
            <v>1.0638297872340399E-2</v>
          </cell>
          <cell r="I1322">
            <v>0.91460699999999995</v>
          </cell>
          <cell r="J1322">
            <v>1.0638297872340399E-2</v>
          </cell>
          <cell r="K1322">
            <v>42.375447999999999</v>
          </cell>
          <cell r="L1322">
            <v>0.45161290322580599</v>
          </cell>
          <cell r="M1322">
            <v>42.375447999999999</v>
          </cell>
          <cell r="N1322">
            <v>0.45161290322580599</v>
          </cell>
          <cell r="O1322">
            <v>10.924094</v>
          </cell>
          <cell r="P1322">
            <v>6.5217391304347797E-2</v>
          </cell>
          <cell r="Q1322">
            <v>10.924094</v>
          </cell>
          <cell r="R1322">
            <v>6.5217391304347797E-2</v>
          </cell>
          <cell r="S1322">
            <v>301.547752</v>
          </cell>
          <cell r="T1322">
            <v>1.0674157303370699</v>
          </cell>
          <cell r="U1322">
            <v>301.547752</v>
          </cell>
          <cell r="V1322">
            <v>1.0674157303370699</v>
          </cell>
        </row>
        <row r="1323">
          <cell r="A1323" t="str">
            <v>081503</v>
          </cell>
          <cell r="B1323">
            <v>769.2</v>
          </cell>
          <cell r="C1323">
            <v>4618.2942050000001</v>
          </cell>
          <cell r="D1323">
            <v>1.91818181818181</v>
          </cell>
          <cell r="E1323">
            <v>340.65631000000002</v>
          </cell>
          <cell r="F1323">
            <v>0.81948051948051903</v>
          </cell>
          <cell r="G1323">
            <v>461.63466699999998</v>
          </cell>
          <cell r="H1323">
            <v>1.1738002594033701</v>
          </cell>
          <cell r="I1323">
            <v>126.84674200000001</v>
          </cell>
          <cell r="J1323">
            <v>0.81712062256809304</v>
          </cell>
          <cell r="K1323">
            <v>169.006562</v>
          </cell>
          <cell r="L1323">
            <v>1.36269430051813</v>
          </cell>
          <cell r="M1323">
            <v>164.44235699999999</v>
          </cell>
          <cell r="N1323">
            <v>1.3588082901554399</v>
          </cell>
          <cell r="O1323">
            <v>31.413042000000001</v>
          </cell>
          <cell r="P1323">
            <v>0.20833333333333301</v>
          </cell>
          <cell r="Q1323">
            <v>30.577950999999999</v>
          </cell>
          <cell r="R1323">
            <v>0.19921875</v>
          </cell>
          <cell r="S1323">
            <v>644.95760199999995</v>
          </cell>
          <cell r="T1323">
            <v>1.49673202614379</v>
          </cell>
          <cell r="U1323">
            <v>78.008278000000004</v>
          </cell>
          <cell r="V1323">
            <v>0.330718954248366</v>
          </cell>
        </row>
        <row r="1324">
          <cell r="A1324" t="str">
            <v>081504</v>
          </cell>
          <cell r="B1324">
            <v>2076.6</v>
          </cell>
          <cell r="C1324">
            <v>2083.4464269999999</v>
          </cell>
          <cell r="D1324">
            <v>0.77745524915336195</v>
          </cell>
          <cell r="E1324">
            <v>39.967775000000003</v>
          </cell>
          <cell r="F1324">
            <v>0.16400580551523899</v>
          </cell>
          <cell r="G1324">
            <v>570.74065599999994</v>
          </cell>
          <cell r="H1324">
            <v>0.95480769230769202</v>
          </cell>
          <cell r="I1324">
            <v>92.527381000000005</v>
          </cell>
          <cell r="J1324">
            <v>0.31201923076922999</v>
          </cell>
          <cell r="K1324">
            <v>286.13884000000002</v>
          </cell>
          <cell r="L1324">
            <v>1.3534482758620601</v>
          </cell>
          <cell r="M1324">
            <v>274.71894900000001</v>
          </cell>
          <cell r="N1324">
            <v>1.31465517241379</v>
          </cell>
          <cell r="O1324">
            <v>207.59958399999999</v>
          </cell>
          <cell r="P1324">
            <v>0.76690647482014296</v>
          </cell>
          <cell r="Q1324">
            <v>51.344707999999997</v>
          </cell>
          <cell r="R1324">
            <v>0.47865707434052701</v>
          </cell>
          <cell r="S1324">
            <v>184.665616</v>
          </cell>
          <cell r="T1324">
            <v>0.465341735336888</v>
          </cell>
          <cell r="U1324">
            <v>178.23763099999999</v>
          </cell>
          <cell r="V1324">
            <v>0.46000969461948599</v>
          </cell>
        </row>
        <row r="1325">
          <cell r="A1325" t="str">
            <v>081601</v>
          </cell>
          <cell r="B1325">
            <v>776.6</v>
          </cell>
          <cell r="C1325">
            <v>4423.9806859999999</v>
          </cell>
          <cell r="D1325">
            <v>1.2688971499380399</v>
          </cell>
          <cell r="E1325">
            <v>63.459035</v>
          </cell>
          <cell r="F1325">
            <v>0.26765799256505501</v>
          </cell>
          <cell r="G1325">
            <v>120.411835</v>
          </cell>
          <cell r="H1325">
            <v>1.0472049689440901</v>
          </cell>
          <cell r="I1325">
            <v>109.61582300000001</v>
          </cell>
          <cell r="J1325">
            <v>1.0447204968943999</v>
          </cell>
          <cell r="K1325">
            <v>330.087718</v>
          </cell>
          <cell r="L1325">
            <v>2.5735660847880202</v>
          </cell>
          <cell r="M1325">
            <v>285.23601400000001</v>
          </cell>
          <cell r="N1325">
            <v>2.5473815461346598</v>
          </cell>
          <cell r="O1325">
            <v>7.7251079999999996</v>
          </cell>
          <cell r="P1325">
            <v>2.03193033381712E-2</v>
          </cell>
          <cell r="Q1325">
            <v>1.9029020000000001</v>
          </cell>
          <cell r="R1325">
            <v>1.45137880986937E-2</v>
          </cell>
          <cell r="S1325">
            <v>61.523226000000001</v>
          </cell>
          <cell r="T1325">
            <v>2.3076923076922998E-2</v>
          </cell>
          <cell r="U1325">
            <v>0.80762800000000001</v>
          </cell>
          <cell r="V1325">
            <v>3.8461538461538399E-3</v>
          </cell>
        </row>
        <row r="1326">
          <cell r="A1326" t="str">
            <v>081602</v>
          </cell>
          <cell r="B1326">
            <v>898.57142799999997</v>
          </cell>
          <cell r="C1326">
            <v>147.09518800000001</v>
          </cell>
          <cell r="D1326">
            <v>1.0111358574610201</v>
          </cell>
          <cell r="E1326">
            <v>142.17341300000001</v>
          </cell>
          <cell r="F1326">
            <v>1.0100222717149201</v>
          </cell>
          <cell r="G1326">
            <v>16.327922999999998</v>
          </cell>
          <cell r="H1326">
            <v>4.6614872364039897E-2</v>
          </cell>
          <cell r="I1326">
            <v>16.327922999999998</v>
          </cell>
          <cell r="J1326">
            <v>4.6614872364039897E-2</v>
          </cell>
          <cell r="K1326">
            <v>56.132570999999999</v>
          </cell>
          <cell r="L1326">
            <v>5.1282051282051197E-2</v>
          </cell>
          <cell r="M1326">
            <v>3.8989590000000001</v>
          </cell>
          <cell r="N1326">
            <v>2.1181716833890699E-2</v>
          </cell>
          <cell r="O1326">
            <v>63.351337000000001</v>
          </cell>
          <cell r="P1326">
            <v>0.43589743589743501</v>
          </cell>
          <cell r="Q1326">
            <v>63.351337000000001</v>
          </cell>
          <cell r="R1326">
            <v>0.43589743589743501</v>
          </cell>
          <cell r="S1326">
            <v>229.75816699999999</v>
          </cell>
          <cell r="T1326">
            <v>1.0831485587583101</v>
          </cell>
          <cell r="U1326">
            <v>229.75816699999999</v>
          </cell>
          <cell r="V1326">
            <v>1.0831485587583101</v>
          </cell>
        </row>
        <row r="1327">
          <cell r="A1327" t="str">
            <v>081603</v>
          </cell>
          <cell r="B1327">
            <v>884.8</v>
          </cell>
          <cell r="C1327">
            <v>3854.9105789999999</v>
          </cell>
          <cell r="D1327">
            <v>1.14157303370786</v>
          </cell>
          <cell r="E1327">
            <v>19.919568000000002</v>
          </cell>
          <cell r="F1327">
            <v>0.13707865168539299</v>
          </cell>
          <cell r="G1327">
            <v>125.820655</v>
          </cell>
          <cell r="H1327">
            <v>0.62092238470191197</v>
          </cell>
          <cell r="I1327">
            <v>125.528002</v>
          </cell>
          <cell r="J1327">
            <v>0.61979752530933596</v>
          </cell>
          <cell r="K1327">
            <v>25.549754</v>
          </cell>
          <cell r="L1327">
            <v>0.17853107344632699</v>
          </cell>
          <cell r="M1327">
            <v>23.092109000000001</v>
          </cell>
          <cell r="N1327">
            <v>0.17514124293785299</v>
          </cell>
          <cell r="O1327">
            <v>208.97885400000001</v>
          </cell>
          <cell r="P1327">
            <v>1.2188208616780001</v>
          </cell>
          <cell r="Q1327">
            <v>119.808711</v>
          </cell>
          <cell r="R1327">
            <v>1.15079365079365</v>
          </cell>
          <cell r="S1327">
            <v>205.89663899999999</v>
          </cell>
          <cell r="T1327">
            <v>0.201594533029612</v>
          </cell>
          <cell r="U1327">
            <v>12.634187000000001</v>
          </cell>
          <cell r="V1327">
            <v>9.3394077448747101E-2</v>
          </cell>
        </row>
        <row r="1328">
          <cell r="A1328" t="str">
            <v>081801</v>
          </cell>
          <cell r="B1328">
            <v>311.5</v>
          </cell>
          <cell r="C1328">
            <v>2916.4766359999999</v>
          </cell>
          <cell r="D1328">
            <v>1.82692307692307</v>
          </cell>
          <cell r="E1328">
            <v>802.44987600000002</v>
          </cell>
          <cell r="F1328">
            <v>0.81730769230769196</v>
          </cell>
          <cell r="G1328">
            <v>19.205327</v>
          </cell>
          <cell r="H1328">
            <v>0.17628205128205099</v>
          </cell>
          <cell r="I1328">
            <v>19.045103000000001</v>
          </cell>
          <cell r="J1328">
            <v>0.17307692307692299</v>
          </cell>
          <cell r="K1328">
            <v>427.93093699999997</v>
          </cell>
          <cell r="L1328">
            <v>3.3514376996805102</v>
          </cell>
          <cell r="M1328">
            <v>427.93093699999997</v>
          </cell>
          <cell r="N1328">
            <v>3.3514376996805102</v>
          </cell>
          <cell r="O1328">
            <v>1.63971</v>
          </cell>
          <cell r="P1328">
            <v>2.2508038585209E-2</v>
          </cell>
          <cell r="Q1328">
            <v>1.63971</v>
          </cell>
          <cell r="R1328">
            <v>2.2508038585209E-2</v>
          </cell>
          <cell r="S1328">
            <v>1972.640214</v>
          </cell>
          <cell r="T1328">
            <v>2.2258064516128999</v>
          </cell>
          <cell r="U1328">
            <v>110.513333</v>
          </cell>
          <cell r="V1328">
            <v>0.21935483870967701</v>
          </cell>
        </row>
        <row r="1329">
          <cell r="A1329" t="str">
            <v>081802</v>
          </cell>
          <cell r="B1329">
            <v>246.22222199999999</v>
          </cell>
          <cell r="C1329">
            <v>2049.752328</v>
          </cell>
          <cell r="D1329">
            <v>1.1885245901639301</v>
          </cell>
          <cell r="E1329">
            <v>166.56418099999999</v>
          </cell>
          <cell r="F1329">
            <v>0.17622950819672101</v>
          </cell>
          <cell r="G1329">
            <v>25.917413</v>
          </cell>
          <cell r="H1329">
            <v>0.24796747967479599</v>
          </cell>
          <cell r="I1329">
            <v>25.917413</v>
          </cell>
          <cell r="J1329">
            <v>0.24796747967479599</v>
          </cell>
          <cell r="K1329">
            <v>2147.7512179999999</v>
          </cell>
          <cell r="L1329">
            <v>4.1991869918699098</v>
          </cell>
          <cell r="M1329">
            <v>667.33455200000003</v>
          </cell>
          <cell r="N1329">
            <v>3.0365853658536501</v>
          </cell>
          <cell r="O1329">
            <v>38.346919999999997</v>
          </cell>
          <cell r="P1329">
            <v>0.24899598393574199</v>
          </cell>
          <cell r="Q1329">
            <v>5.3279110000000003</v>
          </cell>
          <cell r="R1329">
            <v>2.40963855421686E-2</v>
          </cell>
          <cell r="S1329">
            <v>768.35955200000001</v>
          </cell>
          <cell r="T1329">
            <v>2.07317073170731</v>
          </cell>
          <cell r="U1329">
            <v>560.13285900000005</v>
          </cell>
          <cell r="V1329">
            <v>1.18292682926829</v>
          </cell>
        </row>
        <row r="1330">
          <cell r="A1330" t="str">
            <v>081804</v>
          </cell>
          <cell r="B1330">
            <v>698.4</v>
          </cell>
          <cell r="C1330">
            <v>1715.60761</v>
          </cell>
          <cell r="D1330">
            <v>1.4446177847113799</v>
          </cell>
          <cell r="E1330">
            <v>28.078182999999999</v>
          </cell>
          <cell r="F1330">
            <v>0.305772230889235</v>
          </cell>
          <cell r="G1330">
            <v>122.122483</v>
          </cell>
          <cell r="H1330">
            <v>0.411016949152542</v>
          </cell>
          <cell r="I1330">
            <v>110.054438</v>
          </cell>
          <cell r="J1330">
            <v>0.37429378531073398</v>
          </cell>
          <cell r="K1330">
            <v>531.38036</v>
          </cell>
          <cell r="L1330">
            <v>2.28651685393258</v>
          </cell>
          <cell r="M1330">
            <v>364.40751399999999</v>
          </cell>
          <cell r="N1330">
            <v>2.1924157303370699</v>
          </cell>
          <cell r="O1330">
            <v>703.51126699999998</v>
          </cell>
          <cell r="P1330">
            <v>1.51909476661951</v>
          </cell>
          <cell r="Q1330">
            <v>499.96723200000002</v>
          </cell>
          <cell r="R1330">
            <v>1.1371994342291301</v>
          </cell>
          <cell r="S1330">
            <v>3845.7620849999998</v>
          </cell>
          <cell r="T1330">
            <v>1.95027624309392</v>
          </cell>
          <cell r="U1330">
            <v>151.19705300000001</v>
          </cell>
          <cell r="V1330">
            <v>0.45441988950276202</v>
          </cell>
        </row>
        <row r="1331">
          <cell r="A1331" t="str">
            <v>081901</v>
          </cell>
          <cell r="B1331">
            <v>1</v>
          </cell>
          <cell r="C1331">
            <v>0</v>
          </cell>
          <cell r="D1331">
            <v>0</v>
          </cell>
          <cell r="E1331">
            <v>0</v>
          </cell>
          <cell r="F1331">
            <v>0</v>
          </cell>
          <cell r="G1331">
            <v>2458.0699169999998</v>
          </cell>
          <cell r="H1331">
            <v>1</v>
          </cell>
          <cell r="I1331">
            <v>2458.0699169999998</v>
          </cell>
          <cell r="J1331">
            <v>1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</row>
        <row r="1332">
          <cell r="A1332" t="str">
            <v>082001</v>
          </cell>
          <cell r="B1332">
            <v>1262.4000000000001</v>
          </cell>
          <cell r="C1332">
            <v>255.22276500000001</v>
          </cell>
          <cell r="D1332">
            <v>2.0617577197149601</v>
          </cell>
          <cell r="E1332">
            <v>254.907859</v>
          </cell>
          <cell r="F1332">
            <v>2.0609659540775902</v>
          </cell>
          <cell r="G1332">
            <v>67.776255000000006</v>
          </cell>
          <cell r="H1332">
            <v>0.34222919937205598</v>
          </cell>
          <cell r="I1332">
            <v>50.972976000000003</v>
          </cell>
          <cell r="J1332">
            <v>0.28492935635792699</v>
          </cell>
          <cell r="K1332">
            <v>1091.6524999999999</v>
          </cell>
          <cell r="L1332">
            <v>2.3912018853102901</v>
          </cell>
          <cell r="M1332">
            <v>23.341843000000001</v>
          </cell>
          <cell r="N1332">
            <v>0.25294579732914302</v>
          </cell>
          <cell r="O1332">
            <v>13.462669</v>
          </cell>
          <cell r="P1332">
            <v>0.112709832134292</v>
          </cell>
          <cell r="Q1332">
            <v>13.358859000000001</v>
          </cell>
          <cell r="R1332">
            <v>0.111910471622701</v>
          </cell>
          <cell r="S1332">
            <v>666.66272200000003</v>
          </cell>
          <cell r="T1332">
            <v>3.1119104716227</v>
          </cell>
          <cell r="U1332">
            <v>379.91830499999998</v>
          </cell>
          <cell r="V1332">
            <v>2.3029576338928801</v>
          </cell>
        </row>
        <row r="1333">
          <cell r="A1333" t="str">
            <v>082002</v>
          </cell>
          <cell r="B1333">
            <v>816.125</v>
          </cell>
          <cell r="C1333">
            <v>678.63331400000004</v>
          </cell>
          <cell r="D1333">
            <v>3.3137254901960702</v>
          </cell>
          <cell r="E1333">
            <v>678.63331400000004</v>
          </cell>
          <cell r="F1333">
            <v>3.3137254901960702</v>
          </cell>
          <cell r="G1333">
            <v>63.638125000000002</v>
          </cell>
          <cell r="H1333">
            <v>0.55514705882352899</v>
          </cell>
          <cell r="I1333">
            <v>62.009911000000002</v>
          </cell>
          <cell r="J1333">
            <v>0.55392156862745001</v>
          </cell>
          <cell r="K1333">
            <v>296.91395</v>
          </cell>
          <cell r="L1333">
            <v>0.90196078431372495</v>
          </cell>
          <cell r="M1333">
            <v>11.296446</v>
          </cell>
          <cell r="N1333">
            <v>7.2303921568627402E-2</v>
          </cell>
          <cell r="O1333">
            <v>76.822526999999994</v>
          </cell>
          <cell r="P1333">
            <v>0.30024509803921501</v>
          </cell>
          <cell r="Q1333">
            <v>58.736089999999997</v>
          </cell>
          <cell r="R1333">
            <v>0.207107843137254</v>
          </cell>
          <cell r="S1333">
            <v>395.44343099999998</v>
          </cell>
          <cell r="T1333">
            <v>2.0991432068543401</v>
          </cell>
          <cell r="U1333">
            <v>395.44343099999998</v>
          </cell>
          <cell r="V1333">
            <v>2.0991432068543401</v>
          </cell>
        </row>
        <row r="1334">
          <cell r="A1334" t="str">
            <v>082101</v>
          </cell>
          <cell r="B1334">
            <v>1</v>
          </cell>
          <cell r="C1334">
            <v>311.61733299999997</v>
          </cell>
          <cell r="D1334">
            <v>2</v>
          </cell>
          <cell r="E1334">
            <v>107</v>
          </cell>
          <cell r="F1334">
            <v>1</v>
          </cell>
          <cell r="G1334">
            <v>0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  <cell r="S1334">
            <v>318.14999999999998</v>
          </cell>
          <cell r="T1334">
            <v>2</v>
          </cell>
          <cell r="U1334">
            <v>318.14999999999998</v>
          </cell>
          <cell r="V1334">
            <v>2</v>
          </cell>
        </row>
        <row r="1335">
          <cell r="A1335" t="str">
            <v>082201</v>
          </cell>
          <cell r="B1335">
            <v>570.4</v>
          </cell>
          <cell r="C1335">
            <v>392.72462300000001</v>
          </cell>
          <cell r="D1335">
            <v>2.8526863084922001</v>
          </cell>
          <cell r="E1335">
            <v>276.67623099999997</v>
          </cell>
          <cell r="F1335">
            <v>2.6169844020797202</v>
          </cell>
          <cell r="G1335">
            <v>2283.804674</v>
          </cell>
          <cell r="H1335">
            <v>1.7560975609756</v>
          </cell>
          <cell r="I1335">
            <v>155.56668400000001</v>
          </cell>
          <cell r="J1335">
            <v>0.94250871080139298</v>
          </cell>
          <cell r="K1335">
            <v>1446.141578</v>
          </cell>
          <cell r="L1335">
            <v>1.6818181818181801</v>
          </cell>
          <cell r="M1335">
            <v>729.34356000000002</v>
          </cell>
          <cell r="N1335">
            <v>1.53671328671328</v>
          </cell>
          <cell r="O1335">
            <v>290.90255200000001</v>
          </cell>
          <cell r="P1335">
            <v>0.51584507042253502</v>
          </cell>
          <cell r="Q1335">
            <v>212.83177800000001</v>
          </cell>
          <cell r="R1335">
            <v>0.37147887323943601</v>
          </cell>
          <cell r="S1335">
            <v>936.04515600000002</v>
          </cell>
          <cell r="T1335">
            <v>2.7183600713012401</v>
          </cell>
          <cell r="U1335">
            <v>283.27581600000002</v>
          </cell>
          <cell r="V1335">
            <v>1.57932263814616</v>
          </cell>
        </row>
        <row r="1336">
          <cell r="A1336" t="str">
            <v>082202</v>
          </cell>
          <cell r="B1336">
            <v>102.222222</v>
          </cell>
          <cell r="C1336">
            <v>759.10768399999995</v>
          </cell>
          <cell r="D1336">
            <v>1.65151515151515</v>
          </cell>
          <cell r="E1336">
            <v>269.23883599999999</v>
          </cell>
          <cell r="F1336">
            <v>1.0303030303030301</v>
          </cell>
          <cell r="G1336">
            <v>290.71322600000002</v>
          </cell>
          <cell r="H1336">
            <v>0.65217391304347805</v>
          </cell>
          <cell r="I1336">
            <v>45.530683000000003</v>
          </cell>
          <cell r="J1336">
            <v>0.356521739130434</v>
          </cell>
          <cell r="K1336">
            <v>3911.4153379999998</v>
          </cell>
          <cell r="L1336">
            <v>1.95575221238938</v>
          </cell>
          <cell r="M1336">
            <v>344.77109100000001</v>
          </cell>
          <cell r="N1336">
            <v>0.76106194690265405</v>
          </cell>
          <cell r="O1336">
            <v>49.826636000000001</v>
          </cell>
          <cell r="P1336">
            <v>0.51785714285714202</v>
          </cell>
          <cell r="Q1336">
            <v>49.826636000000001</v>
          </cell>
          <cell r="R1336">
            <v>0.51785714285714202</v>
          </cell>
          <cell r="S1336">
            <v>245.460151</v>
          </cell>
          <cell r="T1336">
            <v>0.44545454545454499</v>
          </cell>
          <cell r="U1336">
            <v>147.84424200000001</v>
          </cell>
          <cell r="V1336">
            <v>0.41818181818181799</v>
          </cell>
        </row>
        <row r="1337">
          <cell r="A1337" t="str">
            <v>082401</v>
          </cell>
          <cell r="B1337">
            <v>397.44444399999998</v>
          </cell>
          <cell r="C1337">
            <v>50.412424999999999</v>
          </cell>
          <cell r="D1337">
            <v>0.37092731829573899</v>
          </cell>
          <cell r="E1337">
            <v>50.412424999999999</v>
          </cell>
          <cell r="F1337">
            <v>0.37092731829573899</v>
          </cell>
          <cell r="G1337">
            <v>379.96054400000003</v>
          </cell>
          <cell r="H1337">
            <v>1.56359102244389</v>
          </cell>
          <cell r="I1337">
            <v>356.09767099999999</v>
          </cell>
          <cell r="J1337">
            <v>1.51122194513715</v>
          </cell>
          <cell r="K1337">
            <v>1562.362468</v>
          </cell>
          <cell r="L1337">
            <v>2.5511221945137099</v>
          </cell>
          <cell r="M1337">
            <v>259.34941800000001</v>
          </cell>
          <cell r="N1337">
            <v>1.57356608478802</v>
          </cell>
          <cell r="O1337">
            <v>402.57279499999999</v>
          </cell>
          <cell r="P1337">
            <v>1.0806045340050301</v>
          </cell>
          <cell r="Q1337">
            <v>46.690848000000003</v>
          </cell>
          <cell r="R1337">
            <v>0.622166246851385</v>
          </cell>
          <cell r="S1337">
            <v>869.94149500000003</v>
          </cell>
          <cell r="T1337">
            <v>2.0871794871794802</v>
          </cell>
          <cell r="U1337">
            <v>197.812735</v>
          </cell>
          <cell r="V1337">
            <v>1.4974358974358899</v>
          </cell>
        </row>
        <row r="1338">
          <cell r="A1338" t="str">
            <v>082402</v>
          </cell>
          <cell r="B1338">
            <v>137.875</v>
          </cell>
          <cell r="C1338">
            <v>27.711521999999999</v>
          </cell>
          <cell r="D1338">
            <v>0.25899280575539502</v>
          </cell>
          <cell r="E1338">
            <v>27.711521999999999</v>
          </cell>
          <cell r="F1338">
            <v>0.25899280575539502</v>
          </cell>
          <cell r="G1338">
            <v>329.70430800000003</v>
          </cell>
          <cell r="H1338">
            <v>1.49640287769784</v>
          </cell>
          <cell r="I1338">
            <v>326.46614499999998</v>
          </cell>
          <cell r="J1338">
            <v>1.47482014388489</v>
          </cell>
          <cell r="K1338">
            <v>4763.0084530000004</v>
          </cell>
          <cell r="L1338">
            <v>3.3985507246376798</v>
          </cell>
          <cell r="M1338">
            <v>214.20785000000001</v>
          </cell>
          <cell r="N1338">
            <v>0.29710144927536197</v>
          </cell>
          <cell r="O1338">
            <v>34.161352000000001</v>
          </cell>
          <cell r="P1338">
            <v>0.39855072463768099</v>
          </cell>
          <cell r="Q1338">
            <v>34.161352000000001</v>
          </cell>
          <cell r="R1338">
            <v>0.39855072463768099</v>
          </cell>
          <cell r="S1338">
            <v>175.98958200000001</v>
          </cell>
          <cell r="T1338">
            <v>0.36029411764705799</v>
          </cell>
          <cell r="U1338">
            <v>25.532720000000001</v>
          </cell>
          <cell r="V1338">
            <v>0.24264705882352899</v>
          </cell>
        </row>
        <row r="1339">
          <cell r="A1339" t="str">
            <v>082501</v>
          </cell>
          <cell r="B1339">
            <v>1034.375</v>
          </cell>
          <cell r="C1339">
            <v>4.6550279999999997</v>
          </cell>
          <cell r="D1339">
            <v>2.6011560693641599E-2</v>
          </cell>
          <cell r="E1339">
            <v>4.6550279999999997</v>
          </cell>
          <cell r="F1339">
            <v>2.6011560693641599E-2</v>
          </cell>
          <cell r="G1339">
            <v>16.236124</v>
          </cell>
          <cell r="H1339">
            <v>9.6246390760346398E-2</v>
          </cell>
          <cell r="I1339">
            <v>16.236124</v>
          </cell>
          <cell r="J1339">
            <v>9.6246390760346398E-2</v>
          </cell>
          <cell r="K1339">
            <v>75.620788000000005</v>
          </cell>
          <cell r="L1339">
            <v>0.46473429951690798</v>
          </cell>
          <cell r="M1339">
            <v>71.833735000000004</v>
          </cell>
          <cell r="N1339">
            <v>0.45700483091787403</v>
          </cell>
          <cell r="O1339">
            <v>460.43495999999999</v>
          </cell>
          <cell r="P1339">
            <v>1.1760154738878099</v>
          </cell>
          <cell r="Q1339">
            <v>23.168713</v>
          </cell>
          <cell r="R1339">
            <v>1.0270793036750401</v>
          </cell>
          <cell r="S1339">
            <v>333.89857499999999</v>
          </cell>
          <cell r="T1339">
            <v>0.28058252427184399</v>
          </cell>
          <cell r="U1339">
            <v>36.171796000000001</v>
          </cell>
          <cell r="V1339">
            <v>0.15436893203883401</v>
          </cell>
        </row>
        <row r="1340">
          <cell r="A1340" t="str">
            <v>082502</v>
          </cell>
          <cell r="B1340">
            <v>204.444444</v>
          </cell>
          <cell r="C1340">
            <v>425.40953400000001</v>
          </cell>
          <cell r="D1340">
            <v>2.02678571428571</v>
          </cell>
          <cell r="E1340">
            <v>425.40953400000001</v>
          </cell>
          <cell r="F1340">
            <v>2.02678571428571</v>
          </cell>
          <cell r="G1340">
            <v>1412.238202</v>
          </cell>
          <cell r="H1340">
            <v>1.1461187214611801</v>
          </cell>
          <cell r="I1340">
            <v>24.319413000000001</v>
          </cell>
          <cell r="J1340">
            <v>0.105022831050228</v>
          </cell>
          <cell r="K1340">
            <v>4688.9759160000003</v>
          </cell>
          <cell r="L1340">
            <v>2.1376146788990802</v>
          </cell>
          <cell r="M1340">
            <v>13.413455000000001</v>
          </cell>
          <cell r="N1340">
            <v>0.105504587155963</v>
          </cell>
          <cell r="O1340">
            <v>1001.3541269999999</v>
          </cell>
          <cell r="P1340">
            <v>0.55607476635513997</v>
          </cell>
          <cell r="Q1340">
            <v>203.46339499999999</v>
          </cell>
          <cell r="R1340">
            <v>0.30373831775700899</v>
          </cell>
          <cell r="S1340">
            <v>30.988340000000001</v>
          </cell>
          <cell r="T1340">
            <v>0.19718309859154901</v>
          </cell>
          <cell r="U1340">
            <v>22.510249999999999</v>
          </cell>
          <cell r="V1340">
            <v>0.19248826291079801</v>
          </cell>
        </row>
        <row r="1341">
          <cell r="A1341" t="str">
            <v>082901</v>
          </cell>
          <cell r="B1341">
            <v>617.79999999999995</v>
          </cell>
          <cell r="C1341">
            <v>660.60742800000003</v>
          </cell>
          <cell r="D1341">
            <v>0.93528505392912098</v>
          </cell>
          <cell r="E1341">
            <v>35.503523999999999</v>
          </cell>
          <cell r="F1341">
            <v>0.26348228043143201</v>
          </cell>
          <cell r="G1341">
            <v>4.6836979999999997</v>
          </cell>
          <cell r="H1341">
            <v>1.5337423312883401E-2</v>
          </cell>
          <cell r="I1341">
            <v>1.8659140000000001</v>
          </cell>
          <cell r="J1341">
            <v>1.3803680981595E-2</v>
          </cell>
          <cell r="K1341">
            <v>963.57144200000005</v>
          </cell>
          <cell r="L1341">
            <v>3.1910631741140199</v>
          </cell>
          <cell r="M1341">
            <v>882.02881300000001</v>
          </cell>
          <cell r="N1341">
            <v>2.6194144838212599</v>
          </cell>
          <cell r="O1341">
            <v>102.47887799999999</v>
          </cell>
          <cell r="P1341">
            <v>1.0499999999999901</v>
          </cell>
          <cell r="Q1341">
            <v>96.570774999999998</v>
          </cell>
          <cell r="R1341">
            <v>1.0482758620689601</v>
          </cell>
          <cell r="S1341">
            <v>2278.902145</v>
          </cell>
          <cell r="T1341">
            <v>2.1127012522361301</v>
          </cell>
          <cell r="U1341">
            <v>68.613714000000002</v>
          </cell>
          <cell r="V1341">
            <v>1.2880143112701199</v>
          </cell>
        </row>
        <row r="1342">
          <cell r="A1342" t="str">
            <v>082902</v>
          </cell>
          <cell r="B1342">
            <v>109.8</v>
          </cell>
          <cell r="C1342">
            <v>2.4255900000000001</v>
          </cell>
          <cell r="D1342">
            <v>1.85185185185185E-2</v>
          </cell>
          <cell r="E1342">
            <v>2.4255900000000001</v>
          </cell>
          <cell r="F1342">
            <v>1.85185185185185E-2</v>
          </cell>
          <cell r="G1342">
            <v>13.094951</v>
          </cell>
          <cell r="H1342">
            <v>7.2727272727272696E-2</v>
          </cell>
          <cell r="I1342">
            <v>13.094951</v>
          </cell>
          <cell r="J1342">
            <v>7.2727272727272696E-2</v>
          </cell>
          <cell r="K1342">
            <v>989.337987</v>
          </cell>
          <cell r="L1342">
            <v>4.0630630630630602</v>
          </cell>
          <cell r="M1342">
            <v>989.337987</v>
          </cell>
          <cell r="N1342">
            <v>4.0630630630630602</v>
          </cell>
          <cell r="O1342">
            <v>2.3211710000000001</v>
          </cell>
          <cell r="P1342">
            <v>7.2072072072072002E-2</v>
          </cell>
          <cell r="Q1342">
            <v>2.3211710000000001</v>
          </cell>
          <cell r="R1342">
            <v>7.2072072072072002E-2</v>
          </cell>
          <cell r="S1342">
            <v>141.973241</v>
          </cell>
          <cell r="T1342">
            <v>1.03669724770642</v>
          </cell>
          <cell r="U1342">
            <v>141.973241</v>
          </cell>
          <cell r="V1342">
            <v>1.03669724770642</v>
          </cell>
        </row>
        <row r="1343">
          <cell r="A1343" t="str">
            <v>082903</v>
          </cell>
          <cell r="B1343">
            <v>468.5</v>
          </cell>
          <cell r="C1343">
            <v>70.739872000000005</v>
          </cell>
          <cell r="D1343">
            <v>0.180851063829787</v>
          </cell>
          <cell r="E1343">
            <v>70.739872000000005</v>
          </cell>
          <cell r="F1343">
            <v>0.180851063829787</v>
          </cell>
          <cell r="G1343">
            <v>0.47758800000000001</v>
          </cell>
          <cell r="H1343">
            <v>2.1276595744680799E-3</v>
          </cell>
          <cell r="I1343">
            <v>0.47758800000000001</v>
          </cell>
          <cell r="J1343">
            <v>2.1276595744680799E-3</v>
          </cell>
          <cell r="K1343">
            <v>545.48429199999998</v>
          </cell>
          <cell r="L1343">
            <v>2.0042643923240901</v>
          </cell>
          <cell r="M1343">
            <v>545.48429199999998</v>
          </cell>
          <cell r="N1343">
            <v>2.0042643923240901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39.245052999999999</v>
          </cell>
          <cell r="T1343">
            <v>0.238709677419354</v>
          </cell>
          <cell r="U1343">
            <v>39.245052999999999</v>
          </cell>
          <cell r="V1343">
            <v>0.238709677419354</v>
          </cell>
        </row>
        <row r="1344">
          <cell r="A1344" t="str">
            <v>082904</v>
          </cell>
          <cell r="B1344">
            <v>1108.2</v>
          </cell>
          <cell r="C1344">
            <v>1713.475449</v>
          </cell>
          <cell r="D1344">
            <v>2.8281389136242199</v>
          </cell>
          <cell r="E1344">
            <v>561.45416499999999</v>
          </cell>
          <cell r="F1344">
            <v>2.2956366874443401</v>
          </cell>
          <cell r="G1344">
            <v>335.06475499999999</v>
          </cell>
          <cell r="H1344">
            <v>3.0877659574468002</v>
          </cell>
          <cell r="I1344">
            <v>332.53606600000001</v>
          </cell>
          <cell r="J1344">
            <v>3.08510638297872</v>
          </cell>
          <cell r="K1344">
            <v>1031.262753</v>
          </cell>
          <cell r="L1344">
            <v>3.43189964157706</v>
          </cell>
          <cell r="M1344">
            <v>662.00542099999996</v>
          </cell>
          <cell r="N1344">
            <v>2.9256272401433598</v>
          </cell>
          <cell r="O1344">
            <v>361.77143699999999</v>
          </cell>
          <cell r="P1344">
            <v>1.1394712853236</v>
          </cell>
          <cell r="Q1344">
            <v>135.37277399999999</v>
          </cell>
          <cell r="R1344">
            <v>1.08568824065633</v>
          </cell>
          <cell r="S1344">
            <v>279.17517700000002</v>
          </cell>
          <cell r="T1344">
            <v>1.29247910863509</v>
          </cell>
          <cell r="U1344">
            <v>162.66482500000001</v>
          </cell>
          <cell r="V1344">
            <v>1.1875580315691701</v>
          </cell>
        </row>
        <row r="1345">
          <cell r="A1345" t="str">
            <v>083101</v>
          </cell>
          <cell r="B1345">
            <v>1</v>
          </cell>
          <cell r="C1345">
            <v>0</v>
          </cell>
          <cell r="D1345">
            <v>0</v>
          </cell>
          <cell r="E1345">
            <v>0</v>
          </cell>
          <cell r="F1345">
            <v>0</v>
          </cell>
          <cell r="G1345">
            <v>281</v>
          </cell>
          <cell r="H1345">
            <v>1</v>
          </cell>
          <cell r="I1345">
            <v>281</v>
          </cell>
          <cell r="J1345">
            <v>1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</row>
        <row r="1346">
          <cell r="A1346" t="str">
            <v>083401</v>
          </cell>
          <cell r="B1346">
            <v>1</v>
          </cell>
          <cell r="C1346">
            <v>0</v>
          </cell>
          <cell r="D1346">
            <v>0</v>
          </cell>
          <cell r="E1346">
            <v>0</v>
          </cell>
          <cell r="F1346">
            <v>0</v>
          </cell>
          <cell r="G1346">
            <v>115</v>
          </cell>
          <cell r="H1346">
            <v>1</v>
          </cell>
          <cell r="I1346">
            <v>115</v>
          </cell>
          <cell r="J1346">
            <v>1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60</v>
          </cell>
          <cell r="T1346">
            <v>1</v>
          </cell>
          <cell r="U1346">
            <v>60</v>
          </cell>
          <cell r="V1346">
            <v>1</v>
          </cell>
        </row>
        <row r="1347">
          <cell r="A1347" t="str">
            <v>083501</v>
          </cell>
          <cell r="B1347">
            <v>2087</v>
          </cell>
          <cell r="C1347">
            <v>372.43512299999998</v>
          </cell>
          <cell r="D1347">
            <v>0.66906130268199204</v>
          </cell>
          <cell r="E1347">
            <v>51.237107000000002</v>
          </cell>
          <cell r="F1347">
            <v>0.34578544061302602</v>
          </cell>
          <cell r="G1347">
            <v>323.20375300000001</v>
          </cell>
          <cell r="H1347">
            <v>1.23543457497612</v>
          </cell>
          <cell r="I1347">
            <v>307.172732</v>
          </cell>
          <cell r="J1347">
            <v>1.2043935052531001</v>
          </cell>
          <cell r="K1347">
            <v>1740.546838</v>
          </cell>
          <cell r="L1347">
            <v>1.30172413793103</v>
          </cell>
          <cell r="M1347">
            <v>35.866242999999997</v>
          </cell>
          <cell r="N1347">
            <v>0.17001915708812201</v>
          </cell>
          <cell r="O1347">
            <v>17.055256</v>
          </cell>
          <cell r="P1347">
            <v>0.25108017282765199</v>
          </cell>
          <cell r="Q1347">
            <v>17.055256</v>
          </cell>
          <cell r="R1347">
            <v>0.25108017282765199</v>
          </cell>
          <cell r="S1347">
            <v>282.96323699999999</v>
          </cell>
          <cell r="T1347">
            <v>2.1504807692307599</v>
          </cell>
          <cell r="U1347">
            <v>211.74008000000001</v>
          </cell>
          <cell r="V1347">
            <v>1.1480769230769201</v>
          </cell>
        </row>
        <row r="1348">
          <cell r="A1348" t="str">
            <v>083502</v>
          </cell>
          <cell r="B1348">
            <v>316.85714200000001</v>
          </cell>
          <cell r="C1348">
            <v>2.407724</v>
          </cell>
          <cell r="D1348">
            <v>1.2383900928792499E-2</v>
          </cell>
          <cell r="E1348">
            <v>2.407724</v>
          </cell>
          <cell r="F1348">
            <v>1.2383900928792499E-2</v>
          </cell>
          <cell r="G1348">
            <v>8.6027609999999992</v>
          </cell>
          <cell r="H1348">
            <v>5.2795031055900603E-2</v>
          </cell>
          <cell r="I1348">
            <v>6.6422230000000004</v>
          </cell>
          <cell r="J1348">
            <v>4.9689440993788803E-2</v>
          </cell>
          <cell r="K1348">
            <v>84.601241999999999</v>
          </cell>
          <cell r="L1348">
            <v>0.63664596273291896</v>
          </cell>
          <cell r="M1348">
            <v>84.601241999999999</v>
          </cell>
          <cell r="N1348">
            <v>0.63664596273291896</v>
          </cell>
          <cell r="O1348">
            <v>253.06702999999999</v>
          </cell>
          <cell r="P1348">
            <v>1.3676012461059099</v>
          </cell>
          <cell r="Q1348">
            <v>253.06702999999999</v>
          </cell>
          <cell r="R1348">
            <v>1.3676012461059099</v>
          </cell>
          <cell r="S1348">
            <v>360.299013</v>
          </cell>
          <cell r="T1348">
            <v>2.0559210526315699</v>
          </cell>
          <cell r="U1348">
            <v>219.92121700000001</v>
          </cell>
          <cell r="V1348">
            <v>1.1611842105263099</v>
          </cell>
        </row>
        <row r="1349">
          <cell r="A1349" t="str">
            <v>083503</v>
          </cell>
          <cell r="B1349">
            <v>1542</v>
          </cell>
          <cell r="C1349">
            <v>1304.015967</v>
          </cell>
          <cell r="D1349">
            <v>6.1804008908685901</v>
          </cell>
          <cell r="E1349">
            <v>868.18413499999997</v>
          </cell>
          <cell r="F1349">
            <v>5.0100222717149201</v>
          </cell>
          <cell r="G1349">
            <v>43.984774000000002</v>
          </cell>
          <cell r="H1349">
            <v>0.38539898132427802</v>
          </cell>
          <cell r="I1349">
            <v>43.764023999999999</v>
          </cell>
          <cell r="J1349">
            <v>0.383701188455008</v>
          </cell>
          <cell r="K1349">
            <v>468.570178</v>
          </cell>
          <cell r="L1349">
            <v>0.71384039900249296</v>
          </cell>
          <cell r="M1349">
            <v>240.55149599999999</v>
          </cell>
          <cell r="N1349">
            <v>0.64214463840399005</v>
          </cell>
          <cell r="O1349">
            <v>244.99982499999999</v>
          </cell>
          <cell r="P1349">
            <v>1.88180764774044</v>
          </cell>
          <cell r="Q1349">
            <v>244.526882</v>
          </cell>
          <cell r="R1349">
            <v>1.8765932792583999</v>
          </cell>
          <cell r="S1349">
            <v>157.84421699999999</v>
          </cell>
          <cell r="T1349">
            <v>1.47638483965014</v>
          </cell>
          <cell r="U1349">
            <v>87.631574000000001</v>
          </cell>
          <cell r="V1349">
            <v>0.48454810495626799</v>
          </cell>
        </row>
        <row r="1350">
          <cell r="A1350" t="str">
            <v>083504</v>
          </cell>
          <cell r="B1350">
            <v>1454.4</v>
          </cell>
          <cell r="C1350">
            <v>174.524339</v>
          </cell>
          <cell r="D1350">
            <v>0.210746685275645</v>
          </cell>
          <cell r="E1350">
            <v>21.071722999999999</v>
          </cell>
          <cell r="F1350">
            <v>0.14515003489183501</v>
          </cell>
          <cell r="G1350">
            <v>79.445053999999999</v>
          </cell>
          <cell r="H1350">
            <v>0.198879551820728</v>
          </cell>
          <cell r="I1350">
            <v>78.619968</v>
          </cell>
          <cell r="J1350">
            <v>0.19747899159663801</v>
          </cell>
          <cell r="K1350">
            <v>93.986583999999993</v>
          </cell>
          <cell r="L1350">
            <v>7.1578947368421006E-2</v>
          </cell>
          <cell r="M1350">
            <v>4.3498239999999999</v>
          </cell>
          <cell r="N1350">
            <v>4.0701754385964899E-2</v>
          </cell>
          <cell r="O1350">
            <v>10.986858</v>
          </cell>
          <cell r="P1350">
            <v>0.194888178913738</v>
          </cell>
          <cell r="Q1350">
            <v>10.574611000000001</v>
          </cell>
          <cell r="R1350">
            <v>0.194249201277955</v>
          </cell>
          <cell r="S1350">
            <v>136.95431500000001</v>
          </cell>
          <cell r="T1350">
            <v>1.5010555946516499</v>
          </cell>
          <cell r="U1350">
            <v>66.305008000000001</v>
          </cell>
          <cell r="V1350">
            <v>0.57353976073187796</v>
          </cell>
        </row>
        <row r="1351">
          <cell r="A1351" t="str">
            <v>083801</v>
          </cell>
          <cell r="B1351">
            <v>516</v>
          </cell>
          <cell r="C1351">
            <v>4622.2142030000005</v>
          </cell>
          <cell r="D1351">
            <v>3.0134874759152201</v>
          </cell>
          <cell r="E1351">
            <v>246.70533900000001</v>
          </cell>
          <cell r="F1351">
            <v>1.28323699421965</v>
          </cell>
          <cell r="G1351">
            <v>4761.2165450000002</v>
          </cell>
          <cell r="H1351">
            <v>4.0499040307101701</v>
          </cell>
          <cell r="I1351">
            <v>491.73460399999999</v>
          </cell>
          <cell r="J1351">
            <v>2.447216890595</v>
          </cell>
          <cell r="K1351">
            <v>3305.420294</v>
          </cell>
          <cell r="L1351">
            <v>3.5009633911367999</v>
          </cell>
          <cell r="M1351">
            <v>753.27157899999997</v>
          </cell>
          <cell r="N1351">
            <v>2.2639691714836201</v>
          </cell>
          <cell r="O1351">
            <v>929.04369199999996</v>
          </cell>
          <cell r="P1351">
            <v>1.5882352941176401</v>
          </cell>
          <cell r="Q1351">
            <v>132.07323500000001</v>
          </cell>
          <cell r="R1351">
            <v>0.53725490196078396</v>
          </cell>
          <cell r="S1351">
            <v>2065.87707</v>
          </cell>
          <cell r="T1351">
            <v>2.7671232876712302</v>
          </cell>
          <cell r="U1351">
            <v>2027.1485970000001</v>
          </cell>
          <cell r="V1351">
            <v>2.7123287671232799</v>
          </cell>
        </row>
        <row r="1352">
          <cell r="A1352" t="str">
            <v>083802</v>
          </cell>
          <cell r="B1352">
            <v>51</v>
          </cell>
          <cell r="C1352">
            <v>227.01288400000001</v>
          </cell>
          <cell r="D1352">
            <v>1.0392156862744999</v>
          </cell>
          <cell r="E1352">
            <v>198.067295</v>
          </cell>
          <cell r="F1352">
            <v>1.0196078431372499</v>
          </cell>
          <cell r="G1352">
            <v>191.09260699999999</v>
          </cell>
          <cell r="H1352">
            <v>1.0196078431372499</v>
          </cell>
          <cell r="I1352">
            <v>191.09260699999999</v>
          </cell>
          <cell r="J1352">
            <v>1.0196078431372499</v>
          </cell>
          <cell r="K1352">
            <v>2323.2526130000001</v>
          </cell>
          <cell r="L1352">
            <v>0.58823529411764697</v>
          </cell>
          <cell r="M1352">
            <v>2.7460779999999998</v>
          </cell>
          <cell r="N1352">
            <v>1.9607843137254902E-2</v>
          </cell>
          <cell r="O1352">
            <v>2544.6601289999999</v>
          </cell>
          <cell r="P1352">
            <v>6.6078431372548998</v>
          </cell>
          <cell r="Q1352">
            <v>1860.982352</v>
          </cell>
          <cell r="R1352">
            <v>5.0784313725490096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</row>
        <row r="1353">
          <cell r="A1353" t="str">
            <v>084001</v>
          </cell>
          <cell r="B1353">
            <v>1874.1111109999999</v>
          </cell>
          <cell r="C1353">
            <v>244.77461500000001</v>
          </cell>
          <cell r="D1353">
            <v>1.5544922913343899</v>
          </cell>
          <cell r="E1353">
            <v>244.77461500000001</v>
          </cell>
          <cell r="F1353">
            <v>1.5544922913343899</v>
          </cell>
          <cell r="G1353">
            <v>257.18265600000001</v>
          </cell>
          <cell r="H1353">
            <v>1.5814814814814799</v>
          </cell>
          <cell r="I1353">
            <v>215.37232599999999</v>
          </cell>
          <cell r="J1353">
            <v>1.5544973544973499</v>
          </cell>
          <cell r="K1353">
            <v>417.42925200000002</v>
          </cell>
          <cell r="L1353">
            <v>1.02018056293149</v>
          </cell>
          <cell r="M1353">
            <v>81.754062000000005</v>
          </cell>
          <cell r="N1353">
            <v>0.243759957514604</v>
          </cell>
          <cell r="O1353">
            <v>1164.5622089999999</v>
          </cell>
          <cell r="P1353">
            <v>2.1957219251336801</v>
          </cell>
          <cell r="Q1353">
            <v>493.76811900000001</v>
          </cell>
          <cell r="R1353">
            <v>1.65401069518716</v>
          </cell>
          <cell r="S1353">
            <v>511.37868400000002</v>
          </cell>
          <cell r="T1353">
            <v>1.7383783783783699</v>
          </cell>
          <cell r="U1353">
            <v>508.821054</v>
          </cell>
          <cell r="V1353">
            <v>1.7205405405405401</v>
          </cell>
        </row>
        <row r="1354">
          <cell r="A1354" t="str">
            <v>084003</v>
          </cell>
          <cell r="B1354">
            <v>147.555555</v>
          </cell>
          <cell r="C1354">
            <v>23.831672000000001</v>
          </cell>
          <cell r="D1354">
            <v>0.213235294117647</v>
          </cell>
          <cell r="E1354">
            <v>23.831672000000001</v>
          </cell>
          <cell r="F1354">
            <v>0.213235294117647</v>
          </cell>
          <cell r="G1354">
            <v>254.37166999999999</v>
          </cell>
          <cell r="H1354">
            <v>1.19117647058823</v>
          </cell>
          <cell r="I1354">
            <v>172.61292700000001</v>
          </cell>
          <cell r="J1354">
            <v>0.99264705882352899</v>
          </cell>
          <cell r="K1354">
            <v>773.39777700000002</v>
          </cell>
          <cell r="L1354">
            <v>1.5185185185185099</v>
          </cell>
          <cell r="M1354">
            <v>331.20493800000003</v>
          </cell>
          <cell r="N1354">
            <v>1.0370370370370301</v>
          </cell>
          <cell r="O1354">
            <v>817.41801299999997</v>
          </cell>
          <cell r="P1354">
            <v>1.15441176470588</v>
          </cell>
          <cell r="Q1354">
            <v>155.659313</v>
          </cell>
          <cell r="R1354">
            <v>0.40441176470588203</v>
          </cell>
          <cell r="S1354">
            <v>499.693738</v>
          </cell>
          <cell r="T1354">
            <v>2.1005291005291</v>
          </cell>
          <cell r="U1354">
            <v>497.28015799999997</v>
          </cell>
          <cell r="V1354">
            <v>2.0793650793650702</v>
          </cell>
        </row>
        <row r="1355">
          <cell r="A1355" t="str">
            <v>084101</v>
          </cell>
          <cell r="B1355">
            <v>1091.8</v>
          </cell>
          <cell r="C1355">
            <v>1033.3936659999999</v>
          </cell>
          <cell r="D1355">
            <v>2.6930533117932098</v>
          </cell>
          <cell r="E1355">
            <v>957.29638899999998</v>
          </cell>
          <cell r="F1355">
            <v>2.4523424878836799</v>
          </cell>
          <cell r="G1355">
            <v>875.095733</v>
          </cell>
          <cell r="H1355">
            <v>2.5302782324058901</v>
          </cell>
          <cell r="I1355">
            <v>184.93014600000001</v>
          </cell>
          <cell r="J1355">
            <v>1.4836333878887</v>
          </cell>
          <cell r="K1355">
            <v>585.47050999999999</v>
          </cell>
          <cell r="L1355">
            <v>0.70510708401976896</v>
          </cell>
          <cell r="M1355">
            <v>224.59290200000001</v>
          </cell>
          <cell r="N1355">
            <v>0.55848434925864898</v>
          </cell>
          <cell r="O1355">
            <v>698.25600799999995</v>
          </cell>
          <cell r="P1355">
            <v>2.0541215653621898</v>
          </cell>
          <cell r="Q1355">
            <v>225.36368300000001</v>
          </cell>
          <cell r="R1355">
            <v>1.2764363030807599</v>
          </cell>
          <cell r="S1355">
            <v>1767.5667350000001</v>
          </cell>
          <cell r="T1355">
            <v>3.4497090606816201</v>
          </cell>
          <cell r="U1355">
            <v>1623.6425320000001</v>
          </cell>
          <cell r="V1355">
            <v>2.89609310058187</v>
          </cell>
        </row>
        <row r="1356">
          <cell r="A1356" t="str">
            <v>084102</v>
          </cell>
          <cell r="B1356">
            <v>1001.2</v>
          </cell>
          <cell r="C1356">
            <v>801.15335700000003</v>
          </cell>
          <cell r="D1356">
            <v>2.2568807339449499</v>
          </cell>
          <cell r="E1356">
            <v>781.654763</v>
          </cell>
          <cell r="F1356">
            <v>2.2366972477064202</v>
          </cell>
          <cell r="G1356">
            <v>1404.566045</v>
          </cell>
          <cell r="H1356">
            <v>2.0248007085916702</v>
          </cell>
          <cell r="I1356">
            <v>185.465824</v>
          </cell>
          <cell r="J1356">
            <v>1.2382639503985799</v>
          </cell>
          <cell r="K1356">
            <v>3541.0572689999999</v>
          </cell>
          <cell r="L1356">
            <v>3.10347903657448</v>
          </cell>
          <cell r="M1356">
            <v>496.70689800000002</v>
          </cell>
          <cell r="N1356">
            <v>1.6949152542372801</v>
          </cell>
          <cell r="O1356">
            <v>340.57913600000001</v>
          </cell>
          <cell r="P1356">
            <v>1.4332129963898901</v>
          </cell>
          <cell r="Q1356">
            <v>254.53769500000001</v>
          </cell>
          <cell r="R1356">
            <v>1.3456678700361</v>
          </cell>
          <cell r="S1356">
            <v>2599.3689920000002</v>
          </cell>
          <cell r="T1356">
            <v>3.6391659111513999</v>
          </cell>
          <cell r="U1356">
            <v>1513.8988959999999</v>
          </cell>
          <cell r="V1356">
            <v>2.16953762466001</v>
          </cell>
        </row>
        <row r="1357">
          <cell r="A1357" t="str">
            <v>084201</v>
          </cell>
          <cell r="B1357">
            <v>2284.8000000000002</v>
          </cell>
          <cell r="C1357">
            <v>49.354537999999998</v>
          </cell>
          <cell r="D1357">
            <v>0.32034294621979698</v>
          </cell>
          <cell r="E1357">
            <v>45.615800999999998</v>
          </cell>
          <cell r="F1357">
            <v>0.31176929072486298</v>
          </cell>
          <cell r="G1357">
            <v>73.259404000000004</v>
          </cell>
          <cell r="H1357">
            <v>0.29292527821939501</v>
          </cell>
          <cell r="I1357">
            <v>72.789246000000006</v>
          </cell>
          <cell r="J1357">
            <v>0.29133545310015801</v>
          </cell>
          <cell r="K1357">
            <v>345.14965999999998</v>
          </cell>
          <cell r="L1357">
            <v>0.21642088481466701</v>
          </cell>
          <cell r="M1357">
            <v>34.091017999999998</v>
          </cell>
          <cell r="N1357">
            <v>0.11040255081705801</v>
          </cell>
          <cell r="O1357">
            <v>115.47371200000001</v>
          </cell>
          <cell r="P1357">
            <v>0.52161729383506805</v>
          </cell>
          <cell r="Q1357">
            <v>93.443488000000002</v>
          </cell>
          <cell r="R1357">
            <v>0.45596477181745299</v>
          </cell>
          <cell r="S1357">
            <v>386.47171400000002</v>
          </cell>
          <cell r="T1357">
            <v>1.37547746371275</v>
          </cell>
          <cell r="U1357">
            <v>103.86317099999999</v>
          </cell>
          <cell r="V1357">
            <v>0.62146676852559202</v>
          </cell>
        </row>
        <row r="1358">
          <cell r="A1358" t="str">
            <v>084202</v>
          </cell>
          <cell r="B1358">
            <v>667.66666599999996</v>
          </cell>
          <cell r="C1358">
            <v>152.67668699999999</v>
          </cell>
          <cell r="D1358">
            <v>0.37369207772795199</v>
          </cell>
          <cell r="E1358">
            <v>152.67668699999999</v>
          </cell>
          <cell r="F1358">
            <v>0.37369207772795199</v>
          </cell>
          <cell r="G1358">
            <v>100.589305</v>
          </cell>
          <cell r="H1358">
            <v>0.40447761194029802</v>
          </cell>
          <cell r="I1358">
            <v>82.017099999999999</v>
          </cell>
          <cell r="J1358">
            <v>0.370149253731343</v>
          </cell>
          <cell r="K1358">
            <v>561.02929600000004</v>
          </cell>
          <cell r="L1358">
            <v>0.60239162929745804</v>
          </cell>
          <cell r="M1358">
            <v>236.08328299999999</v>
          </cell>
          <cell r="N1358">
            <v>0.43796711509715902</v>
          </cell>
          <cell r="O1358">
            <v>75.031482999999994</v>
          </cell>
          <cell r="P1358">
            <v>7.6461769115442196E-2</v>
          </cell>
          <cell r="Q1358">
            <v>17.755022</v>
          </cell>
          <cell r="R1358">
            <v>6.1469265367316298E-2</v>
          </cell>
          <cell r="S1358">
            <v>905.91144499999996</v>
          </cell>
          <cell r="T1358">
            <v>1.5948795180722799</v>
          </cell>
          <cell r="U1358">
            <v>853.15933700000005</v>
          </cell>
          <cell r="V1358">
            <v>1.4051204819277101</v>
          </cell>
        </row>
        <row r="1359">
          <cell r="A1359" t="str">
            <v>085601</v>
          </cell>
          <cell r="B1359">
            <v>1</v>
          </cell>
          <cell r="C1359">
            <v>58.095332999999997</v>
          </cell>
          <cell r="D1359">
            <v>1</v>
          </cell>
          <cell r="E1359">
            <v>58.095332999999997</v>
          </cell>
          <cell r="F1359">
            <v>1</v>
          </cell>
          <cell r="G1359">
            <v>0</v>
          </cell>
          <cell r="H1359">
            <v>0</v>
          </cell>
          <cell r="I1359">
            <v>0</v>
          </cell>
          <cell r="J1359">
            <v>0</v>
          </cell>
          <cell r="K1359">
            <v>316.14999999999998</v>
          </cell>
          <cell r="L1359">
            <v>2</v>
          </cell>
          <cell r="M1359">
            <v>316.14999999999998</v>
          </cell>
          <cell r="N1359">
            <v>2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0</v>
          </cell>
          <cell r="V1359">
            <v>0</v>
          </cell>
        </row>
        <row r="1360">
          <cell r="A1360" t="str">
            <v>085602</v>
          </cell>
          <cell r="B1360">
            <v>847.625</v>
          </cell>
          <cell r="C1360">
            <v>486.596653</v>
          </cell>
          <cell r="D1360">
            <v>1.01038575667655</v>
          </cell>
          <cell r="E1360">
            <v>6.0886500000000003</v>
          </cell>
          <cell r="F1360">
            <v>2.6706231454005899E-2</v>
          </cell>
          <cell r="G1360">
            <v>867.61800600000004</v>
          </cell>
          <cell r="H1360">
            <v>2.5127071823204399</v>
          </cell>
          <cell r="I1360">
            <v>286.51070900000002</v>
          </cell>
          <cell r="J1360">
            <v>2.1359116022099398</v>
          </cell>
          <cell r="K1360">
            <v>590.34607500000004</v>
          </cell>
          <cell r="L1360">
            <v>4.61166116611661</v>
          </cell>
          <cell r="M1360">
            <v>540.05885499999999</v>
          </cell>
          <cell r="N1360">
            <v>4.1716171617161697</v>
          </cell>
          <cell r="O1360">
            <v>2.4425699999999999</v>
          </cell>
          <cell r="P1360">
            <v>2.3230088495575198E-2</v>
          </cell>
          <cell r="Q1360">
            <v>2.4425699999999999</v>
          </cell>
          <cell r="R1360">
            <v>2.3230088495575198E-2</v>
          </cell>
          <cell r="S1360">
            <v>78.621864000000002</v>
          </cell>
          <cell r="T1360">
            <v>1.1165371809100899</v>
          </cell>
          <cell r="U1360">
            <v>78.621864000000002</v>
          </cell>
          <cell r="V1360">
            <v>1.1165371809100899</v>
          </cell>
        </row>
        <row r="1361">
          <cell r="A1361" t="str">
            <v>085603</v>
          </cell>
          <cell r="B1361">
            <v>26.5</v>
          </cell>
          <cell r="C1361">
            <v>21.689654999999998</v>
          </cell>
          <cell r="D1361">
            <v>3.4482758620689599E-2</v>
          </cell>
          <cell r="E1361">
            <v>21.689654999999998</v>
          </cell>
          <cell r="F1361">
            <v>3.4482758620689599E-2</v>
          </cell>
          <cell r="G1361">
            <v>340.75111800000002</v>
          </cell>
          <cell r="H1361">
            <v>2.4615384615384599</v>
          </cell>
          <cell r="I1361">
            <v>25.780768999999999</v>
          </cell>
          <cell r="J1361">
            <v>0.65384615384615297</v>
          </cell>
          <cell r="K1361">
            <v>1248.063999</v>
          </cell>
          <cell r="L1361">
            <v>5.96</v>
          </cell>
          <cell r="M1361">
            <v>1248.063999</v>
          </cell>
          <cell r="N1361">
            <v>5.96</v>
          </cell>
          <cell r="O1361">
            <v>277.77435800000001</v>
          </cell>
          <cell r="P1361">
            <v>1.0384615384615301</v>
          </cell>
          <cell r="Q1361">
            <v>0</v>
          </cell>
          <cell r="R1361">
            <v>0</v>
          </cell>
          <cell r="S1361">
            <v>4.0314810000000003</v>
          </cell>
          <cell r="T1361">
            <v>3.7037037037037E-2</v>
          </cell>
          <cell r="U1361">
            <v>0</v>
          </cell>
          <cell r="V1361">
            <v>0</v>
          </cell>
        </row>
        <row r="1362">
          <cell r="A1362" t="str">
            <v>085607</v>
          </cell>
          <cell r="B1362">
            <v>33.833333000000003</v>
          </cell>
          <cell r="C1362">
            <v>534.39508799999999</v>
          </cell>
          <cell r="D1362">
            <v>0.83870967741935398</v>
          </cell>
          <cell r="E1362">
            <v>45.958683000000001</v>
          </cell>
          <cell r="F1362">
            <v>0.41935483870967699</v>
          </cell>
          <cell r="G1362">
            <v>0</v>
          </cell>
          <cell r="H1362">
            <v>0</v>
          </cell>
          <cell r="I1362">
            <v>0</v>
          </cell>
          <cell r="J1362">
            <v>0</v>
          </cell>
          <cell r="K1362">
            <v>152.227777</v>
          </cell>
          <cell r="L1362">
            <v>0.86111111111111105</v>
          </cell>
          <cell r="M1362">
            <v>152.227777</v>
          </cell>
          <cell r="N1362">
            <v>0.86111111111111105</v>
          </cell>
          <cell r="O1362">
            <v>62.725237999999997</v>
          </cell>
          <cell r="P1362">
            <v>0.2</v>
          </cell>
          <cell r="Q1362">
            <v>62.725237999999997</v>
          </cell>
          <cell r="R1362">
            <v>0.2</v>
          </cell>
          <cell r="S1362">
            <v>40.079047000000003</v>
          </cell>
          <cell r="T1362">
            <v>0.97142857142857097</v>
          </cell>
          <cell r="U1362">
            <v>3.5690469999999999</v>
          </cell>
          <cell r="V1362">
            <v>2.8571428571428501E-2</v>
          </cell>
        </row>
        <row r="1363">
          <cell r="A1363" t="str">
            <v>085608</v>
          </cell>
          <cell r="B1363">
            <v>26</v>
          </cell>
          <cell r="C1363">
            <v>124.40516</v>
          </cell>
          <cell r="D1363">
            <v>0.33333333333333298</v>
          </cell>
          <cell r="E1363">
            <v>124.40516</v>
          </cell>
          <cell r="F1363">
            <v>0.33333333333333298</v>
          </cell>
          <cell r="G1363">
            <v>38.453910999999998</v>
          </cell>
          <cell r="H1363">
            <v>0.15384615384615299</v>
          </cell>
          <cell r="I1363">
            <v>38.453910999999998</v>
          </cell>
          <cell r="J1363">
            <v>0.15384615384615299</v>
          </cell>
          <cell r="K1363">
            <v>505.34999900000003</v>
          </cell>
          <cell r="L1363">
            <v>2.2692307692307598</v>
          </cell>
          <cell r="M1363">
            <v>505.34999900000003</v>
          </cell>
          <cell r="N1363">
            <v>2.2692307692307598</v>
          </cell>
          <cell r="O1363">
            <v>68.003332999999998</v>
          </cell>
          <cell r="P1363">
            <v>0.28000000000000003</v>
          </cell>
          <cell r="Q1363">
            <v>68.003332999999998</v>
          </cell>
          <cell r="R1363">
            <v>0.28000000000000003</v>
          </cell>
          <cell r="S1363">
            <v>380.23846099999997</v>
          </cell>
          <cell r="T1363">
            <v>1.2692307692307601</v>
          </cell>
          <cell r="U1363">
            <v>380.23846099999997</v>
          </cell>
          <cell r="V1363">
            <v>1.2692307692307601</v>
          </cell>
        </row>
        <row r="1364">
          <cell r="A1364" t="str">
            <v>085701</v>
          </cell>
          <cell r="B1364">
            <v>1255.8</v>
          </cell>
          <cell r="C1364">
            <v>4326.7035059999998</v>
          </cell>
          <cell r="D1364">
            <v>3.7941409342834498</v>
          </cell>
          <cell r="E1364">
            <v>203.45775800000001</v>
          </cell>
          <cell r="F1364">
            <v>2.0910530482977001</v>
          </cell>
          <cell r="G1364">
            <v>1373.9178159999999</v>
          </cell>
          <cell r="H1364">
            <v>1.6126984126984101</v>
          </cell>
          <cell r="I1364">
            <v>160.62155899999999</v>
          </cell>
          <cell r="J1364">
            <v>0.81666666666666599</v>
          </cell>
          <cell r="K1364">
            <v>337.30079599999999</v>
          </cell>
          <cell r="L1364">
            <v>1.36892430278884</v>
          </cell>
          <cell r="M1364">
            <v>192.273864</v>
          </cell>
          <cell r="N1364">
            <v>0.90199203187250898</v>
          </cell>
          <cell r="O1364">
            <v>2592.0075350000002</v>
          </cell>
          <cell r="P1364">
            <v>2.04066985645933</v>
          </cell>
          <cell r="Q1364">
            <v>221.69848400000001</v>
          </cell>
          <cell r="R1364">
            <v>1.13476874003189</v>
          </cell>
          <cell r="S1364">
            <v>1406.568229</v>
          </cell>
          <cell r="T1364">
            <v>3.5805934242181201</v>
          </cell>
          <cell r="U1364">
            <v>578.82445800000005</v>
          </cell>
          <cell r="V1364">
            <v>1.9294306335204401</v>
          </cell>
        </row>
        <row r="1365">
          <cell r="A1365" t="str">
            <v>085702</v>
          </cell>
          <cell r="B1365">
            <v>979</v>
          </cell>
          <cell r="C1365">
            <v>1277.6938050000001</v>
          </cell>
          <cell r="D1365">
            <v>1.84183673469387</v>
          </cell>
          <cell r="E1365">
            <v>18.859514000000001</v>
          </cell>
          <cell r="F1365">
            <v>0.56020408163265301</v>
          </cell>
          <cell r="G1365">
            <v>92.978832999999995</v>
          </cell>
          <cell r="H1365">
            <v>0.16411824668705399</v>
          </cell>
          <cell r="I1365">
            <v>92.886717000000004</v>
          </cell>
          <cell r="J1365">
            <v>0.163098878695208</v>
          </cell>
          <cell r="K1365">
            <v>531.89320599999996</v>
          </cell>
          <cell r="L1365">
            <v>3.5607763023493302</v>
          </cell>
          <cell r="M1365">
            <v>491.86666600000001</v>
          </cell>
          <cell r="N1365">
            <v>3.3973442288048998</v>
          </cell>
          <cell r="O1365">
            <v>1340.587972</v>
          </cell>
          <cell r="P1365">
            <v>0.61514841351074701</v>
          </cell>
          <cell r="Q1365">
            <v>57.792664000000002</v>
          </cell>
          <cell r="R1365">
            <v>0.1525076765609</v>
          </cell>
          <cell r="S1365">
            <v>714.99982799999998</v>
          </cell>
          <cell r="T1365">
            <v>1.9151329243353701</v>
          </cell>
          <cell r="U1365">
            <v>123.219137</v>
          </cell>
          <cell r="V1365">
            <v>0.706543967280163</v>
          </cell>
        </row>
        <row r="1366">
          <cell r="A1366" t="str">
            <v>085801</v>
          </cell>
          <cell r="B1366">
            <v>878.55555500000003</v>
          </cell>
          <cell r="C1366">
            <v>498.85182200000003</v>
          </cell>
          <cell r="D1366">
            <v>2.1968503937007799</v>
          </cell>
          <cell r="E1366">
            <v>237.06870000000001</v>
          </cell>
          <cell r="F1366">
            <v>2.1293588301462298</v>
          </cell>
          <cell r="G1366">
            <v>284.63873100000001</v>
          </cell>
          <cell r="H1366">
            <v>1.4196832579185501</v>
          </cell>
          <cell r="I1366">
            <v>217.29253600000001</v>
          </cell>
          <cell r="J1366">
            <v>1.2194570135746601</v>
          </cell>
          <cell r="K1366">
            <v>52.390652000000003</v>
          </cell>
          <cell r="L1366">
            <v>0.35267349260523301</v>
          </cell>
          <cell r="M1366">
            <v>52.390652000000003</v>
          </cell>
          <cell r="N1366">
            <v>0.35267349260523301</v>
          </cell>
          <cell r="O1366">
            <v>132.081559</v>
          </cell>
          <cell r="P1366">
            <v>2.3661327231121199</v>
          </cell>
          <cell r="Q1366">
            <v>69.785583000000003</v>
          </cell>
          <cell r="R1366">
            <v>2.1910755148741399</v>
          </cell>
          <cell r="S1366">
            <v>761.16407100000004</v>
          </cell>
          <cell r="T1366">
            <v>3.40023068050749</v>
          </cell>
          <cell r="U1366">
            <v>744.52324099999998</v>
          </cell>
          <cell r="V1366">
            <v>3.3898500576701198</v>
          </cell>
        </row>
        <row r="1367">
          <cell r="A1367" t="str">
            <v>085802</v>
          </cell>
          <cell r="B1367">
            <v>696.6</v>
          </cell>
          <cell r="C1367">
            <v>1043.6047100000001</v>
          </cell>
          <cell r="D1367">
            <v>3.4987341772151801</v>
          </cell>
          <cell r="E1367">
            <v>332.947247</v>
          </cell>
          <cell r="F1367">
            <v>2.0582278481012599</v>
          </cell>
          <cell r="G1367">
            <v>511.23738600000001</v>
          </cell>
          <cell r="H1367">
            <v>1.2519280205655501</v>
          </cell>
          <cell r="I1367">
            <v>124.619806</v>
          </cell>
          <cell r="J1367">
            <v>0.62210796915166999</v>
          </cell>
          <cell r="K1367">
            <v>217.42053200000001</v>
          </cell>
          <cell r="L1367">
            <v>0.92654639175257703</v>
          </cell>
          <cell r="M1367">
            <v>108.219931</v>
          </cell>
          <cell r="N1367">
            <v>0.402061855670103</v>
          </cell>
          <cell r="O1367">
            <v>588.54967599999998</v>
          </cell>
          <cell r="P1367">
            <v>3.7878395860284599</v>
          </cell>
          <cell r="Q1367">
            <v>241.44085799999999</v>
          </cell>
          <cell r="R1367">
            <v>3.0840879689521299</v>
          </cell>
          <cell r="S1367">
            <v>933.10127</v>
          </cell>
          <cell r="T1367">
            <v>4.8278580814717396</v>
          </cell>
          <cell r="U1367">
            <v>550.90105100000005</v>
          </cell>
          <cell r="V1367">
            <v>3.7358738501971001</v>
          </cell>
        </row>
        <row r="1368">
          <cell r="A1368" t="str">
            <v>085803</v>
          </cell>
          <cell r="B1368">
            <v>1398.8</v>
          </cell>
          <cell r="C1368">
            <v>544.12579300000004</v>
          </cell>
          <cell r="D1368">
            <v>0.82666666666666599</v>
          </cell>
          <cell r="E1368">
            <v>47.099148</v>
          </cell>
          <cell r="F1368">
            <v>0.324210526315789</v>
          </cell>
          <cell r="G1368">
            <v>352.95695899999998</v>
          </cell>
          <cell r="H1368">
            <v>2.9036144578313201</v>
          </cell>
          <cell r="I1368">
            <v>321.73350699999997</v>
          </cell>
          <cell r="J1368">
            <v>2.8837703756201201</v>
          </cell>
          <cell r="K1368">
            <v>91.800319000000002</v>
          </cell>
          <cell r="L1368">
            <v>1.0534950071326601</v>
          </cell>
          <cell r="M1368">
            <v>88.340678999999994</v>
          </cell>
          <cell r="N1368">
            <v>1.0513552068473599</v>
          </cell>
          <cell r="O1368">
            <v>85.770877999999996</v>
          </cell>
          <cell r="P1368">
            <v>2.3068592057761701</v>
          </cell>
          <cell r="Q1368">
            <v>79.979386000000005</v>
          </cell>
          <cell r="R1368">
            <v>2.2859205776173201</v>
          </cell>
          <cell r="S1368">
            <v>106.54540299999999</v>
          </cell>
          <cell r="T1368">
            <v>1.0948212983223899</v>
          </cell>
          <cell r="U1368">
            <v>89.044711000000007</v>
          </cell>
          <cell r="V1368">
            <v>1.0561633843909499</v>
          </cell>
        </row>
        <row r="1369">
          <cell r="A1369" t="str">
            <v>085901</v>
          </cell>
          <cell r="B1369">
            <v>2261.5555549999999</v>
          </cell>
          <cell r="C1369">
            <v>8.6413379999999993</v>
          </cell>
          <cell r="D1369">
            <v>6.2311178247734099E-2</v>
          </cell>
          <cell r="E1369">
            <v>8.0671909999999993</v>
          </cell>
          <cell r="F1369">
            <v>6.1933534743202401E-2</v>
          </cell>
          <cell r="G1369">
            <v>107.674795</v>
          </cell>
          <cell r="H1369">
            <v>1.8459692898272499</v>
          </cell>
          <cell r="I1369">
            <v>107.674795</v>
          </cell>
          <cell r="J1369">
            <v>1.8459692898272499</v>
          </cell>
          <cell r="K1369">
            <v>336.14481499999999</v>
          </cell>
          <cell r="L1369">
            <v>0.67693789118921499</v>
          </cell>
          <cell r="M1369">
            <v>13.238910000000001</v>
          </cell>
          <cell r="N1369">
            <v>0.10544053923928701</v>
          </cell>
          <cell r="O1369">
            <v>16.935763000000001</v>
          </cell>
          <cell r="P1369">
            <v>7.5581395348837205E-2</v>
          </cell>
          <cell r="Q1369">
            <v>14.728399</v>
          </cell>
          <cell r="R1369">
            <v>6.7344961240310003E-2</v>
          </cell>
          <cell r="S1369">
            <v>250.632892</v>
          </cell>
          <cell r="T1369">
            <v>1.5647911338448399</v>
          </cell>
          <cell r="U1369">
            <v>223.00608099999999</v>
          </cell>
          <cell r="V1369">
            <v>1.5434782608695601</v>
          </cell>
        </row>
        <row r="1370">
          <cell r="A1370" t="str">
            <v>085902</v>
          </cell>
          <cell r="B1370">
            <v>635.57142799999997</v>
          </cell>
          <cell r="C1370">
            <v>14.022252</v>
          </cell>
          <cell r="D1370">
            <v>0.174966352624495</v>
          </cell>
          <cell r="E1370">
            <v>14.022252</v>
          </cell>
          <cell r="F1370">
            <v>0.174966352624495</v>
          </cell>
          <cell r="G1370">
            <v>20.485150999999998</v>
          </cell>
          <cell r="H1370">
            <v>0.160828025477707</v>
          </cell>
          <cell r="I1370">
            <v>20.485150999999998</v>
          </cell>
          <cell r="J1370">
            <v>0.160828025477707</v>
          </cell>
          <cell r="K1370">
            <v>66.774308000000005</v>
          </cell>
          <cell r="L1370">
            <v>0.30203442879499198</v>
          </cell>
          <cell r="M1370">
            <v>29.120448</v>
          </cell>
          <cell r="N1370">
            <v>0.231611893583724</v>
          </cell>
          <cell r="O1370">
            <v>30.244035</v>
          </cell>
          <cell r="P1370">
            <v>0.14052287581699299</v>
          </cell>
          <cell r="Q1370">
            <v>30.244035</v>
          </cell>
          <cell r="R1370">
            <v>0.14052287581699299</v>
          </cell>
          <cell r="S1370">
            <v>373.343209</v>
          </cell>
          <cell r="T1370">
            <v>1.11447811447811</v>
          </cell>
          <cell r="U1370">
            <v>357.54607099999998</v>
          </cell>
          <cell r="V1370">
            <v>1.0909090909090899</v>
          </cell>
        </row>
        <row r="1371">
          <cell r="A1371" t="str">
            <v>085903</v>
          </cell>
          <cell r="B1371">
            <v>602.4</v>
          </cell>
          <cell r="C1371">
            <v>207.765141</v>
          </cell>
          <cell r="D1371">
            <v>0.83053691275167696</v>
          </cell>
          <cell r="E1371">
            <v>207.765141</v>
          </cell>
          <cell r="F1371">
            <v>0.83053691275167696</v>
          </cell>
          <cell r="G1371">
            <v>1.1637299999999999</v>
          </cell>
          <cell r="H1371">
            <v>6.8791946308724802E-2</v>
          </cell>
          <cell r="I1371">
            <v>1.1637299999999999</v>
          </cell>
          <cell r="J1371">
            <v>6.8791946308724802E-2</v>
          </cell>
          <cell r="K1371">
            <v>253.92463499999999</v>
          </cell>
          <cell r="L1371">
            <v>0.83333333333333304</v>
          </cell>
          <cell r="M1371">
            <v>253.92463499999999</v>
          </cell>
          <cell r="N1371">
            <v>0.83333333333333304</v>
          </cell>
          <cell r="O1371">
            <v>13.203536</v>
          </cell>
          <cell r="P1371">
            <v>0.185855263157894</v>
          </cell>
          <cell r="Q1371">
            <v>13.203536</v>
          </cell>
          <cell r="R1371">
            <v>0.185855263157894</v>
          </cell>
          <cell r="S1371">
            <v>361.68314400000003</v>
          </cell>
          <cell r="T1371">
            <v>1.0533980582524201</v>
          </cell>
          <cell r="U1371">
            <v>361.68314400000003</v>
          </cell>
          <cell r="V1371">
            <v>1.0533980582524201</v>
          </cell>
        </row>
        <row r="1372">
          <cell r="A1372" t="str">
            <v>085904</v>
          </cell>
          <cell r="B1372">
            <v>2237</v>
          </cell>
          <cell r="C1372">
            <v>70.204631000000006</v>
          </cell>
          <cell r="D1372">
            <v>0.40901771336553899</v>
          </cell>
          <cell r="E1372">
            <v>63.808231999999997</v>
          </cell>
          <cell r="F1372">
            <v>0.40150295222758903</v>
          </cell>
          <cell r="G1372">
            <v>128.98380599999999</v>
          </cell>
          <cell r="H1372">
            <v>0.49855072463768102</v>
          </cell>
          <cell r="I1372">
            <v>126.24642</v>
          </cell>
          <cell r="J1372">
            <v>0.49358178053830198</v>
          </cell>
          <cell r="K1372">
            <v>191.87375700000001</v>
          </cell>
          <cell r="L1372">
            <v>0.75799086757990797</v>
          </cell>
          <cell r="M1372">
            <v>148.359713</v>
          </cell>
          <cell r="N1372">
            <v>0.61062681610626801</v>
          </cell>
          <cell r="O1372">
            <v>97.281193000000002</v>
          </cell>
          <cell r="P1372">
            <v>1.15499999999999</v>
          </cell>
          <cell r="Q1372">
            <v>95.821505999999999</v>
          </cell>
          <cell r="R1372">
            <v>1.15458333333333</v>
          </cell>
          <cell r="S1372">
            <v>560.758332</v>
          </cell>
          <cell r="T1372">
            <v>1.44756911344137</v>
          </cell>
          <cell r="U1372">
            <v>342.042349</v>
          </cell>
          <cell r="V1372">
            <v>1.3045757864632901</v>
          </cell>
        </row>
        <row r="1373">
          <cell r="A1373" t="str">
            <v>086001</v>
          </cell>
          <cell r="B1373">
            <v>1320.4</v>
          </cell>
          <cell r="C1373">
            <v>6.0074899999999998</v>
          </cell>
          <cell r="D1373">
            <v>3.8483305036785501E-2</v>
          </cell>
          <cell r="E1373">
            <v>5.9596580000000001</v>
          </cell>
          <cell r="F1373">
            <v>3.7917374080362103E-2</v>
          </cell>
          <cell r="G1373">
            <v>39.087716</v>
          </cell>
          <cell r="H1373">
            <v>0.10665068903534999</v>
          </cell>
          <cell r="I1373">
            <v>17.621355999999999</v>
          </cell>
          <cell r="J1373">
            <v>7.5494307968843599E-2</v>
          </cell>
          <cell r="K1373">
            <v>183.015906</v>
          </cell>
          <cell r="L1373">
            <v>0.51206434316353799</v>
          </cell>
          <cell r="M1373">
            <v>182.40509299999999</v>
          </cell>
          <cell r="N1373">
            <v>0.50670241286863205</v>
          </cell>
          <cell r="O1373">
            <v>41.186985</v>
          </cell>
          <cell r="P1373">
            <v>0.70216049382715995</v>
          </cell>
          <cell r="Q1373">
            <v>36.621552999999999</v>
          </cell>
          <cell r="R1373">
            <v>0.69598765432098697</v>
          </cell>
          <cell r="S1373">
            <v>14.377286</v>
          </cell>
          <cell r="T1373">
            <v>0.112224448897795</v>
          </cell>
          <cell r="U1373">
            <v>10.465852999999999</v>
          </cell>
          <cell r="V1373">
            <v>0.10888443553774201</v>
          </cell>
        </row>
        <row r="1374">
          <cell r="A1374" t="str">
            <v>086002</v>
          </cell>
          <cell r="B1374">
            <v>2150.888888</v>
          </cell>
          <cell r="C1374">
            <v>2.048165</v>
          </cell>
          <cell r="D1374">
            <v>1.4996053670086801E-2</v>
          </cell>
          <cell r="E1374">
            <v>2.048165</v>
          </cell>
          <cell r="F1374">
            <v>1.4996053670086801E-2</v>
          </cell>
          <cell r="G1374">
            <v>17.768242999999998</v>
          </cell>
          <cell r="H1374">
            <v>0.156076250992851</v>
          </cell>
          <cell r="I1374">
            <v>1.1392359999999999</v>
          </cell>
          <cell r="J1374">
            <v>7.5456711675933198E-3</v>
          </cell>
          <cell r="K1374">
            <v>83.64452</v>
          </cell>
          <cell r="L1374">
            <v>1.2220309810671199</v>
          </cell>
          <cell r="M1374">
            <v>58.200315000000003</v>
          </cell>
          <cell r="N1374">
            <v>1.2030981067125599</v>
          </cell>
          <cell r="O1374">
            <v>31.561140000000002</v>
          </cell>
          <cell r="P1374">
            <v>0.30453667953667901</v>
          </cell>
          <cell r="Q1374">
            <v>30.159483000000002</v>
          </cell>
          <cell r="R1374">
            <v>0.28281853281853198</v>
          </cell>
          <cell r="S1374">
            <v>890.83835099999999</v>
          </cell>
          <cell r="T1374">
            <v>0.80839247145942605</v>
          </cell>
          <cell r="U1374">
            <v>13.734438000000001</v>
          </cell>
          <cell r="V1374">
            <v>9.7809318111693896E-2</v>
          </cell>
        </row>
        <row r="1375">
          <cell r="A1375" t="str">
            <v>086003</v>
          </cell>
          <cell r="B1375">
            <v>3014.375</v>
          </cell>
          <cell r="C1375">
            <v>58.402785999999999</v>
          </cell>
          <cell r="D1375">
            <v>0.23128834355828201</v>
          </cell>
          <cell r="E1375">
            <v>58.402785999999999</v>
          </cell>
          <cell r="F1375">
            <v>0.23128834355828201</v>
          </cell>
          <cell r="G1375">
            <v>6.7195879999999999</v>
          </cell>
          <cell r="H1375">
            <v>7.8693623639191204E-2</v>
          </cell>
          <cell r="I1375">
            <v>6.7195879999999999</v>
          </cell>
          <cell r="J1375">
            <v>7.8693623639191204E-2</v>
          </cell>
          <cell r="K1375">
            <v>58.517401</v>
          </cell>
          <cell r="L1375">
            <v>0.34566366179670499</v>
          </cell>
          <cell r="M1375">
            <v>57.966473999999998</v>
          </cell>
          <cell r="N1375">
            <v>0.339446689462231</v>
          </cell>
          <cell r="O1375">
            <v>137.031654</v>
          </cell>
          <cell r="P1375">
            <v>1.11287313432835</v>
          </cell>
          <cell r="Q1375">
            <v>136.84409199999999</v>
          </cell>
          <cell r="R1375">
            <v>1.1103855721392999</v>
          </cell>
          <cell r="S1375">
            <v>125.422917</v>
          </cell>
          <cell r="T1375">
            <v>1.21111805121798</v>
          </cell>
          <cell r="U1375">
            <v>122.88147499999999</v>
          </cell>
          <cell r="V1375">
            <v>1.20143660212367</v>
          </cell>
        </row>
        <row r="1376">
          <cell r="A1376" t="str">
            <v>086004</v>
          </cell>
          <cell r="B1376">
            <v>2988</v>
          </cell>
          <cell r="C1376">
            <v>205.31781799999999</v>
          </cell>
          <cell r="D1376">
            <v>1.5887563884156699</v>
          </cell>
          <cell r="E1376">
            <v>205.31781799999999</v>
          </cell>
          <cell r="F1376">
            <v>1.5887563884156699</v>
          </cell>
          <cell r="G1376">
            <v>21.629930999999999</v>
          </cell>
          <cell r="H1376">
            <v>0.222591362126245</v>
          </cell>
          <cell r="I1376">
            <v>21.629930999999999</v>
          </cell>
          <cell r="J1376">
            <v>0.222591362126245</v>
          </cell>
          <cell r="K1376">
            <v>20.018415000000001</v>
          </cell>
          <cell r="L1376">
            <v>0.18825844539193101</v>
          </cell>
          <cell r="M1376">
            <v>20.018415000000001</v>
          </cell>
          <cell r="N1376">
            <v>0.18825844539193101</v>
          </cell>
          <cell r="O1376">
            <v>322.353025</v>
          </cell>
          <cell r="P1376">
            <v>1.7505735824319799</v>
          </cell>
          <cell r="Q1376">
            <v>322.30794200000003</v>
          </cell>
          <cell r="R1376">
            <v>1.75024582104228</v>
          </cell>
          <cell r="S1376">
            <v>229.68523300000001</v>
          </cell>
          <cell r="T1376">
            <v>2.25498281786941</v>
          </cell>
          <cell r="U1376">
            <v>229.523762</v>
          </cell>
          <cell r="V1376">
            <v>2.2546391752577302</v>
          </cell>
        </row>
        <row r="1377">
          <cell r="A1377" t="str">
            <v>086801</v>
          </cell>
          <cell r="B1377">
            <v>1421.8</v>
          </cell>
          <cell r="C1377">
            <v>1328.3961730000001</v>
          </cell>
          <cell r="D1377">
            <v>3.9640883977900501</v>
          </cell>
          <cell r="E1377">
            <v>672.01322800000003</v>
          </cell>
          <cell r="F1377">
            <v>2.7244475138121498</v>
          </cell>
          <cell r="G1377">
            <v>604.80419199999994</v>
          </cell>
          <cell r="H1377">
            <v>2.4129979035639399</v>
          </cell>
          <cell r="I1377">
            <v>165.56639699999999</v>
          </cell>
          <cell r="J1377">
            <v>1.8609364081062101</v>
          </cell>
          <cell r="K1377">
            <v>2171.5414559999999</v>
          </cell>
          <cell r="L1377">
            <v>1.9222689075630199</v>
          </cell>
          <cell r="M1377">
            <v>347.635154</v>
          </cell>
          <cell r="N1377">
            <v>1.10994397759103</v>
          </cell>
          <cell r="O1377">
            <v>2134.829342</v>
          </cell>
          <cell r="P1377">
            <v>4.2214234363766998</v>
          </cell>
          <cell r="Q1377">
            <v>583.42837199999997</v>
          </cell>
          <cell r="R1377">
            <v>3.1035226455787202</v>
          </cell>
          <cell r="S1377">
            <v>857.38407700000005</v>
          </cell>
          <cell r="T1377">
            <v>2.8582565556342998</v>
          </cell>
          <cell r="U1377">
            <v>766.33011999999997</v>
          </cell>
          <cell r="V1377">
            <v>2.5868178596739901</v>
          </cell>
        </row>
        <row r="1378">
          <cell r="A1378" t="str">
            <v>086802</v>
          </cell>
          <cell r="B1378">
            <v>770.2</v>
          </cell>
          <cell r="C1378">
            <v>938.51134400000001</v>
          </cell>
          <cell r="D1378">
            <v>0.76417525773195805</v>
          </cell>
          <cell r="E1378">
            <v>40.737924</v>
          </cell>
          <cell r="F1378">
            <v>0.23711340206185499</v>
          </cell>
          <cell r="G1378">
            <v>531.88310300000001</v>
          </cell>
          <cell r="H1378">
            <v>1.37354085603112</v>
          </cell>
          <cell r="I1378">
            <v>243.179238</v>
          </cell>
          <cell r="J1378">
            <v>1.1387808041504499</v>
          </cell>
          <cell r="K1378">
            <v>3970.8127530000002</v>
          </cell>
          <cell r="L1378">
            <v>3.6640726329442201</v>
          </cell>
          <cell r="M1378">
            <v>701.03212199999996</v>
          </cell>
          <cell r="N1378">
            <v>2.20492866407263</v>
          </cell>
          <cell r="O1378">
            <v>7375.7884309999999</v>
          </cell>
          <cell r="P1378">
            <v>2.5721854304635698</v>
          </cell>
          <cell r="Q1378">
            <v>2147.0722730000002</v>
          </cell>
          <cell r="R1378">
            <v>1.2847682119205199</v>
          </cell>
          <cell r="S1378">
            <v>979.91580899999997</v>
          </cell>
          <cell r="T1378">
            <v>2.0437017994858602</v>
          </cell>
          <cell r="U1378">
            <v>850.08725300000003</v>
          </cell>
          <cell r="V1378">
            <v>1.52956298200514</v>
          </cell>
        </row>
        <row r="1379">
          <cell r="A1379" t="str">
            <v>087201</v>
          </cell>
          <cell r="B1379">
            <v>797</v>
          </cell>
          <cell r="C1379">
            <v>321.877701</v>
          </cell>
          <cell r="D1379">
            <v>2.2930327868852398</v>
          </cell>
          <cell r="E1379">
            <v>311.43470400000001</v>
          </cell>
          <cell r="F1379">
            <v>2.2848360655737698</v>
          </cell>
          <cell r="G1379">
            <v>562.69872599999997</v>
          </cell>
          <cell r="H1379">
            <v>1.5152173913043401</v>
          </cell>
          <cell r="I1379">
            <v>124.24572499999999</v>
          </cell>
          <cell r="J1379">
            <v>0.4</v>
          </cell>
          <cell r="K1379">
            <v>196.272492</v>
          </cell>
          <cell r="L1379">
            <v>0.41509433962264097</v>
          </cell>
          <cell r="M1379">
            <v>31.297502000000001</v>
          </cell>
          <cell r="N1379">
            <v>0.23973362930077599</v>
          </cell>
          <cell r="O1379">
            <v>119.47398</v>
          </cell>
          <cell r="P1379">
            <v>1.1725714285714199</v>
          </cell>
          <cell r="Q1379">
            <v>119.47398</v>
          </cell>
          <cell r="R1379">
            <v>1.1725714285714199</v>
          </cell>
          <cell r="S1379">
            <v>354.34275700000001</v>
          </cell>
          <cell r="T1379">
            <v>0.92499999999999905</v>
          </cell>
          <cell r="U1379">
            <v>133.82071400000001</v>
          </cell>
          <cell r="V1379">
            <v>0.64404761904761898</v>
          </cell>
        </row>
        <row r="1380">
          <cell r="A1380" t="str">
            <v>087202</v>
          </cell>
          <cell r="B1380">
            <v>1351.888888</v>
          </cell>
          <cell r="C1380">
            <v>49.823269000000003</v>
          </cell>
          <cell r="D1380">
            <v>0.351288056206088</v>
          </cell>
          <cell r="E1380">
            <v>49.823269000000003</v>
          </cell>
          <cell r="F1380">
            <v>0.351288056206088</v>
          </cell>
          <cell r="G1380">
            <v>208.94487899999999</v>
          </cell>
          <cell r="H1380">
            <v>0.34661076170510102</v>
          </cell>
          <cell r="I1380">
            <v>22.577636999999999</v>
          </cell>
          <cell r="J1380">
            <v>0.220824598183088</v>
          </cell>
          <cell r="K1380">
            <v>256.647582</v>
          </cell>
          <cell r="L1380">
            <v>0.60606060606060597</v>
          </cell>
          <cell r="M1380">
            <v>108.74106500000001</v>
          </cell>
          <cell r="N1380">
            <v>0.432178932178932</v>
          </cell>
          <cell r="O1380">
            <v>70.838813999999999</v>
          </cell>
          <cell r="P1380">
            <v>0.27740986019131703</v>
          </cell>
          <cell r="Q1380">
            <v>22.471633000000001</v>
          </cell>
          <cell r="R1380">
            <v>0.162619573215599</v>
          </cell>
          <cell r="S1380">
            <v>378.871849</v>
          </cell>
          <cell r="T1380">
            <v>1.1736385161799501</v>
          </cell>
          <cell r="U1380">
            <v>165.223546</v>
          </cell>
          <cell r="V1380">
            <v>0.86503551696921799</v>
          </cell>
        </row>
        <row r="1381">
          <cell r="A1381" t="str">
            <v>087701</v>
          </cell>
          <cell r="B1381">
            <v>1085.6666660000001</v>
          </cell>
          <cell r="C1381">
            <v>46.186839999999997</v>
          </cell>
          <cell r="D1381">
            <v>0.38028169014084501</v>
          </cell>
          <cell r="E1381">
            <v>46.186839999999997</v>
          </cell>
          <cell r="F1381">
            <v>0.38028169014084501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  <cell r="Q1381">
            <v>0</v>
          </cell>
          <cell r="R1381">
            <v>0</v>
          </cell>
          <cell r="S1381">
            <v>197.49661900000001</v>
          </cell>
          <cell r="T1381">
            <v>1.23791588198367</v>
          </cell>
          <cell r="U1381">
            <v>197.04642100000001</v>
          </cell>
          <cell r="V1381">
            <v>1.2297551789077199</v>
          </cell>
        </row>
        <row r="1382">
          <cell r="A1382" t="str">
            <v>087702</v>
          </cell>
          <cell r="B1382">
            <v>1924</v>
          </cell>
          <cell r="C1382">
            <v>183.29697999999999</v>
          </cell>
          <cell r="D1382">
            <v>1.88928754484879</v>
          </cell>
          <cell r="E1382">
            <v>183.05001100000001</v>
          </cell>
          <cell r="F1382">
            <v>1.88723731419784</v>
          </cell>
          <cell r="G1382">
            <v>974.85157800000002</v>
          </cell>
          <cell r="H1382">
            <v>1.6639004149377501</v>
          </cell>
          <cell r="I1382">
            <v>375.746351</v>
          </cell>
          <cell r="J1382">
            <v>1.1950207468879599</v>
          </cell>
          <cell r="K1382">
            <v>2064.0181579999999</v>
          </cell>
          <cell r="L1382">
            <v>4.1453124999999904</v>
          </cell>
          <cell r="M1382">
            <v>254.91016400000001</v>
          </cell>
          <cell r="N1382">
            <v>1.8177083333333299</v>
          </cell>
          <cell r="O1382">
            <v>233.65338499999999</v>
          </cell>
          <cell r="P1382">
            <v>1.0675392670157</v>
          </cell>
          <cell r="Q1382">
            <v>181.78778299999999</v>
          </cell>
          <cell r="R1382">
            <v>1.0162303664921399</v>
          </cell>
          <cell r="S1382">
            <v>942.71268899999995</v>
          </cell>
          <cell r="T1382">
            <v>2.574568288854</v>
          </cell>
          <cell r="U1382">
            <v>262.90083700000002</v>
          </cell>
          <cell r="V1382">
            <v>1.30141287284144</v>
          </cell>
        </row>
        <row r="1383">
          <cell r="A1383" t="str">
            <v>087703</v>
          </cell>
          <cell r="B1383">
            <v>350.8</v>
          </cell>
          <cell r="C1383">
            <v>98.809451999999993</v>
          </cell>
          <cell r="D1383">
            <v>0.69444444444444398</v>
          </cell>
          <cell r="E1383">
            <v>98.809451999999993</v>
          </cell>
          <cell r="F1383">
            <v>0.69444444444444398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164.71082200000001</v>
          </cell>
          <cell r="L1383">
            <v>1.07569721115537</v>
          </cell>
          <cell r="M1383">
            <v>162.43207100000001</v>
          </cell>
          <cell r="N1383">
            <v>1.0717131474103501</v>
          </cell>
          <cell r="O1383">
            <v>288.44312500000001</v>
          </cell>
          <cell r="P1383">
            <v>1.24513618677042</v>
          </cell>
          <cell r="Q1383">
            <v>288.44312500000001</v>
          </cell>
          <cell r="R1383">
            <v>1.24513618677042</v>
          </cell>
          <cell r="S1383">
            <v>528.92012099999999</v>
          </cell>
          <cell r="T1383">
            <v>4.2678331090174897</v>
          </cell>
          <cell r="U1383">
            <v>528.92012099999999</v>
          </cell>
          <cell r="V1383">
            <v>4.2678331090174897</v>
          </cell>
        </row>
        <row r="1384">
          <cell r="A1384" t="str">
            <v>087704</v>
          </cell>
          <cell r="B1384">
            <v>1685.888888</v>
          </cell>
          <cell r="C1384">
            <v>772.94001900000001</v>
          </cell>
          <cell r="D1384">
            <v>3.4921190893169798</v>
          </cell>
          <cell r="E1384">
            <v>772.94001900000001</v>
          </cell>
          <cell r="F1384">
            <v>3.4921190893169798</v>
          </cell>
          <cell r="G1384">
            <v>146.454937</v>
          </cell>
          <cell r="H1384">
            <v>0.91955372871403396</v>
          </cell>
          <cell r="I1384">
            <v>127.26539200000001</v>
          </cell>
          <cell r="J1384">
            <v>0.90839694656488501</v>
          </cell>
          <cell r="K1384">
            <v>397.03283900000002</v>
          </cell>
          <cell r="L1384">
            <v>2.2359550561797699</v>
          </cell>
          <cell r="M1384">
            <v>275.21563099999997</v>
          </cell>
          <cell r="N1384">
            <v>2.11945594322885</v>
          </cell>
          <cell r="O1384">
            <v>189.83105699999999</v>
          </cell>
          <cell r="P1384">
            <v>0.66467065868263397</v>
          </cell>
          <cell r="Q1384">
            <v>136.293702</v>
          </cell>
          <cell r="R1384">
            <v>0.55449101796407096</v>
          </cell>
          <cell r="S1384">
            <v>622.84741799999995</v>
          </cell>
          <cell r="T1384">
            <v>4.3493397358943504</v>
          </cell>
          <cell r="U1384">
            <v>607.27877100000001</v>
          </cell>
          <cell r="V1384">
            <v>4.28391356542617</v>
          </cell>
        </row>
        <row r="1385">
          <cell r="A1385" t="str">
            <v>088201</v>
          </cell>
          <cell r="B1385">
            <v>684.44444399999998</v>
          </cell>
          <cell r="C1385">
            <v>7297.7520590000004</v>
          </cell>
          <cell r="D1385">
            <v>3.4859259259259199</v>
          </cell>
          <cell r="E1385">
            <v>50.056769000000003</v>
          </cell>
          <cell r="F1385">
            <v>0.63703703703703696</v>
          </cell>
          <cell r="G1385">
            <v>396.050837</v>
          </cell>
          <cell r="H1385">
            <v>1.93237410071942</v>
          </cell>
          <cell r="I1385">
            <v>347.46403500000002</v>
          </cell>
          <cell r="J1385">
            <v>1.90071942446043</v>
          </cell>
          <cell r="K1385">
            <v>2485.7177750000001</v>
          </cell>
          <cell r="L1385">
            <v>2.0723589001447098</v>
          </cell>
          <cell r="M1385">
            <v>452.59428300000002</v>
          </cell>
          <cell r="N1385">
            <v>1.6324167872648301</v>
          </cell>
          <cell r="O1385">
            <v>167.89801900000001</v>
          </cell>
          <cell r="P1385">
            <v>0.70087976539589403</v>
          </cell>
          <cell r="Q1385">
            <v>103.57392400000001</v>
          </cell>
          <cell r="R1385">
            <v>0.67448680351906098</v>
          </cell>
          <cell r="S1385">
            <v>107.263105</v>
          </cell>
          <cell r="T1385">
            <v>1.1973293768545901</v>
          </cell>
          <cell r="U1385">
            <v>107.263105</v>
          </cell>
          <cell r="V1385">
            <v>1.1973293768545901</v>
          </cell>
        </row>
        <row r="1386">
          <cell r="A1386" t="str">
            <v>088202</v>
          </cell>
          <cell r="B1386">
            <v>1662.8</v>
          </cell>
          <cell r="C1386">
            <v>5958.0795340000004</v>
          </cell>
          <cell r="D1386">
            <v>3.9500301023479798</v>
          </cell>
          <cell r="E1386">
            <v>52.852972000000001</v>
          </cell>
          <cell r="F1386">
            <v>0.31065623118603197</v>
          </cell>
          <cell r="G1386">
            <v>375.79659099999998</v>
          </cell>
          <cell r="H1386">
            <v>1.02471368294153</v>
          </cell>
          <cell r="I1386">
            <v>145.21229600000001</v>
          </cell>
          <cell r="J1386">
            <v>0.89210367691380299</v>
          </cell>
          <cell r="K1386">
            <v>1799.9289229999999</v>
          </cell>
          <cell r="L1386">
            <v>1.2184466019417399</v>
          </cell>
          <cell r="M1386">
            <v>58.821955000000003</v>
          </cell>
          <cell r="N1386">
            <v>0.37135922330096999</v>
          </cell>
          <cell r="O1386">
            <v>474.01925599999998</v>
          </cell>
          <cell r="P1386">
            <v>0.74476987447698695</v>
          </cell>
          <cell r="Q1386">
            <v>56.914903000000002</v>
          </cell>
          <cell r="R1386">
            <v>0.45786013150029797</v>
          </cell>
          <cell r="S1386">
            <v>152.309383</v>
          </cell>
          <cell r="T1386">
            <v>0.69336521219366398</v>
          </cell>
          <cell r="U1386">
            <v>120.701374</v>
          </cell>
          <cell r="V1386">
            <v>0.670053795576808</v>
          </cell>
        </row>
        <row r="1387">
          <cell r="A1387" t="str">
            <v>088203</v>
          </cell>
          <cell r="B1387">
            <v>1074</v>
          </cell>
          <cell r="C1387">
            <v>5644.7344819999998</v>
          </cell>
          <cell r="D1387">
            <v>3.8645161290322498</v>
          </cell>
          <cell r="E1387">
            <v>244.687613</v>
          </cell>
          <cell r="F1387">
            <v>1.8783410138248799</v>
          </cell>
          <cell r="G1387">
            <v>1164.9789000000001</v>
          </cell>
          <cell r="H1387">
            <v>2.4231481481481398</v>
          </cell>
          <cell r="I1387">
            <v>331.10758600000003</v>
          </cell>
          <cell r="J1387">
            <v>1.8527777777777701</v>
          </cell>
          <cell r="K1387">
            <v>5067.2620299999999</v>
          </cell>
          <cell r="L1387">
            <v>5.4781395348837201</v>
          </cell>
          <cell r="M1387">
            <v>1430.8017669999999</v>
          </cell>
          <cell r="N1387">
            <v>3.72465116279069</v>
          </cell>
          <cell r="O1387">
            <v>416.38164799999998</v>
          </cell>
          <cell r="P1387">
            <v>1.8082319925163699</v>
          </cell>
          <cell r="Q1387">
            <v>323.29967199999999</v>
          </cell>
          <cell r="R1387">
            <v>1.7530402245088801</v>
          </cell>
          <cell r="S1387">
            <v>120.120639</v>
          </cell>
          <cell r="T1387">
            <v>0.49104618284637103</v>
          </cell>
          <cell r="U1387">
            <v>47.954633000000001</v>
          </cell>
          <cell r="V1387">
            <v>0.37794533459000901</v>
          </cell>
        </row>
        <row r="1388">
          <cell r="A1388" t="str">
            <v>088204</v>
          </cell>
          <cell r="B1388">
            <v>309.60000000000002</v>
          </cell>
          <cell r="C1388">
            <v>6962.1121460000004</v>
          </cell>
          <cell r="D1388">
            <v>2.3999999999999901</v>
          </cell>
          <cell r="E1388">
            <v>211.19664700000001</v>
          </cell>
          <cell r="F1388">
            <v>1.1269841269841201</v>
          </cell>
          <cell r="G1388">
            <v>256.916765</v>
          </cell>
          <cell r="H1388">
            <v>0.95527156549520698</v>
          </cell>
          <cell r="I1388">
            <v>253.83313000000001</v>
          </cell>
          <cell r="J1388">
            <v>0.95207667731629297</v>
          </cell>
          <cell r="K1388">
            <v>2409.0271349999998</v>
          </cell>
          <cell r="L1388">
            <v>3.6410256410256401</v>
          </cell>
          <cell r="M1388">
            <v>639.33696499999996</v>
          </cell>
          <cell r="N1388">
            <v>3.09935897435897</v>
          </cell>
          <cell r="O1388">
            <v>89.262338</v>
          </cell>
          <cell r="P1388">
            <v>0.63141025641025605</v>
          </cell>
          <cell r="Q1388">
            <v>85.032370999999998</v>
          </cell>
          <cell r="R1388">
            <v>0.62820512820512797</v>
          </cell>
          <cell r="S1388">
            <v>113.37246500000001</v>
          </cell>
          <cell r="T1388">
            <v>0.70608108108108103</v>
          </cell>
          <cell r="U1388">
            <v>85.924886999999998</v>
          </cell>
          <cell r="V1388">
            <v>0.60135135135135098</v>
          </cell>
        </row>
        <row r="1389">
          <cell r="A1389" t="str">
            <v>088501</v>
          </cell>
          <cell r="B1389">
            <v>1446.2</v>
          </cell>
          <cell r="C1389">
            <v>8231.3901110000006</v>
          </cell>
          <cell r="D1389">
            <v>3.0341763499658199</v>
          </cell>
          <cell r="E1389">
            <v>512.30777699999999</v>
          </cell>
          <cell r="F1389">
            <v>1.03280929596719</v>
          </cell>
          <cell r="G1389">
            <v>1778.071138</v>
          </cell>
          <cell r="H1389">
            <v>2.7808407994486499</v>
          </cell>
          <cell r="I1389">
            <v>679.24957900000004</v>
          </cell>
          <cell r="J1389">
            <v>2.2205375603032298</v>
          </cell>
          <cell r="K1389">
            <v>590.15461100000005</v>
          </cell>
          <cell r="L1389">
            <v>1.4506556245686599</v>
          </cell>
          <cell r="M1389">
            <v>235.06158199999999</v>
          </cell>
          <cell r="N1389">
            <v>1.2732919254658299</v>
          </cell>
          <cell r="O1389">
            <v>225.91397900000001</v>
          </cell>
          <cell r="P1389">
            <v>1.0118137595552401</v>
          </cell>
          <cell r="Q1389">
            <v>159.26102599999999</v>
          </cell>
          <cell r="R1389">
            <v>0.93398193189714995</v>
          </cell>
          <cell r="S1389">
            <v>266.18448699999999</v>
          </cell>
          <cell r="T1389">
            <v>0.76836948915325398</v>
          </cell>
          <cell r="U1389">
            <v>99.683986000000004</v>
          </cell>
          <cell r="V1389">
            <v>0.468159552134359</v>
          </cell>
        </row>
        <row r="1390">
          <cell r="A1390" t="str">
            <v>088502</v>
          </cell>
          <cell r="B1390">
            <v>686.8</v>
          </cell>
          <cell r="C1390">
            <v>8858.7811970000002</v>
          </cell>
          <cell r="D1390">
            <v>4.2958152958152898</v>
          </cell>
          <cell r="E1390">
            <v>427.99801300000001</v>
          </cell>
          <cell r="F1390">
            <v>1.7936507936507899</v>
          </cell>
          <cell r="G1390">
            <v>2323.5175549999999</v>
          </cell>
          <cell r="H1390">
            <v>2.0418470418470398</v>
          </cell>
          <cell r="I1390">
            <v>151.04957899999999</v>
          </cell>
          <cell r="J1390">
            <v>1.24098124098124</v>
          </cell>
          <cell r="K1390">
            <v>1634.2861949999999</v>
          </cell>
          <cell r="L1390">
            <v>1.4905385735079999</v>
          </cell>
          <cell r="M1390">
            <v>167.228093</v>
          </cell>
          <cell r="N1390">
            <v>0.77001455604075597</v>
          </cell>
          <cell r="O1390">
            <v>386.91982300000001</v>
          </cell>
          <cell r="P1390">
            <v>1.79588839941262</v>
          </cell>
          <cell r="Q1390">
            <v>45.434947999999999</v>
          </cell>
          <cell r="R1390">
            <v>0.75917767988252505</v>
          </cell>
          <cell r="S1390">
            <v>395.24588199999999</v>
          </cell>
          <cell r="T1390">
            <v>0.94999999999999896</v>
          </cell>
          <cell r="U1390">
            <v>166.75688700000001</v>
          </cell>
          <cell r="V1390">
            <v>0.76029411764705801</v>
          </cell>
        </row>
        <row r="1391">
          <cell r="A1391" t="str">
            <v>090003</v>
          </cell>
          <cell r="B1391">
            <v>368.8</v>
          </cell>
          <cell r="C1391">
            <v>2915.0815379999999</v>
          </cell>
          <cell r="D1391">
            <v>3.15441176470588</v>
          </cell>
          <cell r="E1391">
            <v>246.103059</v>
          </cell>
          <cell r="F1391">
            <v>2.2009803921568598</v>
          </cell>
          <cell r="G1391">
            <v>734.45811500000002</v>
          </cell>
          <cell r="H1391">
            <v>1.3529411764705801</v>
          </cell>
          <cell r="I1391">
            <v>732.52112999999997</v>
          </cell>
          <cell r="J1391">
            <v>1.3382352941176401</v>
          </cell>
          <cell r="K1391">
            <v>144.64631299999999</v>
          </cell>
          <cell r="L1391">
            <v>0.50859950859950798</v>
          </cell>
          <cell r="M1391">
            <v>66.966460999999995</v>
          </cell>
          <cell r="N1391">
            <v>0.41277641277641203</v>
          </cell>
          <cell r="O1391">
            <v>542.81202199999996</v>
          </cell>
          <cell r="P1391">
            <v>1.95771144278606</v>
          </cell>
          <cell r="Q1391">
            <v>492.39950199999998</v>
          </cell>
          <cell r="R1391">
            <v>1.7512437810945201</v>
          </cell>
          <cell r="S1391">
            <v>5197.3258740000001</v>
          </cell>
          <cell r="T1391">
            <v>12.3470319634703</v>
          </cell>
          <cell r="U1391">
            <v>4717.799771</v>
          </cell>
          <cell r="V1391">
            <v>12.0958904109589</v>
          </cell>
        </row>
        <row r="1392">
          <cell r="A1392" t="str">
            <v>090101</v>
          </cell>
          <cell r="B1392">
            <v>1018.142857</v>
          </cell>
          <cell r="C1392">
            <v>0</v>
          </cell>
          <cell r="D1392">
            <v>0</v>
          </cell>
          <cell r="E1392">
            <v>0</v>
          </cell>
          <cell r="F1392">
            <v>0</v>
          </cell>
          <cell r="G1392">
            <v>12.553623</v>
          </cell>
          <cell r="H1392">
            <v>9.6933728981206696E-2</v>
          </cell>
          <cell r="I1392">
            <v>12.553623</v>
          </cell>
          <cell r="J1392">
            <v>9.6933728981206696E-2</v>
          </cell>
          <cell r="K1392">
            <v>841.91646800000001</v>
          </cell>
          <cell r="L1392">
            <v>1.3498023715415</v>
          </cell>
          <cell r="M1392">
            <v>336.91172499999999</v>
          </cell>
          <cell r="N1392">
            <v>0.66501976284584896</v>
          </cell>
          <cell r="O1392">
            <v>467.42169899999999</v>
          </cell>
          <cell r="P1392">
            <v>1.67745098039215</v>
          </cell>
          <cell r="Q1392">
            <v>166.819052</v>
          </cell>
          <cell r="R1392">
            <v>1.35196078431372</v>
          </cell>
          <cell r="S1392">
            <v>612.37649299999998</v>
          </cell>
          <cell r="T1392">
            <v>1.4746588693957099</v>
          </cell>
          <cell r="U1392">
            <v>425.77909299999999</v>
          </cell>
          <cell r="V1392">
            <v>1.39766081871345</v>
          </cell>
        </row>
        <row r="1393">
          <cell r="A1393" t="str">
            <v>090102</v>
          </cell>
          <cell r="B1393">
            <v>938.5</v>
          </cell>
          <cell r="C1393">
            <v>36.783123000000003</v>
          </cell>
          <cell r="D1393">
            <v>0.187113857016769</v>
          </cell>
          <cell r="E1393">
            <v>36.783123000000003</v>
          </cell>
          <cell r="F1393">
            <v>0.187113857016769</v>
          </cell>
          <cell r="G1393">
            <v>355.562141</v>
          </cell>
          <cell r="H1393">
            <v>1.1356957649092401</v>
          </cell>
          <cell r="I1393">
            <v>338.43867</v>
          </cell>
          <cell r="J1393">
            <v>1.12791702679343</v>
          </cell>
          <cell r="K1393">
            <v>283.72983900000003</v>
          </cell>
          <cell r="L1393">
            <v>0.18836565096952901</v>
          </cell>
          <cell r="M1393">
            <v>34.433995000000003</v>
          </cell>
          <cell r="N1393">
            <v>9.3259464450600099E-2</v>
          </cell>
          <cell r="O1393">
            <v>88.714450999999997</v>
          </cell>
          <cell r="P1393">
            <v>0.21058558558558499</v>
          </cell>
          <cell r="Q1393">
            <v>70.178622000000004</v>
          </cell>
          <cell r="R1393">
            <v>0.20270270270270199</v>
          </cell>
          <cell r="S1393">
            <v>2912.5</v>
          </cell>
          <cell r="T1393">
            <v>10</v>
          </cell>
          <cell r="U1393">
            <v>2912.5</v>
          </cell>
          <cell r="V1393">
            <v>10</v>
          </cell>
        </row>
        <row r="1394">
          <cell r="A1394" t="str">
            <v>090103</v>
          </cell>
          <cell r="B1394">
            <v>189.11111099999999</v>
          </cell>
          <cell r="C1394">
            <v>4.9247180000000004</v>
          </cell>
          <cell r="D1394">
            <v>4.3010752688171998E-2</v>
          </cell>
          <cell r="E1394">
            <v>4.9247180000000004</v>
          </cell>
          <cell r="F1394">
            <v>4.3010752688171998E-2</v>
          </cell>
          <cell r="G1394">
            <v>804.01910899999996</v>
          </cell>
          <cell r="H1394">
            <v>2.8947368421052602</v>
          </cell>
          <cell r="I1394">
            <v>494.934912</v>
          </cell>
          <cell r="J1394">
            <v>1.03157894736842</v>
          </cell>
          <cell r="K1394">
            <v>3065.1187490000002</v>
          </cell>
          <cell r="L1394">
            <v>2.078125</v>
          </cell>
          <cell r="M1394">
            <v>304.7921</v>
          </cell>
          <cell r="N1394">
            <v>1.0625</v>
          </cell>
          <cell r="O1394">
            <v>862.62482199999999</v>
          </cell>
          <cell r="P1394">
            <v>2.6861702127659499</v>
          </cell>
          <cell r="Q1394">
            <v>814.02588600000001</v>
          </cell>
          <cell r="R1394">
            <v>2.6702127659574399</v>
          </cell>
          <cell r="S1394">
            <v>398.09609799999998</v>
          </cell>
          <cell r="T1394">
            <v>1.2978723404255299</v>
          </cell>
          <cell r="U1394">
            <v>223.07056700000001</v>
          </cell>
          <cell r="V1394">
            <v>1.2553191489361699</v>
          </cell>
        </row>
        <row r="1395">
          <cell r="A1395" t="str">
            <v>090301</v>
          </cell>
          <cell r="B1395">
            <v>70</v>
          </cell>
          <cell r="C1395">
            <v>248.72991099999999</v>
          </cell>
          <cell r="D1395">
            <v>1.6716417910447701</v>
          </cell>
          <cell r="E1395">
            <v>248.72991099999999</v>
          </cell>
          <cell r="F1395">
            <v>1.6716417910447701</v>
          </cell>
          <cell r="G1395">
            <v>749.26772800000003</v>
          </cell>
          <cell r="H1395">
            <v>1.05633802816901</v>
          </cell>
          <cell r="I1395">
            <v>749.26772800000003</v>
          </cell>
          <cell r="J1395">
            <v>1.05633802816901</v>
          </cell>
          <cell r="K1395">
            <v>9.7314539999999994</v>
          </cell>
          <cell r="L1395">
            <v>5.6338028169014003E-2</v>
          </cell>
          <cell r="M1395">
            <v>8.884976</v>
          </cell>
          <cell r="N1395">
            <v>4.22535211267605E-2</v>
          </cell>
          <cell r="O1395">
            <v>1.8807510000000001</v>
          </cell>
          <cell r="P1395">
            <v>2.8169014084507001E-2</v>
          </cell>
          <cell r="Q1395">
            <v>1.8807510000000001</v>
          </cell>
          <cell r="R1395">
            <v>2.8169014084507001E-2</v>
          </cell>
          <cell r="S1395">
            <v>8.3200479999999999</v>
          </cell>
          <cell r="T1395">
            <v>4.3478260869565202E-2</v>
          </cell>
          <cell r="U1395">
            <v>8.3200479999999999</v>
          </cell>
          <cell r="V1395">
            <v>4.3478260869565202E-2</v>
          </cell>
        </row>
        <row r="1396">
          <cell r="A1396" t="str">
            <v>090302</v>
          </cell>
          <cell r="B1396">
            <v>655.77777700000001</v>
          </cell>
          <cell r="C1396">
            <v>335.08841000000001</v>
          </cell>
          <cell r="D1396">
            <v>2.6176024279210899</v>
          </cell>
          <cell r="E1396">
            <v>159.64380499999999</v>
          </cell>
          <cell r="F1396">
            <v>1.80121396054628</v>
          </cell>
          <cell r="G1396">
            <v>306.28588500000001</v>
          </cell>
          <cell r="H1396">
            <v>1.9802431610942199</v>
          </cell>
          <cell r="I1396">
            <v>306.28588500000001</v>
          </cell>
          <cell r="J1396">
            <v>1.9802431610942199</v>
          </cell>
          <cell r="K1396">
            <v>124.184044</v>
          </cell>
          <cell r="L1396">
            <v>1.1280487804878001</v>
          </cell>
          <cell r="M1396">
            <v>118.248577</v>
          </cell>
          <cell r="N1396">
            <v>1.1265243902438999</v>
          </cell>
          <cell r="O1396">
            <v>429.05482599999999</v>
          </cell>
          <cell r="P1396">
            <v>0.34603658536585302</v>
          </cell>
          <cell r="Q1396">
            <v>23.788084000000001</v>
          </cell>
          <cell r="R1396">
            <v>0.20274390243902399</v>
          </cell>
          <cell r="S1396">
            <v>212.758038</v>
          </cell>
          <cell r="T1396">
            <v>2.1858678955453099</v>
          </cell>
          <cell r="U1396">
            <v>114.323476</v>
          </cell>
          <cell r="V1396">
            <v>2.0906298003072101</v>
          </cell>
        </row>
        <row r="1397">
          <cell r="A1397" t="str">
            <v>090303</v>
          </cell>
          <cell r="B1397">
            <v>1140.2</v>
          </cell>
          <cell r="C1397">
            <v>231.40356800000001</v>
          </cell>
          <cell r="D1397">
            <v>0.98612315698178599</v>
          </cell>
          <cell r="E1397">
            <v>230.53042400000001</v>
          </cell>
          <cell r="F1397">
            <v>0.98178664353859402</v>
          </cell>
          <cell r="G1397">
            <v>321.243154</v>
          </cell>
          <cell r="H1397">
            <v>0.85664639443961699</v>
          </cell>
          <cell r="I1397">
            <v>50.377797000000001</v>
          </cell>
          <cell r="J1397">
            <v>0.71416159860990402</v>
          </cell>
          <cell r="K1397">
            <v>201.993709</v>
          </cell>
          <cell r="L1397">
            <v>2.46608695652173</v>
          </cell>
          <cell r="M1397">
            <v>67.182072000000005</v>
          </cell>
          <cell r="N1397">
            <v>1.12521739130434</v>
          </cell>
          <cell r="O1397">
            <v>134.79012499999999</v>
          </cell>
          <cell r="P1397">
            <v>1.6047535211267601</v>
          </cell>
          <cell r="Q1397">
            <v>134.28215900000001</v>
          </cell>
          <cell r="R1397">
            <v>1.5950704225352099</v>
          </cell>
          <cell r="S1397">
            <v>323.43570299999999</v>
          </cell>
          <cell r="T1397">
            <v>0.39423942394239397</v>
          </cell>
          <cell r="U1397">
            <v>36.521901999999997</v>
          </cell>
          <cell r="V1397">
            <v>0.15751575157515699</v>
          </cell>
        </row>
        <row r="1398">
          <cell r="A1398" t="str">
            <v>090304</v>
          </cell>
          <cell r="B1398">
            <v>2729.8</v>
          </cell>
          <cell r="C1398">
            <v>25.365469000000001</v>
          </cell>
          <cell r="D1398">
            <v>0.18621700879765299</v>
          </cell>
          <cell r="E1398">
            <v>24.187404999999998</v>
          </cell>
          <cell r="F1398">
            <v>0.174120234604105</v>
          </cell>
          <cell r="G1398">
            <v>138.79827700000001</v>
          </cell>
          <cell r="H1398">
            <v>0.70413767850604103</v>
          </cell>
          <cell r="I1398">
            <v>50.64743</v>
          </cell>
          <cell r="J1398">
            <v>0.53423654339069904</v>
          </cell>
          <cell r="K1398">
            <v>147.78222299999999</v>
          </cell>
          <cell r="L1398">
            <v>0.98024149286498297</v>
          </cell>
          <cell r="M1398">
            <v>34.509129000000001</v>
          </cell>
          <cell r="N1398">
            <v>0.28027808269301102</v>
          </cell>
          <cell r="O1398">
            <v>56.527299999999997</v>
          </cell>
          <cell r="P1398">
            <v>0.37586837294332698</v>
          </cell>
          <cell r="Q1398">
            <v>54.858378999999999</v>
          </cell>
          <cell r="R1398">
            <v>0.36416819012797003</v>
          </cell>
          <cell r="S1398">
            <v>895.26131999999996</v>
          </cell>
          <cell r="T1398">
            <v>0.853049228508449</v>
          </cell>
          <cell r="U1398">
            <v>48.578831999999998</v>
          </cell>
          <cell r="V1398">
            <v>0.16605437178545099</v>
          </cell>
        </row>
        <row r="1399">
          <cell r="A1399" t="str">
            <v>090401</v>
          </cell>
          <cell r="B1399">
            <v>455.14285699999999</v>
          </cell>
          <cell r="C1399">
            <v>0</v>
          </cell>
          <cell r="D1399">
            <v>0</v>
          </cell>
          <cell r="E1399">
            <v>0</v>
          </cell>
          <cell r="F1399">
            <v>0</v>
          </cell>
          <cell r="G1399">
            <v>34.391739999999999</v>
          </cell>
          <cell r="H1399">
            <v>0.124454148471615</v>
          </cell>
          <cell r="I1399">
            <v>7.5988069999999999</v>
          </cell>
          <cell r="J1399">
            <v>4.5851528384279402E-2</v>
          </cell>
          <cell r="K1399">
            <v>630.26786400000003</v>
          </cell>
          <cell r="L1399">
            <v>1.23529411764705</v>
          </cell>
          <cell r="M1399">
            <v>18.437545</v>
          </cell>
          <cell r="N1399">
            <v>0.22440087145969401</v>
          </cell>
          <cell r="O1399">
            <v>16.490777000000001</v>
          </cell>
          <cell r="P1399">
            <v>0.16888888888888801</v>
          </cell>
          <cell r="Q1399">
            <v>16.490777000000001</v>
          </cell>
          <cell r="R1399">
            <v>0.16888888888888801</v>
          </cell>
          <cell r="S1399">
            <v>22.57705</v>
          </cell>
          <cell r="T1399">
            <v>0.124168514412416</v>
          </cell>
          <cell r="U1399">
            <v>8.0911299999999997</v>
          </cell>
          <cell r="V1399">
            <v>9.5343680709534306E-2</v>
          </cell>
        </row>
        <row r="1400">
          <cell r="A1400" t="str">
            <v>090402</v>
          </cell>
          <cell r="B1400">
            <v>1194.777777</v>
          </cell>
          <cell r="C1400">
            <v>28.457028999999999</v>
          </cell>
          <cell r="D1400">
            <v>0.11301636788776299</v>
          </cell>
          <cell r="E1400">
            <v>28.457028999999999</v>
          </cell>
          <cell r="F1400">
            <v>0.11301636788776299</v>
          </cell>
          <cell r="G1400">
            <v>13.905733</v>
          </cell>
          <cell r="H1400">
            <v>0.165506573859242</v>
          </cell>
          <cell r="I1400">
            <v>12.699935999999999</v>
          </cell>
          <cell r="J1400">
            <v>0.157772621809744</v>
          </cell>
          <cell r="K1400">
            <v>64.718196000000006</v>
          </cell>
          <cell r="L1400">
            <v>9.7222222222222196E-2</v>
          </cell>
          <cell r="M1400">
            <v>35.333461</v>
          </cell>
          <cell r="N1400">
            <v>8.2561728395061706E-2</v>
          </cell>
          <cell r="O1400">
            <v>232.08652900000001</v>
          </cell>
          <cell r="P1400">
            <v>1.6912280701754301</v>
          </cell>
          <cell r="Q1400">
            <v>167.40307899999999</v>
          </cell>
          <cell r="R1400">
            <v>1.48771929824561</v>
          </cell>
          <cell r="S1400">
            <v>23.712354000000001</v>
          </cell>
          <cell r="T1400">
            <v>0.13632842757552199</v>
          </cell>
          <cell r="U1400">
            <v>22.533422999999999</v>
          </cell>
          <cell r="V1400">
            <v>0.13013168086754401</v>
          </cell>
        </row>
        <row r="1401">
          <cell r="A1401" t="str">
            <v>090403</v>
          </cell>
          <cell r="B1401">
            <v>894.33333300000004</v>
          </cell>
          <cell r="C1401">
            <v>22.366975</v>
          </cell>
          <cell r="D1401">
            <v>6.21468926553672E-2</v>
          </cell>
          <cell r="E1401">
            <v>22.366975</v>
          </cell>
          <cell r="F1401">
            <v>6.21468926553672E-2</v>
          </cell>
          <cell r="G1401">
            <v>598.76635199999998</v>
          </cell>
          <cell r="H1401">
            <v>1.9274553571428501</v>
          </cell>
          <cell r="I1401">
            <v>268.10028399999999</v>
          </cell>
          <cell r="J1401">
            <v>1.0758928571428501</v>
          </cell>
          <cell r="K1401">
            <v>339.34776599999998</v>
          </cell>
          <cell r="L1401">
            <v>1.2756696428571399</v>
          </cell>
          <cell r="M1401">
            <v>261.15844399999997</v>
          </cell>
          <cell r="N1401">
            <v>1.14508928571428</v>
          </cell>
          <cell r="O1401">
            <v>72.581495000000004</v>
          </cell>
          <cell r="P1401">
            <v>0.19010123734533099</v>
          </cell>
          <cell r="Q1401">
            <v>10.854443</v>
          </cell>
          <cell r="R1401">
            <v>0.157480314960629</v>
          </cell>
          <cell r="S1401">
            <v>50.597723000000002</v>
          </cell>
          <cell r="T1401">
            <v>0.14539400665926699</v>
          </cell>
          <cell r="U1401">
            <v>12.924620000000001</v>
          </cell>
          <cell r="V1401">
            <v>0.109877913429522</v>
          </cell>
        </row>
        <row r="1402">
          <cell r="A1402" t="str">
            <v>090501</v>
          </cell>
          <cell r="B1402">
            <v>32</v>
          </cell>
          <cell r="C1402">
            <v>0</v>
          </cell>
          <cell r="D1402">
            <v>0</v>
          </cell>
          <cell r="E1402">
            <v>0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  <cell r="Q1402">
            <v>0</v>
          </cell>
          <cell r="R1402">
            <v>0</v>
          </cell>
          <cell r="S1402">
            <v>194.058854</v>
          </cell>
          <cell r="T1402">
            <v>1.4375</v>
          </cell>
          <cell r="U1402">
            <v>70.058853999999997</v>
          </cell>
          <cell r="V1402">
            <v>0.4375</v>
          </cell>
        </row>
        <row r="1403">
          <cell r="A1403" t="str">
            <v>090502</v>
          </cell>
          <cell r="B1403">
            <v>105.714285</v>
          </cell>
          <cell r="C1403">
            <v>113.052868</v>
          </cell>
          <cell r="D1403">
            <v>0.21621621621621601</v>
          </cell>
          <cell r="E1403">
            <v>113.052868</v>
          </cell>
          <cell r="F1403">
            <v>0.21621621621621601</v>
          </cell>
          <cell r="G1403">
            <v>7.0003029999999997</v>
          </cell>
          <cell r="H1403">
            <v>1.7857142857142801E-2</v>
          </cell>
          <cell r="I1403">
            <v>7.0003029999999997</v>
          </cell>
          <cell r="J1403">
            <v>1.7857142857142801E-2</v>
          </cell>
          <cell r="K1403">
            <v>141.786349</v>
          </cell>
          <cell r="L1403">
            <v>0.36190476190476101</v>
          </cell>
          <cell r="M1403">
            <v>141.786349</v>
          </cell>
          <cell r="N1403">
            <v>0.36190476190476101</v>
          </cell>
          <cell r="O1403">
            <v>137.44455300000001</v>
          </cell>
          <cell r="P1403">
            <v>1.04950495049504</v>
          </cell>
          <cell r="Q1403">
            <v>121.116336</v>
          </cell>
          <cell r="R1403">
            <v>1.0396039603960301</v>
          </cell>
          <cell r="S1403">
            <v>1051.691427</v>
          </cell>
          <cell r="T1403">
            <v>2.5142857142857098</v>
          </cell>
          <cell r="U1403">
            <v>794.58539599999995</v>
          </cell>
          <cell r="V1403">
            <v>0.45714285714285702</v>
          </cell>
        </row>
        <row r="1404">
          <cell r="A1404" t="str">
            <v>090503</v>
          </cell>
          <cell r="B1404">
            <v>48.333333000000003</v>
          </cell>
          <cell r="C1404">
            <v>0</v>
          </cell>
          <cell r="D1404">
            <v>0</v>
          </cell>
          <cell r="E1404">
            <v>0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152.75</v>
          </cell>
          <cell r="L1404">
            <v>1</v>
          </cell>
          <cell r="M1404">
            <v>152.75</v>
          </cell>
          <cell r="N1404">
            <v>1</v>
          </cell>
          <cell r="O1404">
            <v>0</v>
          </cell>
          <cell r="P1404">
            <v>0</v>
          </cell>
          <cell r="Q1404">
            <v>0</v>
          </cell>
          <cell r="R1404">
            <v>0</v>
          </cell>
          <cell r="S1404">
            <v>178.54791499999999</v>
          </cell>
          <cell r="T1404">
            <v>1.0416666666666601</v>
          </cell>
          <cell r="U1404">
            <v>57.131248999999997</v>
          </cell>
          <cell r="V1404">
            <v>6.25E-2</v>
          </cell>
        </row>
        <row r="1405">
          <cell r="A1405" t="str">
            <v>090504</v>
          </cell>
          <cell r="B1405">
            <v>80.833332999999996</v>
          </cell>
          <cell r="C1405">
            <v>0</v>
          </cell>
          <cell r="D1405">
            <v>0</v>
          </cell>
          <cell r="E1405">
            <v>0</v>
          </cell>
          <cell r="F1405">
            <v>0</v>
          </cell>
          <cell r="G1405">
            <v>137.62673599999999</v>
          </cell>
          <cell r="H1405">
            <v>0.987179487179487</v>
          </cell>
          <cell r="I1405">
            <v>96.757001000000002</v>
          </cell>
          <cell r="J1405">
            <v>0.47435897435897401</v>
          </cell>
          <cell r="K1405">
            <v>358.35421600000001</v>
          </cell>
          <cell r="L1405">
            <v>1.50602409638554</v>
          </cell>
          <cell r="M1405">
            <v>358.35421600000001</v>
          </cell>
          <cell r="N1405">
            <v>1.50602409638554</v>
          </cell>
          <cell r="O1405">
            <v>124.67383700000001</v>
          </cell>
          <cell r="P1405">
            <v>0.209302325581395</v>
          </cell>
          <cell r="Q1405">
            <v>124.67383700000001</v>
          </cell>
          <cell r="R1405">
            <v>0.209302325581395</v>
          </cell>
          <cell r="S1405">
            <v>813.87791600000003</v>
          </cell>
          <cell r="T1405">
            <v>1.575</v>
          </cell>
          <cell r="U1405">
            <v>72.752915999999999</v>
          </cell>
          <cell r="V1405">
            <v>0.61250000000000004</v>
          </cell>
        </row>
        <row r="1406">
          <cell r="A1406" t="str">
            <v>090601</v>
          </cell>
          <cell r="B1406">
            <v>1175.625</v>
          </cell>
          <cell r="C1406">
            <v>4.6434639999999998</v>
          </cell>
          <cell r="D1406">
            <v>9.5693779904306199E-3</v>
          </cell>
          <cell r="E1406">
            <v>4.6434639999999998</v>
          </cell>
          <cell r="F1406">
            <v>9.5693779904306199E-3</v>
          </cell>
          <cell r="G1406">
            <v>372.71669200000002</v>
          </cell>
          <cell r="H1406">
            <v>1.0240096038415301</v>
          </cell>
          <cell r="I1406">
            <v>372.71669200000002</v>
          </cell>
          <cell r="J1406">
            <v>1.0240096038415301</v>
          </cell>
          <cell r="K1406">
            <v>467.58827600000001</v>
          </cell>
          <cell r="L1406">
            <v>1.5741626794258301</v>
          </cell>
          <cell r="M1406">
            <v>465.26313699999997</v>
          </cell>
          <cell r="N1406">
            <v>1.5717703349282199</v>
          </cell>
          <cell r="O1406">
            <v>94.243662</v>
          </cell>
          <cell r="P1406">
            <v>0.839964633068081</v>
          </cell>
          <cell r="Q1406">
            <v>45.957264000000002</v>
          </cell>
          <cell r="R1406">
            <v>6.9849690539345699E-2</v>
          </cell>
          <cell r="S1406">
            <v>468.30377700000003</v>
          </cell>
          <cell r="T1406">
            <v>2.3314045239347698</v>
          </cell>
          <cell r="U1406">
            <v>467.35640799999999</v>
          </cell>
          <cell r="V1406">
            <v>2.3303524460810001</v>
          </cell>
        </row>
        <row r="1407">
          <cell r="A1407" t="str">
            <v>090602</v>
          </cell>
          <cell r="B1407">
            <v>651.6</v>
          </cell>
          <cell r="C1407">
            <v>243.039333</v>
          </cell>
          <cell r="D1407">
            <v>0.43565891472868201</v>
          </cell>
          <cell r="E1407">
            <v>112.076106</v>
          </cell>
          <cell r="F1407">
            <v>0.32558139534883701</v>
          </cell>
          <cell r="G1407">
            <v>288.89203600000002</v>
          </cell>
          <cell r="H1407">
            <v>0.34678624813153902</v>
          </cell>
          <cell r="I1407">
            <v>109.87294199999999</v>
          </cell>
          <cell r="J1407">
            <v>0.25261584454409503</v>
          </cell>
          <cell r="K1407">
            <v>466.24829499999998</v>
          </cell>
          <cell r="L1407">
            <v>0.581168831168831</v>
          </cell>
          <cell r="M1407">
            <v>103.30928</v>
          </cell>
          <cell r="N1407">
            <v>0.456168831168831</v>
          </cell>
          <cell r="O1407">
            <v>255.833258</v>
          </cell>
          <cell r="P1407">
            <v>1.56541353383458</v>
          </cell>
          <cell r="Q1407">
            <v>86.428020000000004</v>
          </cell>
          <cell r="R1407">
            <v>0.51428571428571401</v>
          </cell>
          <cell r="S1407">
            <v>1714.5584699999999</v>
          </cell>
          <cell r="T1407">
            <v>2.04826546003016</v>
          </cell>
          <cell r="U1407">
            <v>379.699748</v>
          </cell>
          <cell r="V1407">
            <v>1.2503770739064799</v>
          </cell>
        </row>
        <row r="1408">
          <cell r="A1408" t="str">
            <v>090701</v>
          </cell>
          <cell r="B1408">
            <v>242.6</v>
          </cell>
          <cell r="C1408">
            <v>401.25010200000003</v>
          </cell>
          <cell r="D1408">
            <v>1.49103942652329</v>
          </cell>
          <cell r="E1408">
            <v>5.6072009999999999</v>
          </cell>
          <cell r="F1408">
            <v>4.3010752688171998E-2</v>
          </cell>
          <cell r="G1408">
            <v>68.394589999999994</v>
          </cell>
          <cell r="H1408">
            <v>0.26353790613718397</v>
          </cell>
          <cell r="I1408">
            <v>67.952431000000004</v>
          </cell>
          <cell r="J1408">
            <v>0.25992779783393499</v>
          </cell>
          <cell r="K1408">
            <v>388.019926</v>
          </cell>
          <cell r="L1408">
            <v>1.13768115942028</v>
          </cell>
          <cell r="M1408">
            <v>353.64480600000002</v>
          </cell>
          <cell r="N1408">
            <v>1.1231884057971</v>
          </cell>
          <cell r="O1408">
            <v>1001.200603</v>
          </cell>
          <cell r="P1408">
            <v>2.9528985507246301</v>
          </cell>
          <cell r="Q1408">
            <v>119.99027700000001</v>
          </cell>
          <cell r="R1408">
            <v>0.97463768115941996</v>
          </cell>
          <cell r="S1408">
            <v>242.31063399999999</v>
          </cell>
          <cell r="T1408">
            <v>0.43809523809523798</v>
          </cell>
          <cell r="U1408">
            <v>142.34872999999999</v>
          </cell>
          <cell r="V1408">
            <v>0.35238095238095202</v>
          </cell>
        </row>
        <row r="1409">
          <cell r="A1409" t="str">
            <v>090702</v>
          </cell>
          <cell r="B1409">
            <v>1063.2</v>
          </cell>
          <cell r="C1409">
            <v>346.13236599999999</v>
          </cell>
          <cell r="D1409">
            <v>1.3927911275415801</v>
          </cell>
          <cell r="E1409">
            <v>33.245835999999997</v>
          </cell>
          <cell r="F1409">
            <v>0.25693160813308602</v>
          </cell>
          <cell r="G1409">
            <v>408.210309</v>
          </cell>
          <cell r="H1409">
            <v>0.81750465549348195</v>
          </cell>
          <cell r="I1409">
            <v>262.19209799999999</v>
          </cell>
          <cell r="J1409">
            <v>0.60521415270018597</v>
          </cell>
          <cell r="K1409">
            <v>431.065337</v>
          </cell>
          <cell r="L1409">
            <v>0.537523452157598</v>
          </cell>
          <cell r="M1409">
            <v>28.23535</v>
          </cell>
          <cell r="N1409">
            <v>0.202626641651031</v>
          </cell>
          <cell r="O1409">
            <v>74.943445999999994</v>
          </cell>
          <cell r="P1409">
            <v>0.23741690408357</v>
          </cell>
          <cell r="Q1409">
            <v>59.390028000000001</v>
          </cell>
          <cell r="R1409">
            <v>0.20417853751187001</v>
          </cell>
          <cell r="S1409">
            <v>424.32941</v>
          </cell>
          <cell r="T1409">
            <v>0.513928914505283</v>
          </cell>
          <cell r="U1409">
            <v>56.685110000000002</v>
          </cell>
          <cell r="V1409">
            <v>0.28242074927953797</v>
          </cell>
        </row>
        <row r="1410">
          <cell r="A1410" t="str">
            <v>090801</v>
          </cell>
          <cell r="B1410">
            <v>1161.8</v>
          </cell>
          <cell r="C1410">
            <v>380.86888599999997</v>
          </cell>
          <cell r="D1410">
            <v>1.2502157031923999</v>
          </cell>
          <cell r="E1410">
            <v>110.076172</v>
          </cell>
          <cell r="F1410">
            <v>1.0638481449525401</v>
          </cell>
          <cell r="G1410">
            <v>589.41371000000004</v>
          </cell>
          <cell r="H1410">
            <v>1.6491831470335301</v>
          </cell>
          <cell r="I1410">
            <v>420.31894799999998</v>
          </cell>
          <cell r="J1410">
            <v>1.5399828030954399</v>
          </cell>
          <cell r="K1410">
            <v>146.303676</v>
          </cell>
          <cell r="L1410">
            <v>1.1656652360515001</v>
          </cell>
          <cell r="M1410">
            <v>98.468626</v>
          </cell>
          <cell r="N1410">
            <v>1.131330472103</v>
          </cell>
          <cell r="O1410">
            <v>528.94118600000002</v>
          </cell>
          <cell r="P1410">
            <v>1.32618025751072</v>
          </cell>
          <cell r="Q1410">
            <v>34.231586999999998</v>
          </cell>
          <cell r="R1410">
            <v>0.26609442060085797</v>
          </cell>
          <cell r="S1410">
            <v>53.471117</v>
          </cell>
          <cell r="T1410">
            <v>0.22558340535868601</v>
          </cell>
          <cell r="U1410">
            <v>10.05847</v>
          </cell>
          <cell r="V1410">
            <v>0.122731201382886</v>
          </cell>
        </row>
        <row r="1411">
          <cell r="A1411" t="str">
            <v>090802</v>
          </cell>
          <cell r="B1411">
            <v>1191.5555549999999</v>
          </cell>
          <cell r="C1411">
            <v>3319.2722819999999</v>
          </cell>
          <cell r="D1411">
            <v>1.00504201680672</v>
          </cell>
          <cell r="E1411">
            <v>15.919998</v>
          </cell>
          <cell r="F1411">
            <v>0.11680672268907499</v>
          </cell>
          <cell r="G1411">
            <v>89.457063000000005</v>
          </cell>
          <cell r="H1411">
            <v>0.46577629382303798</v>
          </cell>
          <cell r="I1411">
            <v>17.235911999999999</v>
          </cell>
          <cell r="J1411">
            <v>0.42237061769616002</v>
          </cell>
          <cell r="K1411">
            <v>19.428958000000002</v>
          </cell>
          <cell r="L1411">
            <v>0.21583333333333299</v>
          </cell>
          <cell r="M1411">
            <v>19.428958000000002</v>
          </cell>
          <cell r="N1411">
            <v>0.21583333333333299</v>
          </cell>
          <cell r="O1411">
            <v>346.44317100000001</v>
          </cell>
          <cell r="P1411">
            <v>1.43630308076602</v>
          </cell>
          <cell r="Q1411">
            <v>310.24548900000002</v>
          </cell>
          <cell r="R1411">
            <v>1.4146544546211399</v>
          </cell>
          <cell r="S1411">
            <v>26.114221000000001</v>
          </cell>
          <cell r="T1411">
            <v>0.101449275362318</v>
          </cell>
          <cell r="U1411">
            <v>9.1572169999999993</v>
          </cell>
          <cell r="V1411">
            <v>8.2693947144075006E-2</v>
          </cell>
        </row>
        <row r="1412">
          <cell r="A1412" t="str">
            <v>090803</v>
          </cell>
          <cell r="B1412">
            <v>630.66666599999996</v>
          </cell>
          <cell r="C1412">
            <v>3005.0357680000002</v>
          </cell>
          <cell r="D1412">
            <v>1.80223285486443</v>
          </cell>
          <cell r="E1412">
            <v>141.62904900000001</v>
          </cell>
          <cell r="F1412">
            <v>1.03827751196172</v>
          </cell>
          <cell r="G1412">
            <v>254.79815199999999</v>
          </cell>
          <cell r="H1412">
            <v>2.3548895899053601</v>
          </cell>
          <cell r="I1412">
            <v>155.107629</v>
          </cell>
          <cell r="J1412">
            <v>2.3264984227129299</v>
          </cell>
          <cell r="K1412">
            <v>1432.386702</v>
          </cell>
          <cell r="L1412">
            <v>1.0932069510268501</v>
          </cell>
          <cell r="M1412">
            <v>5.2752230000000004</v>
          </cell>
          <cell r="N1412">
            <v>9.3206951026856194E-2</v>
          </cell>
          <cell r="O1412">
            <v>13.513412000000001</v>
          </cell>
          <cell r="P1412">
            <v>6.5079365079365001E-2</v>
          </cell>
          <cell r="Q1412">
            <v>13.513412000000001</v>
          </cell>
          <cell r="R1412">
            <v>6.5079365079365001E-2</v>
          </cell>
          <cell r="S1412">
            <v>263.519925</v>
          </cell>
          <cell r="T1412">
            <v>1.1621621621621601</v>
          </cell>
          <cell r="U1412">
            <v>253.63545300000001</v>
          </cell>
          <cell r="V1412">
            <v>1.0985691573926799</v>
          </cell>
        </row>
        <row r="1413">
          <cell r="A1413" t="str">
            <v>090804</v>
          </cell>
          <cell r="B1413">
            <v>301.11111099999999</v>
          </cell>
          <cell r="C1413">
            <v>208.15699799999999</v>
          </cell>
          <cell r="D1413">
            <v>0.32781456953642302</v>
          </cell>
          <cell r="E1413">
            <v>45.901795</v>
          </cell>
          <cell r="F1413">
            <v>0.26821192052980097</v>
          </cell>
          <cell r="G1413">
            <v>22.235533</v>
          </cell>
          <cell r="H1413">
            <v>6.3333333333333297E-2</v>
          </cell>
          <cell r="I1413">
            <v>22.235533</v>
          </cell>
          <cell r="J1413">
            <v>6.3333333333333297E-2</v>
          </cell>
          <cell r="K1413">
            <v>299.79972099999998</v>
          </cell>
          <cell r="L1413">
            <v>2.0299999999999998</v>
          </cell>
          <cell r="M1413">
            <v>294.83905499999997</v>
          </cell>
          <cell r="N1413">
            <v>1.99</v>
          </cell>
          <cell r="O1413">
            <v>85.105553999999998</v>
          </cell>
          <cell r="P1413">
            <v>0.198019801980198</v>
          </cell>
          <cell r="Q1413">
            <v>19.719525999999998</v>
          </cell>
          <cell r="R1413">
            <v>0.16171617161716101</v>
          </cell>
          <cell r="S1413">
            <v>391.40355399999999</v>
          </cell>
          <cell r="T1413">
            <v>0.40333333333333299</v>
          </cell>
          <cell r="U1413">
            <v>10.427777000000001</v>
          </cell>
          <cell r="V1413">
            <v>0.05</v>
          </cell>
        </row>
        <row r="1414">
          <cell r="A1414" t="str">
            <v>090806</v>
          </cell>
          <cell r="B1414">
            <v>26.666665999999999</v>
          </cell>
          <cell r="C1414">
            <v>0</v>
          </cell>
          <cell r="D1414">
            <v>0</v>
          </cell>
          <cell r="E1414">
            <v>0</v>
          </cell>
          <cell r="F1414">
            <v>0</v>
          </cell>
          <cell r="G1414">
            <v>0</v>
          </cell>
          <cell r="H1414">
            <v>0</v>
          </cell>
          <cell r="I1414">
            <v>0</v>
          </cell>
          <cell r="J1414">
            <v>0</v>
          </cell>
          <cell r="K1414">
            <v>120.91428500000001</v>
          </cell>
          <cell r="L1414">
            <v>0.85714285714285698</v>
          </cell>
          <cell r="M1414">
            <v>120.91428500000001</v>
          </cell>
          <cell r="N1414">
            <v>0.85714285714285698</v>
          </cell>
          <cell r="O1414">
            <v>91.182692000000003</v>
          </cell>
          <cell r="P1414">
            <v>1.1153846153846101</v>
          </cell>
          <cell r="Q1414">
            <v>91.182692000000003</v>
          </cell>
          <cell r="R1414">
            <v>1.1153846153846101</v>
          </cell>
          <cell r="S1414">
            <v>754.72807</v>
          </cell>
          <cell r="T1414">
            <v>1.5263157894736801</v>
          </cell>
          <cell r="U1414">
            <v>754.72807</v>
          </cell>
          <cell r="V1414">
            <v>1.5263157894736801</v>
          </cell>
        </row>
        <row r="1415">
          <cell r="A1415" t="str">
            <v>090807</v>
          </cell>
          <cell r="B1415">
            <v>134.5</v>
          </cell>
          <cell r="C1415">
            <v>0</v>
          </cell>
          <cell r="D1415">
            <v>0</v>
          </cell>
          <cell r="E1415">
            <v>0</v>
          </cell>
          <cell r="F1415">
            <v>0</v>
          </cell>
          <cell r="G1415">
            <v>0</v>
          </cell>
          <cell r="H1415">
            <v>0</v>
          </cell>
          <cell r="I1415">
            <v>0</v>
          </cell>
          <cell r="J1415">
            <v>0</v>
          </cell>
          <cell r="K1415">
            <v>170.48270600000001</v>
          </cell>
          <cell r="L1415">
            <v>0.99248120300751796</v>
          </cell>
          <cell r="M1415">
            <v>170.48270600000001</v>
          </cell>
          <cell r="N1415">
            <v>0.99248120300751796</v>
          </cell>
          <cell r="O1415">
            <v>10.354411000000001</v>
          </cell>
          <cell r="P1415">
            <v>0.23529411764705799</v>
          </cell>
          <cell r="Q1415">
            <v>10.354411000000001</v>
          </cell>
          <cell r="R1415">
            <v>0.23529411764705799</v>
          </cell>
          <cell r="S1415">
            <v>0</v>
          </cell>
          <cell r="T1415">
            <v>0</v>
          </cell>
          <cell r="U1415">
            <v>0</v>
          </cell>
          <cell r="V1415">
            <v>0</v>
          </cell>
        </row>
        <row r="1416">
          <cell r="A1416" t="str">
            <v>091201</v>
          </cell>
          <cell r="B1416">
            <v>1</v>
          </cell>
          <cell r="C1416">
            <v>0</v>
          </cell>
          <cell r="D1416">
            <v>0</v>
          </cell>
          <cell r="E1416">
            <v>0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125.85</v>
          </cell>
          <cell r="L1416">
            <v>1</v>
          </cell>
          <cell r="M1416">
            <v>125.85</v>
          </cell>
          <cell r="N1416">
            <v>1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</row>
        <row r="1417">
          <cell r="A1417" t="str">
            <v>091501</v>
          </cell>
          <cell r="B1417">
            <v>936.2</v>
          </cell>
          <cell r="C1417">
            <v>93.391963000000004</v>
          </cell>
          <cell r="D1417">
            <v>0.387820512820512</v>
          </cell>
          <cell r="E1417">
            <v>53.992204000000001</v>
          </cell>
          <cell r="F1417">
            <v>0.30448717948717902</v>
          </cell>
          <cell r="G1417">
            <v>549.44752800000003</v>
          </cell>
          <cell r="H1417">
            <v>1.3556263269639</v>
          </cell>
          <cell r="I1417">
            <v>174.10120900000001</v>
          </cell>
          <cell r="J1417">
            <v>0.95541401273885296</v>
          </cell>
          <cell r="K1417">
            <v>636.695651</v>
          </cell>
          <cell r="L1417">
            <v>1.7857900318133599</v>
          </cell>
          <cell r="M1417">
            <v>88.197242000000003</v>
          </cell>
          <cell r="N1417">
            <v>1.3329798515376401</v>
          </cell>
          <cell r="O1417">
            <v>257.663929</v>
          </cell>
          <cell r="P1417">
            <v>0.51609442060085797</v>
          </cell>
          <cell r="Q1417">
            <v>42.620939999999997</v>
          </cell>
          <cell r="R1417">
            <v>0.36587982832617999</v>
          </cell>
          <cell r="S1417">
            <v>309.96264300000001</v>
          </cell>
          <cell r="T1417">
            <v>1.39331896551724</v>
          </cell>
          <cell r="U1417">
            <v>117.050287</v>
          </cell>
          <cell r="V1417">
            <v>0.568965517241379</v>
          </cell>
        </row>
        <row r="1418">
          <cell r="A1418" t="str">
            <v>091601</v>
          </cell>
          <cell r="B1418">
            <v>304.8</v>
          </cell>
          <cell r="C1418">
            <v>64.492997000000003</v>
          </cell>
          <cell r="D1418">
            <v>1.02482269503546</v>
          </cell>
          <cell r="E1418">
            <v>64.492997000000003</v>
          </cell>
          <cell r="F1418">
            <v>1.02482269503546</v>
          </cell>
          <cell r="G1418">
            <v>27.100055999999999</v>
          </cell>
          <cell r="H1418">
            <v>1.1923076923076901</v>
          </cell>
          <cell r="I1418">
            <v>27.100055999999999</v>
          </cell>
          <cell r="J1418">
            <v>1.1923076923076901</v>
          </cell>
          <cell r="K1418">
            <v>12.89099</v>
          </cell>
          <cell r="L1418">
            <v>0.31660231660231603</v>
          </cell>
          <cell r="M1418">
            <v>12.89099</v>
          </cell>
          <cell r="N1418">
            <v>0.31660231660231603</v>
          </cell>
          <cell r="O1418">
            <v>37.229610000000001</v>
          </cell>
          <cell r="P1418">
            <v>0.30964467005076102</v>
          </cell>
          <cell r="Q1418">
            <v>37.229610000000001</v>
          </cell>
          <cell r="R1418">
            <v>0.30964467005076102</v>
          </cell>
          <cell r="S1418">
            <v>4.6981659999999996</v>
          </cell>
          <cell r="T1418">
            <v>4.8000000000000001E-2</v>
          </cell>
          <cell r="U1418">
            <v>4.6981659999999996</v>
          </cell>
          <cell r="V1418">
            <v>4.8000000000000001E-2</v>
          </cell>
        </row>
        <row r="1419">
          <cell r="A1419" t="str">
            <v>091602</v>
          </cell>
          <cell r="B1419">
            <v>749.8</v>
          </cell>
          <cell r="C1419">
            <v>168.65524500000001</v>
          </cell>
          <cell r="D1419">
            <v>0.62386511024643299</v>
          </cell>
          <cell r="E1419">
            <v>160.49422899999999</v>
          </cell>
          <cell r="F1419">
            <v>0.58754863813229496</v>
          </cell>
          <cell r="G1419">
            <v>120.254999</v>
          </cell>
          <cell r="H1419">
            <v>0.61249999999999905</v>
          </cell>
          <cell r="I1419">
            <v>117.373418</v>
          </cell>
          <cell r="J1419">
            <v>0.61111111111111105</v>
          </cell>
          <cell r="K1419">
            <v>286.845438</v>
          </cell>
          <cell r="L1419">
            <v>1.2486842105263101</v>
          </cell>
          <cell r="M1419">
            <v>33.01614</v>
          </cell>
          <cell r="N1419">
            <v>0.84605263157894695</v>
          </cell>
          <cell r="O1419">
            <v>54.687640999999999</v>
          </cell>
          <cell r="P1419">
            <v>0.63337893296853598</v>
          </cell>
          <cell r="Q1419">
            <v>43.643318999999998</v>
          </cell>
          <cell r="R1419">
            <v>0.60054719562243497</v>
          </cell>
          <cell r="S1419">
            <v>81.047413000000006</v>
          </cell>
          <cell r="T1419">
            <v>0.34680573663624498</v>
          </cell>
          <cell r="U1419">
            <v>65.136135999999993</v>
          </cell>
          <cell r="V1419">
            <v>0.302477183833116</v>
          </cell>
        </row>
        <row r="1420">
          <cell r="A1420" t="str">
            <v>091603</v>
          </cell>
          <cell r="B1420">
            <v>463.8</v>
          </cell>
          <cell r="C1420">
            <v>3451.9812480000001</v>
          </cell>
          <cell r="D1420">
            <v>1.4291845493562201</v>
          </cell>
          <cell r="E1420">
            <v>44.641261</v>
          </cell>
          <cell r="F1420">
            <v>0.21244635193132999</v>
          </cell>
          <cell r="G1420">
            <v>1117.976514</v>
          </cell>
          <cell r="H1420">
            <v>0.92505353319057804</v>
          </cell>
          <cell r="I1420">
            <v>79.947056000000003</v>
          </cell>
          <cell r="J1420">
            <v>7.4946466809421797E-2</v>
          </cell>
          <cell r="K1420">
            <v>328.32941499999998</v>
          </cell>
          <cell r="L1420">
            <v>0.816239316239316</v>
          </cell>
          <cell r="M1420">
            <v>33.726993999999998</v>
          </cell>
          <cell r="N1420">
            <v>0.262820512820512</v>
          </cell>
          <cell r="O1420">
            <v>49.462690000000002</v>
          </cell>
          <cell r="P1420">
            <v>0.284463894967177</v>
          </cell>
          <cell r="Q1420">
            <v>11.503171999999999</v>
          </cell>
          <cell r="R1420">
            <v>0.24507658643326</v>
          </cell>
          <cell r="S1420">
            <v>356.98080099999999</v>
          </cell>
          <cell r="T1420">
            <v>1.27548806941431</v>
          </cell>
          <cell r="U1420">
            <v>348.37378799999999</v>
          </cell>
          <cell r="V1420">
            <v>1.0694143167028101</v>
          </cell>
        </row>
        <row r="1421">
          <cell r="A1421" t="str">
            <v>091701</v>
          </cell>
          <cell r="B1421">
            <v>92.5</v>
          </cell>
          <cell r="C1421">
            <v>3.3519730000000001</v>
          </cell>
          <cell r="D1421">
            <v>2.1505376344085999E-2</v>
          </cell>
          <cell r="E1421">
            <v>3.3519730000000001</v>
          </cell>
          <cell r="F1421">
            <v>2.1505376344085999E-2</v>
          </cell>
          <cell r="G1421">
            <v>762.42924000000005</v>
          </cell>
          <cell r="H1421">
            <v>4.5473684210526297</v>
          </cell>
          <cell r="I1421">
            <v>629.72766200000001</v>
          </cell>
          <cell r="J1421">
            <v>3.5368421052631498</v>
          </cell>
          <cell r="K1421">
            <v>2.4744679999999999</v>
          </cell>
          <cell r="L1421">
            <v>2.1276595744680799E-2</v>
          </cell>
          <cell r="M1421">
            <v>2.4744679999999999</v>
          </cell>
          <cell r="N1421">
            <v>2.1276595744680799E-2</v>
          </cell>
          <cell r="O1421">
            <v>29.897718999999999</v>
          </cell>
          <cell r="P1421">
            <v>0.21052631578947301</v>
          </cell>
          <cell r="Q1421">
            <v>29.897718999999999</v>
          </cell>
          <cell r="R1421">
            <v>0.21052631578947301</v>
          </cell>
          <cell r="S1421">
            <v>184.563253</v>
          </cell>
          <cell r="T1421">
            <v>1.1445783132530101</v>
          </cell>
          <cell r="U1421">
            <v>0</v>
          </cell>
          <cell r="V1421">
            <v>0</v>
          </cell>
        </row>
        <row r="1422">
          <cell r="A1422" t="str">
            <v>091702</v>
          </cell>
          <cell r="B1422">
            <v>34</v>
          </cell>
          <cell r="C1422">
            <v>0</v>
          </cell>
          <cell r="D1422">
            <v>0</v>
          </cell>
          <cell r="E1422">
            <v>0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262.79117600000001</v>
          </cell>
          <cell r="L1422">
            <v>0.85294117647058798</v>
          </cell>
          <cell r="M1422">
            <v>262.79117600000001</v>
          </cell>
          <cell r="N1422">
            <v>0.85294117647058798</v>
          </cell>
          <cell r="O1422">
            <v>18.113724999999999</v>
          </cell>
          <cell r="P1422">
            <v>5.8823529411764698E-2</v>
          </cell>
          <cell r="Q1422">
            <v>18.113724999999999</v>
          </cell>
          <cell r="R1422">
            <v>5.8823529411764698E-2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</row>
        <row r="1423">
          <cell r="A1423" t="str">
            <v>091703</v>
          </cell>
          <cell r="B1423">
            <v>397</v>
          </cell>
          <cell r="C1423">
            <v>21.736841999999999</v>
          </cell>
          <cell r="D1423">
            <v>0.51288056206088894</v>
          </cell>
          <cell r="E1423">
            <v>21.736841999999999</v>
          </cell>
          <cell r="F1423">
            <v>0.51288056206088894</v>
          </cell>
          <cell r="G1423">
            <v>33.408681000000001</v>
          </cell>
          <cell r="H1423">
            <v>0.22448979591836701</v>
          </cell>
          <cell r="I1423">
            <v>9.0038000000000007E-2</v>
          </cell>
          <cell r="J1423">
            <v>2.91545189504373E-3</v>
          </cell>
          <cell r="K1423">
            <v>18.364062000000001</v>
          </cell>
          <cell r="L1423">
            <v>8.8578088578088507E-2</v>
          </cell>
          <cell r="M1423">
            <v>10.823892000000001</v>
          </cell>
          <cell r="N1423">
            <v>8.6247086247086199E-2</v>
          </cell>
          <cell r="O1423">
            <v>9.5118810000000007</v>
          </cell>
          <cell r="P1423">
            <v>1.0239234449760699</v>
          </cell>
          <cell r="Q1423">
            <v>9.5118810000000007</v>
          </cell>
          <cell r="R1423">
            <v>1.0239234449760699</v>
          </cell>
          <cell r="S1423">
            <v>5.0189310000000003</v>
          </cell>
          <cell r="T1423">
            <v>4.6153846153846101E-2</v>
          </cell>
          <cell r="U1423">
            <v>5.0189310000000003</v>
          </cell>
          <cell r="V1423">
            <v>4.6153846153846101E-2</v>
          </cell>
        </row>
        <row r="1424">
          <cell r="A1424" t="str">
            <v>091801</v>
          </cell>
          <cell r="B1424">
            <v>1395.8</v>
          </cell>
          <cell r="C1424">
            <v>3897.1810070000001</v>
          </cell>
          <cell r="D1424">
            <v>2.2102496714848798</v>
          </cell>
          <cell r="E1424">
            <v>224.717872</v>
          </cell>
          <cell r="F1424">
            <v>0.625492772667542</v>
          </cell>
          <cell r="G1424">
            <v>1668.478838</v>
          </cell>
          <cell r="H1424">
            <v>1.2719692110327101</v>
          </cell>
          <cell r="I1424">
            <v>181.40938499999999</v>
          </cell>
          <cell r="J1424">
            <v>0.78062860808210299</v>
          </cell>
          <cell r="K1424">
            <v>780.24652300000002</v>
          </cell>
          <cell r="L1424">
            <v>0.84261036468330097</v>
          </cell>
          <cell r="M1424">
            <v>171.93203199999999</v>
          </cell>
          <cell r="N1424">
            <v>0.287907869481765</v>
          </cell>
          <cell r="O1424">
            <v>2760.987478</v>
          </cell>
          <cell r="P1424">
            <v>2.0528350515463898</v>
          </cell>
          <cell r="Q1424">
            <v>320.280036</v>
          </cell>
          <cell r="R1424">
            <v>1.3936855670103001</v>
          </cell>
          <cell r="S1424">
            <v>341.01395600000001</v>
          </cell>
          <cell r="T1424">
            <v>0.40738341968911901</v>
          </cell>
          <cell r="U1424">
            <v>102.922603</v>
          </cell>
          <cell r="V1424">
            <v>0.27007772020725301</v>
          </cell>
        </row>
        <row r="1425">
          <cell r="A1425" t="str">
            <v>091802</v>
          </cell>
          <cell r="B1425">
            <v>1149.4000000000001</v>
          </cell>
          <cell r="C1425">
            <v>6866.0538109999998</v>
          </cell>
          <cell r="D1425">
            <v>4.0598669623059802</v>
          </cell>
          <cell r="E1425">
            <v>279.50279799999998</v>
          </cell>
          <cell r="F1425">
            <v>2.0421286031042101</v>
          </cell>
          <cell r="G1425">
            <v>569.44970999999998</v>
          </cell>
          <cell r="H1425">
            <v>2.6959152798789701</v>
          </cell>
          <cell r="I1425">
            <v>286.74549300000001</v>
          </cell>
          <cell r="J1425">
            <v>1.7715582450831999</v>
          </cell>
          <cell r="K1425">
            <v>1046.197242</v>
          </cell>
          <cell r="L1425">
            <v>1.0067975830815701</v>
          </cell>
          <cell r="M1425">
            <v>119.141792</v>
          </cell>
          <cell r="N1425">
            <v>0.54078549848942503</v>
          </cell>
          <cell r="O1425">
            <v>170.28358499999999</v>
          </cell>
          <cell r="P1425">
            <v>0.29727685325264702</v>
          </cell>
          <cell r="Q1425">
            <v>29.818342999999999</v>
          </cell>
          <cell r="R1425">
            <v>0.221633888048411</v>
          </cell>
          <cell r="S1425">
            <v>95.700551000000004</v>
          </cell>
          <cell r="T1425">
            <v>0.500753012048192</v>
          </cell>
          <cell r="U1425">
            <v>94.999685999999997</v>
          </cell>
          <cell r="V1425">
            <v>0.498493975903614</v>
          </cell>
        </row>
        <row r="1426">
          <cell r="A1426" t="str">
            <v>091901</v>
          </cell>
          <cell r="B1426">
            <v>607</v>
          </cell>
          <cell r="C1426">
            <v>108.895488</v>
          </cell>
          <cell r="D1426">
            <v>0.89382716049382704</v>
          </cell>
          <cell r="E1426">
            <v>108.895488</v>
          </cell>
          <cell r="F1426">
            <v>0.89382716049382704</v>
          </cell>
          <cell r="G1426">
            <v>634.47843999999998</v>
          </cell>
          <cell r="H1426">
            <v>1.5980707395498299</v>
          </cell>
          <cell r="I1426">
            <v>289.39284199999997</v>
          </cell>
          <cell r="J1426">
            <v>1.4581993569131799</v>
          </cell>
          <cell r="K1426">
            <v>3263.1214199999999</v>
          </cell>
          <cell r="L1426">
            <v>4.16771159874608</v>
          </cell>
          <cell r="M1426">
            <v>798.83469100000002</v>
          </cell>
          <cell r="N1426">
            <v>2.9623824451410599</v>
          </cell>
          <cell r="O1426">
            <v>1296.0051350000001</v>
          </cell>
          <cell r="P1426">
            <v>2.4292452830188598</v>
          </cell>
          <cell r="Q1426">
            <v>235.24053900000001</v>
          </cell>
          <cell r="R1426">
            <v>1.24685534591194</v>
          </cell>
          <cell r="S1426">
            <v>668.21450700000003</v>
          </cell>
          <cell r="T1426">
            <v>1.88783570300157</v>
          </cell>
          <cell r="U1426">
            <v>626.17390699999999</v>
          </cell>
          <cell r="V1426">
            <v>1.79778830963665</v>
          </cell>
        </row>
        <row r="1427">
          <cell r="A1427" t="str">
            <v>092001</v>
          </cell>
          <cell r="B1427">
            <v>319.14285699999999</v>
          </cell>
          <cell r="C1427">
            <v>26.762848999999999</v>
          </cell>
          <cell r="D1427">
            <v>0.17597765363128401</v>
          </cell>
          <cell r="E1427">
            <v>26.762848999999999</v>
          </cell>
          <cell r="F1427">
            <v>0.17597765363128401</v>
          </cell>
          <cell r="G1427">
            <v>235.21139099999999</v>
          </cell>
          <cell r="H1427">
            <v>0.22829581993569101</v>
          </cell>
          <cell r="I1427">
            <v>48.191051999999999</v>
          </cell>
          <cell r="J1427">
            <v>0.135048231511254</v>
          </cell>
          <cell r="K1427">
            <v>248.95053300000001</v>
          </cell>
          <cell r="L1427">
            <v>1.19551282051282</v>
          </cell>
          <cell r="M1427">
            <v>207.60395199999999</v>
          </cell>
          <cell r="N1427">
            <v>1.1858974358974299</v>
          </cell>
          <cell r="O1427">
            <v>97.134083000000004</v>
          </cell>
          <cell r="P1427">
            <v>0.247588424437299</v>
          </cell>
          <cell r="Q1427">
            <v>97.134083000000004</v>
          </cell>
          <cell r="R1427">
            <v>0.247588424437299</v>
          </cell>
          <cell r="S1427">
            <v>3095.436886</v>
          </cell>
          <cell r="T1427">
            <v>1.1285266457680201</v>
          </cell>
          <cell r="U1427">
            <v>3095.436886</v>
          </cell>
          <cell r="V1427">
            <v>1.1285266457680201</v>
          </cell>
        </row>
        <row r="1428">
          <cell r="A1428" t="str">
            <v>092002</v>
          </cell>
          <cell r="B1428">
            <v>575.20000000000005</v>
          </cell>
          <cell r="C1428">
            <v>1103.1386910000001</v>
          </cell>
          <cell r="D1428">
            <v>2.08766233766233</v>
          </cell>
          <cell r="E1428">
            <v>1002.439479</v>
          </cell>
          <cell r="F1428">
            <v>2.0519480519480502</v>
          </cell>
          <cell r="G1428">
            <v>381.630629</v>
          </cell>
          <cell r="H1428">
            <v>1.1251885369532399</v>
          </cell>
          <cell r="I1428">
            <v>376.70012500000001</v>
          </cell>
          <cell r="J1428">
            <v>1.1236802413272999</v>
          </cell>
          <cell r="K1428">
            <v>237.04945799999999</v>
          </cell>
          <cell r="L1428">
            <v>1.17592592592592</v>
          </cell>
          <cell r="M1428">
            <v>235.84578099999999</v>
          </cell>
          <cell r="N1428">
            <v>1.17438271604938</v>
          </cell>
          <cell r="O1428">
            <v>298.35422499999999</v>
          </cell>
          <cell r="P1428">
            <v>1.41574803149606</v>
          </cell>
          <cell r="Q1428">
            <v>250.02629899999999</v>
          </cell>
          <cell r="R1428">
            <v>1.4047244094488101</v>
          </cell>
          <cell r="S1428">
            <v>3214.657502</v>
          </cell>
          <cell r="T1428">
            <v>1.36495176848874</v>
          </cell>
          <cell r="U1428">
            <v>3114.034083</v>
          </cell>
          <cell r="V1428">
            <v>1.2556270096463</v>
          </cell>
        </row>
        <row r="1429">
          <cell r="A1429" t="str">
            <v>092003</v>
          </cell>
          <cell r="B1429">
            <v>1</v>
          </cell>
          <cell r="C1429">
            <v>0</v>
          </cell>
          <cell r="D1429">
            <v>0</v>
          </cell>
          <cell r="E1429">
            <v>0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466.46666599999998</v>
          </cell>
          <cell r="L1429">
            <v>2</v>
          </cell>
          <cell r="M1429">
            <v>466.46666599999998</v>
          </cell>
          <cell r="N1429">
            <v>2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</row>
        <row r="1430">
          <cell r="A1430" t="str">
            <v>092101</v>
          </cell>
          <cell r="B1430">
            <v>678.2</v>
          </cell>
          <cell r="C1430">
            <v>82.751977999999994</v>
          </cell>
          <cell r="D1430">
            <v>0.49856321839080397</v>
          </cell>
          <cell r="E1430">
            <v>57.549396999999999</v>
          </cell>
          <cell r="F1430">
            <v>0.42959770114942503</v>
          </cell>
          <cell r="G1430">
            <v>98.063479999999998</v>
          </cell>
          <cell r="H1430">
            <v>0.59798270893371697</v>
          </cell>
          <cell r="I1430">
            <v>95.153694999999999</v>
          </cell>
          <cell r="J1430">
            <v>0.59510086455331401</v>
          </cell>
          <cell r="K1430">
            <v>506.64194400000002</v>
          </cell>
          <cell r="L1430">
            <v>0.66908563134978205</v>
          </cell>
          <cell r="M1430">
            <v>126.351741</v>
          </cell>
          <cell r="N1430">
            <v>0.43105950653120401</v>
          </cell>
          <cell r="O1430">
            <v>339.86877500000003</v>
          </cell>
          <cell r="P1430">
            <v>2.29588607594936</v>
          </cell>
          <cell r="Q1430">
            <v>329.67233599999997</v>
          </cell>
          <cell r="R1430">
            <v>2.24525316455696</v>
          </cell>
          <cell r="S1430">
            <v>591.06105300000002</v>
          </cell>
          <cell r="T1430">
            <v>1.53823529411764</v>
          </cell>
          <cell r="U1430">
            <v>174.54857799999999</v>
          </cell>
          <cell r="V1430">
            <v>1.21176470588235</v>
          </cell>
        </row>
        <row r="1431">
          <cell r="A1431" t="str">
            <v>092102</v>
          </cell>
          <cell r="B1431">
            <v>1164.5999999999999</v>
          </cell>
          <cell r="C1431">
            <v>819.03787699999998</v>
          </cell>
          <cell r="D1431">
            <v>0.55951417004048498</v>
          </cell>
          <cell r="E1431">
            <v>75.559556999999998</v>
          </cell>
          <cell r="F1431">
            <v>0.150607287449392</v>
          </cell>
          <cell r="G1431">
            <v>148.38051200000001</v>
          </cell>
          <cell r="H1431">
            <v>1.20826580226904</v>
          </cell>
          <cell r="I1431">
            <v>121.66763400000001</v>
          </cell>
          <cell r="J1431">
            <v>1.15883306320907</v>
          </cell>
          <cell r="K1431">
            <v>1294.212495</v>
          </cell>
          <cell r="L1431">
            <v>0.85783915515840703</v>
          </cell>
          <cell r="M1431">
            <v>75.137461999999999</v>
          </cell>
          <cell r="N1431">
            <v>0.29082047116165699</v>
          </cell>
          <cell r="O1431">
            <v>593.08798200000001</v>
          </cell>
          <cell r="P1431">
            <v>3.5547045951859899</v>
          </cell>
          <cell r="Q1431">
            <v>562.33701599999995</v>
          </cell>
          <cell r="R1431">
            <v>3.5098468271334702</v>
          </cell>
          <cell r="S1431">
            <v>3134.8263700000002</v>
          </cell>
          <cell r="T1431">
            <v>4.18775847808105</v>
          </cell>
          <cell r="U1431">
            <v>420.88278100000002</v>
          </cell>
          <cell r="V1431">
            <v>2.6294458229942101</v>
          </cell>
        </row>
        <row r="1432">
          <cell r="A1432" t="str">
            <v>092201</v>
          </cell>
          <cell r="B1432">
            <v>560</v>
          </cell>
          <cell r="C1432">
            <v>0</v>
          </cell>
          <cell r="D1432">
            <v>0</v>
          </cell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968.81654700000001</v>
          </cell>
          <cell r="T1432">
            <v>2.83928571428571</v>
          </cell>
          <cell r="U1432">
            <v>499.41607099999999</v>
          </cell>
          <cell r="V1432">
            <v>2.2857142857142798</v>
          </cell>
        </row>
        <row r="1433">
          <cell r="A1433" t="str">
            <v>092202</v>
          </cell>
          <cell r="B1433">
            <v>81</v>
          </cell>
          <cell r="C1433">
            <v>0</v>
          </cell>
          <cell r="D1433">
            <v>0</v>
          </cell>
          <cell r="E1433">
            <v>0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214.14300399999999</v>
          </cell>
          <cell r="T1433">
            <v>0.62962962962962898</v>
          </cell>
          <cell r="U1433">
            <v>214.14300399999999</v>
          </cell>
          <cell r="V1433">
            <v>0.62962962962962898</v>
          </cell>
        </row>
        <row r="1434">
          <cell r="A1434" t="str">
            <v>092301</v>
          </cell>
          <cell r="B1434">
            <v>1</v>
          </cell>
          <cell r="C1434">
            <v>0</v>
          </cell>
          <cell r="D1434">
            <v>0</v>
          </cell>
          <cell r="E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237</v>
          </cell>
          <cell r="P1434">
            <v>1</v>
          </cell>
          <cell r="Q1434">
            <v>237</v>
          </cell>
          <cell r="R1434">
            <v>1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</row>
        <row r="1435">
          <cell r="A1435" t="str">
            <v>092302</v>
          </cell>
          <cell r="B1435">
            <v>74</v>
          </cell>
          <cell r="C1435">
            <v>0</v>
          </cell>
          <cell r="D1435">
            <v>0</v>
          </cell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230.702631</v>
          </cell>
          <cell r="P1435">
            <v>0.97368421052631504</v>
          </cell>
          <cell r="Q1435">
            <v>230.702631</v>
          </cell>
          <cell r="R1435">
            <v>0.97368421052631504</v>
          </cell>
          <cell r="S1435">
            <v>2343.297716</v>
          </cell>
          <cell r="T1435">
            <v>1.3561643835616399</v>
          </cell>
          <cell r="U1435">
            <v>5.019863</v>
          </cell>
          <cell r="V1435">
            <v>0.28767123287671198</v>
          </cell>
        </row>
        <row r="1436">
          <cell r="A1436" t="str">
            <v>093201</v>
          </cell>
          <cell r="B1436">
            <v>499.33333299999998</v>
          </cell>
          <cell r="C1436">
            <v>38.212114999999997</v>
          </cell>
          <cell r="D1436">
            <v>0.22156862745097999</v>
          </cell>
          <cell r="E1436">
            <v>38.212114999999997</v>
          </cell>
          <cell r="F1436">
            <v>0.22156862745097999</v>
          </cell>
          <cell r="G1436">
            <v>401.34439500000002</v>
          </cell>
          <cell r="H1436">
            <v>1.21104536489151</v>
          </cell>
          <cell r="I1436">
            <v>84.928370000000001</v>
          </cell>
          <cell r="J1436">
            <v>0.76331360946745497</v>
          </cell>
          <cell r="K1436">
            <v>1346.5002010000001</v>
          </cell>
          <cell r="L1436">
            <v>0.90283400809716496</v>
          </cell>
          <cell r="M1436">
            <v>33.674357999999998</v>
          </cell>
          <cell r="N1436">
            <v>0.24696356275303599</v>
          </cell>
          <cell r="O1436">
            <v>214.69949700000001</v>
          </cell>
          <cell r="P1436">
            <v>0.67269076305220799</v>
          </cell>
          <cell r="Q1436">
            <v>29.959537999999998</v>
          </cell>
          <cell r="R1436">
            <v>0.22690763052208801</v>
          </cell>
          <cell r="S1436">
            <v>142.77734899999999</v>
          </cell>
          <cell r="T1436">
            <v>1.2860040567951301</v>
          </cell>
          <cell r="U1436">
            <v>102.04100699999999</v>
          </cell>
          <cell r="V1436">
            <v>1.2332657200811299</v>
          </cell>
        </row>
        <row r="1437">
          <cell r="A1437" t="str">
            <v>093202</v>
          </cell>
          <cell r="B1437">
            <v>479.11111099999999</v>
          </cell>
          <cell r="C1437">
            <v>70.474169000000003</v>
          </cell>
          <cell r="D1437">
            <v>0.606122448979591</v>
          </cell>
          <cell r="E1437">
            <v>70.474169000000003</v>
          </cell>
          <cell r="F1437">
            <v>0.606122448979591</v>
          </cell>
          <cell r="G1437">
            <v>667.58553099999995</v>
          </cell>
          <cell r="H1437">
            <v>1.22857142857142</v>
          </cell>
          <cell r="I1437">
            <v>80.454510999999997</v>
          </cell>
          <cell r="J1437">
            <v>0.70612244897959098</v>
          </cell>
          <cell r="K1437">
            <v>166.210137</v>
          </cell>
          <cell r="L1437">
            <v>0.31752577319587599</v>
          </cell>
          <cell r="M1437">
            <v>49.649724999999997</v>
          </cell>
          <cell r="N1437">
            <v>0.28247422680412299</v>
          </cell>
          <cell r="O1437">
            <v>467.41934400000002</v>
          </cell>
          <cell r="P1437">
            <v>1.0835073068893499</v>
          </cell>
          <cell r="Q1437">
            <v>158.36934500000001</v>
          </cell>
          <cell r="R1437">
            <v>0.72651356993736904</v>
          </cell>
          <cell r="S1437">
            <v>362.25397400000003</v>
          </cell>
          <cell r="T1437">
            <v>2.2800875273522898</v>
          </cell>
          <cell r="U1437">
            <v>326.30547000000001</v>
          </cell>
          <cell r="V1437">
            <v>1.9496717724288799</v>
          </cell>
        </row>
        <row r="1438">
          <cell r="A1438" t="str">
            <v>093301</v>
          </cell>
          <cell r="B1438">
            <v>1</v>
          </cell>
          <cell r="C1438">
            <v>0</v>
          </cell>
          <cell r="D1438">
            <v>0</v>
          </cell>
          <cell r="E1438">
            <v>0</v>
          </cell>
          <cell r="F1438">
            <v>0</v>
          </cell>
          <cell r="G1438">
            <v>148</v>
          </cell>
          <cell r="H1438">
            <v>1</v>
          </cell>
          <cell r="I1438">
            <v>148</v>
          </cell>
          <cell r="J1438">
            <v>1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</row>
        <row r="1439">
          <cell r="A1439" t="str">
            <v>093401</v>
          </cell>
          <cell r="B1439">
            <v>843.16666599999996</v>
          </cell>
          <cell r="C1439">
            <v>1.2362139999999999</v>
          </cell>
          <cell r="D1439">
            <v>3.0878859857482101E-2</v>
          </cell>
          <cell r="E1439">
            <v>1.2362139999999999</v>
          </cell>
          <cell r="F1439">
            <v>3.0878859857482101E-2</v>
          </cell>
          <cell r="G1439">
            <v>253.04829799999999</v>
          </cell>
          <cell r="H1439">
            <v>1.0047337278106501</v>
          </cell>
          <cell r="I1439">
            <v>253.04829799999999</v>
          </cell>
          <cell r="J1439">
            <v>1.0047337278106501</v>
          </cell>
          <cell r="K1439">
            <v>739.18201099999999</v>
          </cell>
          <cell r="L1439">
            <v>1.49704142011834</v>
          </cell>
          <cell r="M1439">
            <v>707.01232700000003</v>
          </cell>
          <cell r="N1439">
            <v>1.4</v>
          </cell>
          <cell r="O1439">
            <v>8.8523069999999997</v>
          </cell>
          <cell r="P1439">
            <v>6.15384615384615E-2</v>
          </cell>
          <cell r="Q1439">
            <v>8.8523069999999997</v>
          </cell>
          <cell r="R1439">
            <v>6.15384615384615E-2</v>
          </cell>
          <cell r="S1439">
            <v>56.515650999999998</v>
          </cell>
          <cell r="T1439">
            <v>0.67502986857825498</v>
          </cell>
          <cell r="U1439">
            <v>56.515650999999998</v>
          </cell>
          <cell r="V1439">
            <v>0.67502986857825498</v>
          </cell>
        </row>
        <row r="1440">
          <cell r="A1440" t="str">
            <v>093402</v>
          </cell>
          <cell r="B1440">
            <v>1345.625</v>
          </cell>
          <cell r="C1440">
            <v>109.54094000000001</v>
          </cell>
          <cell r="D1440">
            <v>1.01254612546125</v>
          </cell>
          <cell r="E1440">
            <v>109.54094000000001</v>
          </cell>
          <cell r="F1440">
            <v>1.01254612546125</v>
          </cell>
          <cell r="G1440">
            <v>445.55792400000001</v>
          </cell>
          <cell r="H1440">
            <v>2.2092851879145101</v>
          </cell>
          <cell r="I1440">
            <v>443.04651899999999</v>
          </cell>
          <cell r="J1440">
            <v>2.2056005895357398</v>
          </cell>
          <cell r="K1440">
            <v>218.041629</v>
          </cell>
          <cell r="L1440">
            <v>1.38552437223042</v>
          </cell>
          <cell r="M1440">
            <v>169.22876600000001</v>
          </cell>
          <cell r="N1440">
            <v>1.3449039881831599</v>
          </cell>
          <cell r="O1440">
            <v>3.1881349999999999</v>
          </cell>
          <cell r="P1440">
            <v>4.0740740740740702E-2</v>
          </cell>
          <cell r="Q1440">
            <v>3.1881349999999999</v>
          </cell>
          <cell r="R1440">
            <v>4.0740740740740702E-2</v>
          </cell>
          <cell r="S1440">
            <v>247.63694599999999</v>
          </cell>
          <cell r="T1440">
            <v>0.85595147839272101</v>
          </cell>
          <cell r="U1440">
            <v>72.444844000000003</v>
          </cell>
          <cell r="V1440">
            <v>0.50720242608036303</v>
          </cell>
        </row>
        <row r="1441">
          <cell r="A1441" t="str">
            <v>093403</v>
          </cell>
          <cell r="B1441">
            <v>2063.25</v>
          </cell>
          <cell r="C1441">
            <v>30.026900999999999</v>
          </cell>
          <cell r="D1441">
            <v>0.19245647969052199</v>
          </cell>
          <cell r="E1441">
            <v>30.026900999999999</v>
          </cell>
          <cell r="F1441">
            <v>0.19245647969052199</v>
          </cell>
          <cell r="G1441">
            <v>759.08245699999998</v>
          </cell>
          <cell r="H1441">
            <v>1.4961277831558499</v>
          </cell>
          <cell r="I1441">
            <v>43.688772</v>
          </cell>
          <cell r="J1441">
            <v>0.46999031945788899</v>
          </cell>
          <cell r="K1441">
            <v>180.98678699999999</v>
          </cell>
          <cell r="L1441">
            <v>0.219370460048426</v>
          </cell>
          <cell r="M1441">
            <v>51.368538999999998</v>
          </cell>
          <cell r="N1441">
            <v>0.19564164648910401</v>
          </cell>
          <cell r="O1441">
            <v>82.544134999999997</v>
          </cell>
          <cell r="P1441">
            <v>1.03388189738625</v>
          </cell>
          <cell r="Q1441">
            <v>82.544134999999997</v>
          </cell>
          <cell r="R1441">
            <v>1.03388189738625</v>
          </cell>
          <cell r="S1441">
            <v>401.86600099999998</v>
          </cell>
          <cell r="T1441">
            <v>1.2671532846715301</v>
          </cell>
          <cell r="U1441">
            <v>246.57511700000001</v>
          </cell>
          <cell r="V1441">
            <v>1.14452554744525</v>
          </cell>
        </row>
        <row r="1442">
          <cell r="A1442" t="str">
            <v>093404</v>
          </cell>
          <cell r="B1442">
            <v>1412.2</v>
          </cell>
          <cell r="C1442">
            <v>54.877740000000003</v>
          </cell>
          <cell r="D1442">
            <v>0.27272727272727199</v>
          </cell>
          <cell r="E1442">
            <v>33.753816999999998</v>
          </cell>
          <cell r="F1442">
            <v>0.26286116983791402</v>
          </cell>
          <cell r="G1442">
            <v>177.20546300000001</v>
          </cell>
          <cell r="H1442">
            <v>0.56749116607773797</v>
          </cell>
          <cell r="I1442">
            <v>51.783439000000001</v>
          </cell>
          <cell r="J1442">
            <v>0.462190812720848</v>
          </cell>
          <cell r="K1442">
            <v>223.00869800000001</v>
          </cell>
          <cell r="L1442">
            <v>0.87906647807637905</v>
          </cell>
          <cell r="M1442">
            <v>132.95330000000001</v>
          </cell>
          <cell r="N1442">
            <v>0.80551626591230496</v>
          </cell>
          <cell r="O1442">
            <v>194.580344</v>
          </cell>
          <cell r="P1442">
            <v>1.0297661233167901</v>
          </cell>
          <cell r="Q1442">
            <v>148.94927899999999</v>
          </cell>
          <cell r="R1442">
            <v>0.866761162296243</v>
          </cell>
          <cell r="S1442">
            <v>832.64626599999997</v>
          </cell>
          <cell r="T1442">
            <v>1.4793152639086999</v>
          </cell>
          <cell r="U1442">
            <v>75.833260999999993</v>
          </cell>
          <cell r="V1442">
            <v>0.58487874465049905</v>
          </cell>
        </row>
        <row r="1443">
          <cell r="A1443" t="str">
            <v>093405</v>
          </cell>
          <cell r="B1443">
            <v>1</v>
          </cell>
          <cell r="C1443">
            <v>0</v>
          </cell>
          <cell r="D1443">
            <v>0</v>
          </cell>
          <cell r="E1443">
            <v>0</v>
          </cell>
          <cell r="F1443">
            <v>0</v>
          </cell>
          <cell r="G1443">
            <v>230.4</v>
          </cell>
          <cell r="H1443">
            <v>1</v>
          </cell>
          <cell r="I1443">
            <v>230.4</v>
          </cell>
          <cell r="J1443">
            <v>1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</row>
        <row r="1444">
          <cell r="A1444" t="str">
            <v>093501</v>
          </cell>
          <cell r="B1444">
            <v>2012.444444</v>
          </cell>
          <cell r="C1444">
            <v>460.037306</v>
          </cell>
          <cell r="D1444">
            <v>2.16335740072202</v>
          </cell>
          <cell r="E1444">
            <v>460.037306</v>
          </cell>
          <cell r="F1444">
            <v>2.16335740072202</v>
          </cell>
          <cell r="G1444">
            <v>12.872346</v>
          </cell>
          <cell r="H1444">
            <v>3.4894398530762101E-2</v>
          </cell>
          <cell r="I1444">
            <v>12.605867</v>
          </cell>
          <cell r="J1444">
            <v>3.4435261707988898E-2</v>
          </cell>
          <cell r="K1444">
            <v>56.417082000000001</v>
          </cell>
          <cell r="L1444">
            <v>7.1626617375231003E-2</v>
          </cell>
          <cell r="M1444">
            <v>12.019361999999999</v>
          </cell>
          <cell r="N1444">
            <v>6.2846580406654307E-2</v>
          </cell>
          <cell r="O1444">
            <v>456.85167999999999</v>
          </cell>
          <cell r="P1444">
            <v>1.1965127238454201</v>
          </cell>
          <cell r="Q1444">
            <v>455.78841499999999</v>
          </cell>
          <cell r="R1444">
            <v>1.1941564561734199</v>
          </cell>
          <cell r="S1444">
            <v>24.286422999999999</v>
          </cell>
          <cell r="T1444">
            <v>0.101570166830225</v>
          </cell>
          <cell r="U1444">
            <v>20.395811999999999</v>
          </cell>
          <cell r="V1444">
            <v>9.4700686947988194E-2</v>
          </cell>
        </row>
        <row r="1445">
          <cell r="A1445" t="str">
            <v>093502</v>
          </cell>
          <cell r="B1445">
            <v>1600.4</v>
          </cell>
          <cell r="C1445">
            <v>206.66365500000001</v>
          </cell>
          <cell r="D1445">
            <v>1.05996252342286</v>
          </cell>
          <cell r="E1445">
            <v>205.47498400000001</v>
          </cell>
          <cell r="F1445">
            <v>1.05871330418488</v>
          </cell>
          <cell r="G1445">
            <v>13.478832000000001</v>
          </cell>
          <cell r="H1445">
            <v>6.8450528935905405E-2</v>
          </cell>
          <cell r="I1445">
            <v>8.8704420000000006</v>
          </cell>
          <cell r="J1445">
            <v>6.7205973864343405E-2</v>
          </cell>
          <cell r="K1445">
            <v>1231.9454760000001</v>
          </cell>
          <cell r="L1445">
            <v>1.2570180910792199</v>
          </cell>
          <cell r="M1445">
            <v>257.13519400000001</v>
          </cell>
          <cell r="N1445">
            <v>0.91328758577666802</v>
          </cell>
          <cell r="O1445">
            <v>477.73246699999999</v>
          </cell>
          <cell r="P1445">
            <v>1.3775829680651199</v>
          </cell>
          <cell r="Q1445">
            <v>464.87961799999999</v>
          </cell>
          <cell r="R1445">
            <v>1.3625547902316799</v>
          </cell>
          <cell r="S1445">
            <v>53.385026000000003</v>
          </cell>
          <cell r="T1445">
            <v>6.2735257214554502E-2</v>
          </cell>
          <cell r="U1445">
            <v>5.0567960000000003</v>
          </cell>
          <cell r="V1445">
            <v>1.7565872020075202E-2</v>
          </cell>
        </row>
        <row r="1446">
          <cell r="A1446" t="str">
            <v>093503</v>
          </cell>
          <cell r="B1446">
            <v>844</v>
          </cell>
          <cell r="C1446">
            <v>338.748199</v>
          </cell>
          <cell r="D1446">
            <v>1.7526501766784399</v>
          </cell>
          <cell r="E1446">
            <v>338.60532799999999</v>
          </cell>
          <cell r="F1446">
            <v>1.74911660777385</v>
          </cell>
          <cell r="G1446">
            <v>215.781398</v>
          </cell>
          <cell r="H1446">
            <v>0.570754716981132</v>
          </cell>
          <cell r="I1446">
            <v>212.28081800000001</v>
          </cell>
          <cell r="J1446">
            <v>0.56957547169811296</v>
          </cell>
          <cell r="K1446">
            <v>288.91901000000001</v>
          </cell>
          <cell r="L1446">
            <v>0.75650118203309602</v>
          </cell>
          <cell r="M1446">
            <v>269.644858</v>
          </cell>
          <cell r="N1446">
            <v>0.60047281323877</v>
          </cell>
          <cell r="O1446">
            <v>635.79486099999997</v>
          </cell>
          <cell r="P1446">
            <v>2.1452380952380898</v>
          </cell>
          <cell r="Q1446">
            <v>634.12861099999998</v>
          </cell>
          <cell r="R1446">
            <v>2.1440476190476101</v>
          </cell>
          <cell r="S1446">
            <v>526.278414</v>
          </cell>
          <cell r="T1446">
            <v>1.9808841099163601</v>
          </cell>
          <cell r="U1446">
            <v>437.65965699999998</v>
          </cell>
          <cell r="V1446">
            <v>1.5890083632019101</v>
          </cell>
        </row>
        <row r="1447">
          <cell r="A1447" t="str">
            <v>093601</v>
          </cell>
          <cell r="B1447">
            <v>733.22222199999999</v>
          </cell>
          <cell r="C1447">
            <v>869.00027699999998</v>
          </cell>
          <cell r="D1447">
            <v>1.8027210884353699</v>
          </cell>
          <cell r="E1447">
            <v>64.499741</v>
          </cell>
          <cell r="F1447">
            <v>1.11836734693877</v>
          </cell>
          <cell r="G1447">
            <v>136.62531899999999</v>
          </cell>
          <cell r="H1447">
            <v>0.45183175033921302</v>
          </cell>
          <cell r="I1447">
            <v>136.62531899999999</v>
          </cell>
          <cell r="J1447">
            <v>0.45183175033921302</v>
          </cell>
          <cell r="K1447">
            <v>731.12485200000003</v>
          </cell>
          <cell r="L1447">
            <v>2.7476255088195298</v>
          </cell>
          <cell r="M1447">
            <v>572.837177</v>
          </cell>
          <cell r="N1447">
            <v>2.5671641791044699</v>
          </cell>
          <cell r="O1447">
            <v>67.735532000000006</v>
          </cell>
          <cell r="P1447">
            <v>0.48299319727891099</v>
          </cell>
          <cell r="Q1447">
            <v>65.477029000000002</v>
          </cell>
          <cell r="R1447">
            <v>0.48163265306122399</v>
          </cell>
          <cell r="S1447">
            <v>407.91028899999998</v>
          </cell>
          <cell r="T1447">
            <v>2.1823204419889501</v>
          </cell>
          <cell r="U1447">
            <v>130.63798299999999</v>
          </cell>
          <cell r="V1447">
            <v>1.0635359116022001</v>
          </cell>
        </row>
        <row r="1448">
          <cell r="A1448" t="str">
            <v>093602</v>
          </cell>
          <cell r="B1448">
            <v>395</v>
          </cell>
          <cell r="C1448">
            <v>50.377833000000003</v>
          </cell>
          <cell r="D1448">
            <v>1.0075566750629701</v>
          </cell>
          <cell r="E1448">
            <v>50.377833000000003</v>
          </cell>
          <cell r="F1448">
            <v>1.0075566750629701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289.81064800000001</v>
          </cell>
          <cell r="L1448">
            <v>0.98737373737373701</v>
          </cell>
          <cell r="M1448">
            <v>289.81064800000001</v>
          </cell>
          <cell r="N1448">
            <v>0.98737373737373701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1.0058240000000001</v>
          </cell>
          <cell r="T1448">
            <v>5.1020408163265302E-3</v>
          </cell>
          <cell r="U1448">
            <v>1.0058240000000001</v>
          </cell>
          <cell r="V1448">
            <v>5.1020408163265302E-3</v>
          </cell>
        </row>
        <row r="1449">
          <cell r="A1449" t="str">
            <v>093603</v>
          </cell>
          <cell r="B1449">
            <v>456</v>
          </cell>
          <cell r="C1449">
            <v>825.74013600000001</v>
          </cell>
          <cell r="D1449">
            <v>1.88840262582056</v>
          </cell>
          <cell r="E1449">
            <v>89.222763</v>
          </cell>
          <cell r="F1449">
            <v>1.09628008752735</v>
          </cell>
          <cell r="G1449">
            <v>9.8484210000000001</v>
          </cell>
          <cell r="H1449">
            <v>0.23580786026200801</v>
          </cell>
          <cell r="I1449">
            <v>9.8484210000000001</v>
          </cell>
          <cell r="J1449">
            <v>0.23580786026200801</v>
          </cell>
          <cell r="K1449">
            <v>640.97419500000001</v>
          </cell>
          <cell r="L1449">
            <v>1.4342105263157801</v>
          </cell>
          <cell r="M1449">
            <v>331.58852300000001</v>
          </cell>
          <cell r="N1449">
            <v>1.3201754385964899</v>
          </cell>
          <cell r="O1449">
            <v>102.509794</v>
          </cell>
          <cell r="P1449">
            <v>0.12719298245614</v>
          </cell>
          <cell r="Q1449">
            <v>50.073866000000002</v>
          </cell>
          <cell r="R1449">
            <v>8.9912280701754305E-2</v>
          </cell>
          <cell r="S1449">
            <v>960.67933100000005</v>
          </cell>
          <cell r="T1449">
            <v>1.6718061674008799</v>
          </cell>
          <cell r="U1449">
            <v>541.36582199999998</v>
          </cell>
          <cell r="V1449">
            <v>1.1629955947136501</v>
          </cell>
        </row>
        <row r="1450">
          <cell r="A1450" t="str">
            <v>093801</v>
          </cell>
          <cell r="B1450">
            <v>2346</v>
          </cell>
          <cell r="C1450">
            <v>2768.3675979999998</v>
          </cell>
          <cell r="D1450">
            <v>1.1569620253164501</v>
          </cell>
          <cell r="E1450">
            <v>6.5484210000000003</v>
          </cell>
          <cell r="F1450">
            <v>6.5400843881856505E-2</v>
          </cell>
          <cell r="G1450">
            <v>181.522885</v>
          </cell>
          <cell r="H1450">
            <v>0.26576385950063403</v>
          </cell>
          <cell r="I1450">
            <v>14.313997000000001</v>
          </cell>
          <cell r="J1450">
            <v>0.12526449428692299</v>
          </cell>
          <cell r="K1450">
            <v>84.440084999999996</v>
          </cell>
          <cell r="L1450">
            <v>0.317776834959694</v>
          </cell>
          <cell r="M1450">
            <v>62.513469999999998</v>
          </cell>
          <cell r="N1450">
            <v>0.30844293593551098</v>
          </cell>
          <cell r="O1450">
            <v>40.891466000000001</v>
          </cell>
          <cell r="P1450">
            <v>0.429914529914529</v>
          </cell>
          <cell r="Q1450">
            <v>27.958532000000002</v>
          </cell>
          <cell r="R1450">
            <v>0.42136752136752098</v>
          </cell>
          <cell r="S1450">
            <v>22.997454999999999</v>
          </cell>
          <cell r="T1450">
            <v>5.0434782608695598E-2</v>
          </cell>
          <cell r="U1450">
            <v>11.966173</v>
          </cell>
          <cell r="V1450">
            <v>4.7391304347825999E-2</v>
          </cell>
        </row>
        <row r="1451">
          <cell r="A1451" t="str">
            <v>093802</v>
          </cell>
          <cell r="B1451">
            <v>1762.6</v>
          </cell>
          <cell r="C1451">
            <v>3605.150259</v>
          </cell>
          <cell r="D1451">
            <v>4.4983443708609201</v>
          </cell>
          <cell r="E1451">
            <v>68.210391000000001</v>
          </cell>
          <cell r="F1451">
            <v>0.34768211920529801</v>
          </cell>
          <cell r="G1451">
            <v>3218.8262580000001</v>
          </cell>
          <cell r="H1451">
            <v>5.5314253647586904</v>
          </cell>
          <cell r="I1451">
            <v>569.20373099999995</v>
          </cell>
          <cell r="J1451">
            <v>3.4023569023569</v>
          </cell>
          <cell r="K1451">
            <v>413.93381399999998</v>
          </cell>
          <cell r="L1451">
            <v>1.54730878186968</v>
          </cell>
          <cell r="M1451">
            <v>200.35307800000001</v>
          </cell>
          <cell r="N1451">
            <v>1.28101983002832</v>
          </cell>
          <cell r="O1451">
            <v>497.116015</v>
          </cell>
          <cell r="P1451">
            <v>2.6333333333333302</v>
          </cell>
          <cell r="Q1451">
            <v>336.07215500000001</v>
          </cell>
          <cell r="R1451">
            <v>2.4793103448275802</v>
          </cell>
          <cell r="S1451">
            <v>261.35712599999999</v>
          </cell>
          <cell r="T1451">
            <v>0.42007001166861102</v>
          </cell>
          <cell r="U1451">
            <v>63.963535</v>
          </cell>
          <cell r="V1451">
            <v>0.29813302217036097</v>
          </cell>
        </row>
        <row r="1452">
          <cell r="A1452" t="str">
            <v>093901</v>
          </cell>
          <cell r="B1452">
            <v>934.75</v>
          </cell>
          <cell r="C1452">
            <v>712.708935</v>
          </cell>
          <cell r="D1452">
            <v>2.5916844349680099</v>
          </cell>
          <cell r="E1452">
            <v>712.708935</v>
          </cell>
          <cell r="F1452">
            <v>2.5916844349680099</v>
          </cell>
          <cell r="G1452">
            <v>992.60848499999997</v>
          </cell>
          <cell r="H1452">
            <v>3.5965848452508</v>
          </cell>
          <cell r="I1452">
            <v>592.08954400000005</v>
          </cell>
          <cell r="J1452">
            <v>2.5923159018142998</v>
          </cell>
          <cell r="K1452">
            <v>420.25432599999999</v>
          </cell>
          <cell r="L1452">
            <v>2.53739316239316</v>
          </cell>
          <cell r="M1452">
            <v>302.02058399999999</v>
          </cell>
          <cell r="N1452">
            <v>2.1762820512820502</v>
          </cell>
          <cell r="O1452">
            <v>994.67514200000005</v>
          </cell>
          <cell r="P1452">
            <v>3.4291845493562199</v>
          </cell>
          <cell r="Q1452">
            <v>949.22612600000002</v>
          </cell>
          <cell r="R1452">
            <v>3.34871244635193</v>
          </cell>
          <cell r="S1452">
            <v>249.127634</v>
          </cell>
          <cell r="T1452">
            <v>1.7462365591397799</v>
          </cell>
          <cell r="U1452">
            <v>249.127634</v>
          </cell>
          <cell r="V1452">
            <v>1.7462365591397799</v>
          </cell>
        </row>
        <row r="1453">
          <cell r="A1453" t="str">
            <v>093902</v>
          </cell>
          <cell r="B1453">
            <v>1535.8</v>
          </cell>
          <cell r="C1453">
            <v>334.57038299999999</v>
          </cell>
          <cell r="D1453">
            <v>2.8248494800218902</v>
          </cell>
          <cell r="E1453">
            <v>334.159491</v>
          </cell>
          <cell r="F1453">
            <v>2.82101806239737</v>
          </cell>
          <cell r="G1453">
            <v>516.15972499999998</v>
          </cell>
          <cell r="H1453">
            <v>2.4916363636363599</v>
          </cell>
          <cell r="I1453">
            <v>504.08167700000001</v>
          </cell>
          <cell r="J1453">
            <v>2.44</v>
          </cell>
          <cell r="K1453">
            <v>1338.041369</v>
          </cell>
          <cell r="L1453">
            <v>1.4145454545454501</v>
          </cell>
          <cell r="M1453">
            <v>159.48746600000001</v>
          </cell>
          <cell r="N1453">
            <v>0.48218181818181799</v>
          </cell>
          <cell r="O1453">
            <v>1323.2417929999999</v>
          </cell>
          <cell r="P1453">
            <v>7.0175054704595103</v>
          </cell>
          <cell r="Q1453">
            <v>1323.0468510000001</v>
          </cell>
          <cell r="R1453">
            <v>7.0145878920495903</v>
          </cell>
          <cell r="S1453">
            <v>1391.616088</v>
          </cell>
          <cell r="T1453">
            <v>4.7134604274985499</v>
          </cell>
          <cell r="U1453">
            <v>1386.332678</v>
          </cell>
          <cell r="V1453">
            <v>4.7030618139803497</v>
          </cell>
        </row>
        <row r="1454">
          <cell r="A1454" t="str">
            <v>094601</v>
          </cell>
          <cell r="B1454">
            <v>6.5</v>
          </cell>
          <cell r="C1454">
            <v>252.04721599999999</v>
          </cell>
          <cell r="D1454">
            <v>1</v>
          </cell>
          <cell r="E1454">
            <v>252.04721599999999</v>
          </cell>
          <cell r="F1454">
            <v>1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232.66666599999999</v>
          </cell>
          <cell r="P1454">
            <v>1</v>
          </cell>
          <cell r="Q1454">
            <v>232.66666599999999</v>
          </cell>
          <cell r="R1454">
            <v>1</v>
          </cell>
          <cell r="S1454">
            <v>0</v>
          </cell>
          <cell r="T1454">
            <v>0</v>
          </cell>
          <cell r="U1454">
            <v>0</v>
          </cell>
          <cell r="V1454">
            <v>0</v>
          </cell>
        </row>
        <row r="1455">
          <cell r="A1455" t="str">
            <v>094602</v>
          </cell>
          <cell r="B1455">
            <v>1189.2</v>
          </cell>
          <cell r="C1455">
            <v>439.07272699999999</v>
          </cell>
          <cell r="D1455">
            <v>1.0521523178807899</v>
          </cell>
          <cell r="E1455">
            <v>191.13145</v>
          </cell>
          <cell r="F1455">
            <v>0.71026490066225101</v>
          </cell>
          <cell r="G1455">
            <v>296.46091999999999</v>
          </cell>
          <cell r="H1455">
            <v>1.5557404326123101</v>
          </cell>
          <cell r="I1455">
            <v>218.766333</v>
          </cell>
          <cell r="J1455">
            <v>1.2678868552412601</v>
          </cell>
          <cell r="K1455">
            <v>1118.1986119999999</v>
          </cell>
          <cell r="L1455">
            <v>2.4974789915966298</v>
          </cell>
          <cell r="M1455">
            <v>529.26226799999995</v>
          </cell>
          <cell r="N1455">
            <v>1.50504201680672</v>
          </cell>
          <cell r="O1455">
            <v>271.04450500000002</v>
          </cell>
          <cell r="P1455">
            <v>0.63389830508474498</v>
          </cell>
          <cell r="Q1455">
            <v>129.20289500000001</v>
          </cell>
          <cell r="R1455">
            <v>0.528813559322033</v>
          </cell>
          <cell r="S1455">
            <v>67.121026000000001</v>
          </cell>
          <cell r="T1455">
            <v>0.15523156089193799</v>
          </cell>
          <cell r="U1455">
            <v>15.441595</v>
          </cell>
          <cell r="V1455">
            <v>8.9193825042881605E-2</v>
          </cell>
        </row>
        <row r="1456">
          <cell r="A1456" t="str">
            <v>094801</v>
          </cell>
          <cell r="B1456">
            <v>1</v>
          </cell>
          <cell r="C1456">
            <v>0</v>
          </cell>
          <cell r="D1456">
            <v>0</v>
          </cell>
          <cell r="E1456">
            <v>0</v>
          </cell>
          <cell r="F1456">
            <v>0</v>
          </cell>
          <cell r="G1456">
            <v>0</v>
          </cell>
          <cell r="H1456">
            <v>0</v>
          </cell>
          <cell r="I1456">
            <v>0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90</v>
          </cell>
          <cell r="P1456">
            <v>1</v>
          </cell>
          <cell r="Q1456">
            <v>90</v>
          </cell>
          <cell r="R1456">
            <v>1</v>
          </cell>
          <cell r="S1456">
            <v>0</v>
          </cell>
          <cell r="T1456">
            <v>0</v>
          </cell>
          <cell r="U1456">
            <v>0</v>
          </cell>
          <cell r="V1456">
            <v>0</v>
          </cell>
        </row>
        <row r="1457">
          <cell r="A1457" t="str">
            <v>095201</v>
          </cell>
          <cell r="B1457">
            <v>751.2</v>
          </cell>
          <cell r="C1457">
            <v>1717.3856370000001</v>
          </cell>
          <cell r="D1457">
            <v>2.7360742705570198</v>
          </cell>
          <cell r="E1457">
            <v>265.69330300000001</v>
          </cell>
          <cell r="F1457">
            <v>1.7042440318302301</v>
          </cell>
          <cell r="G1457">
            <v>1420.1139619999999</v>
          </cell>
          <cell r="H1457">
            <v>5.3791281373844102</v>
          </cell>
          <cell r="I1457">
            <v>435.31433399999997</v>
          </cell>
          <cell r="J1457">
            <v>3.0541611624834801</v>
          </cell>
          <cell r="K1457">
            <v>134.10255599999999</v>
          </cell>
          <cell r="L1457">
            <v>0.365079365079365</v>
          </cell>
          <cell r="M1457">
            <v>26.054122</v>
          </cell>
          <cell r="N1457">
            <v>0.101851851851851</v>
          </cell>
          <cell r="O1457">
            <v>180.266954</v>
          </cell>
          <cell r="P1457">
            <v>2.23199999999999</v>
          </cell>
          <cell r="Q1457">
            <v>177.89748800000001</v>
          </cell>
          <cell r="R1457">
            <v>2.2293333333333298</v>
          </cell>
          <cell r="S1457">
            <v>3136.9093360000002</v>
          </cell>
          <cell r="T1457">
            <v>2.72395128552097</v>
          </cell>
          <cell r="U1457">
            <v>205.020478</v>
          </cell>
          <cell r="V1457">
            <v>1.7144790257104101</v>
          </cell>
        </row>
        <row r="1458">
          <cell r="A1458" t="str">
            <v>095202</v>
          </cell>
          <cell r="B1458">
            <v>628.79999999999995</v>
          </cell>
          <cell r="C1458">
            <v>4396.3574170000002</v>
          </cell>
          <cell r="D1458">
            <v>8.8342618384401099</v>
          </cell>
          <cell r="E1458">
            <v>1497.5297089999999</v>
          </cell>
          <cell r="F1458">
            <v>5.6657381615598803</v>
          </cell>
          <cell r="G1458">
            <v>2224.6656200000002</v>
          </cell>
          <cell r="H1458">
            <v>8.4560862865947595</v>
          </cell>
          <cell r="I1458">
            <v>1568.8874860000001</v>
          </cell>
          <cell r="J1458">
            <v>7.13713405238828</v>
          </cell>
          <cell r="K1458">
            <v>564.20590900000002</v>
          </cell>
          <cell r="L1458">
            <v>0.78655462184873903</v>
          </cell>
          <cell r="M1458">
            <v>53.067506000000002</v>
          </cell>
          <cell r="N1458">
            <v>0.435294117647058</v>
          </cell>
          <cell r="O1458">
            <v>715.18484699999999</v>
          </cell>
          <cell r="P1458">
            <v>3.3552188552188502</v>
          </cell>
          <cell r="Q1458">
            <v>285.13972999999999</v>
          </cell>
          <cell r="R1458">
            <v>3.0033670033669999</v>
          </cell>
          <cell r="S1458">
            <v>4838.4204920000002</v>
          </cell>
          <cell r="T1458">
            <v>4.8928571428571397</v>
          </cell>
          <cell r="U1458">
            <v>659.48024299999997</v>
          </cell>
          <cell r="V1458">
            <v>2.6156462585033999</v>
          </cell>
        </row>
        <row r="1459">
          <cell r="A1459" t="str">
            <v>095203</v>
          </cell>
          <cell r="B1459">
            <v>1277.333333</v>
          </cell>
          <cell r="C1459">
            <v>103.701594</v>
          </cell>
          <cell r="D1459">
            <v>1.3839732888146901</v>
          </cell>
          <cell r="E1459">
            <v>103.701594</v>
          </cell>
          <cell r="F1459">
            <v>1.3839732888146901</v>
          </cell>
          <cell r="G1459">
            <v>364.301016</v>
          </cell>
          <cell r="H1459">
            <v>2.4036334913112101</v>
          </cell>
          <cell r="I1459">
            <v>363.45937300000003</v>
          </cell>
          <cell r="J1459">
            <v>2.4020537124802499</v>
          </cell>
          <cell r="K1459">
            <v>1379.38112</v>
          </cell>
          <cell r="L1459">
            <v>4.6094584286803899</v>
          </cell>
          <cell r="M1459">
            <v>336.15608900000001</v>
          </cell>
          <cell r="N1459">
            <v>2.1731502669717702</v>
          </cell>
          <cell r="O1459">
            <v>904.90291999999999</v>
          </cell>
          <cell r="P1459">
            <v>4.4864864864864797</v>
          </cell>
          <cell r="Q1459">
            <v>442.50842899999998</v>
          </cell>
          <cell r="R1459">
            <v>3.3305019305019301</v>
          </cell>
          <cell r="S1459">
            <v>641.204881</v>
          </cell>
          <cell r="T1459">
            <v>2.3054032889584901</v>
          </cell>
          <cell r="U1459">
            <v>260.093435</v>
          </cell>
          <cell r="V1459">
            <v>1.6507439310884799</v>
          </cell>
        </row>
        <row r="1460">
          <cell r="A1460" t="str">
            <v>095301</v>
          </cell>
          <cell r="B1460">
            <v>1</v>
          </cell>
          <cell r="C1460">
            <v>0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80</v>
          </cell>
          <cell r="T1460">
            <v>1</v>
          </cell>
          <cell r="U1460">
            <v>80</v>
          </cell>
          <cell r="V1460">
            <v>1</v>
          </cell>
        </row>
        <row r="1461">
          <cell r="A1461" t="str">
            <v>095302</v>
          </cell>
          <cell r="B1461">
            <v>1067.4285709999999</v>
          </cell>
          <cell r="C1461">
            <v>7.9031070000000003</v>
          </cell>
          <cell r="D1461">
            <v>0.146976744186046</v>
          </cell>
          <cell r="E1461">
            <v>7.9031070000000003</v>
          </cell>
          <cell r="F1461">
            <v>0.146976744186046</v>
          </cell>
          <cell r="G1461">
            <v>16.614433999999999</v>
          </cell>
          <cell r="H1461">
            <v>0.22680412371134001</v>
          </cell>
          <cell r="I1461">
            <v>13.427962000000001</v>
          </cell>
          <cell r="J1461">
            <v>0.22305529522024301</v>
          </cell>
          <cell r="K1461">
            <v>15.999828000000001</v>
          </cell>
          <cell r="L1461">
            <v>9.7560975609756004E-2</v>
          </cell>
          <cell r="M1461">
            <v>15.999828000000001</v>
          </cell>
          <cell r="N1461">
            <v>9.7560975609756004E-2</v>
          </cell>
          <cell r="O1461">
            <v>69.004193000000001</v>
          </cell>
          <cell r="P1461">
            <v>0.26854460093896698</v>
          </cell>
          <cell r="Q1461">
            <v>68.390108999999995</v>
          </cell>
          <cell r="R1461">
            <v>0.26009389671361499</v>
          </cell>
          <cell r="S1461">
            <v>177.68783099999999</v>
          </cell>
          <cell r="T1461">
            <v>1.5285848172446099</v>
          </cell>
          <cell r="U1461">
            <v>177.68783099999999</v>
          </cell>
          <cell r="V1461">
            <v>1.5285848172446099</v>
          </cell>
        </row>
        <row r="1462">
          <cell r="A1462" t="str">
            <v>095304</v>
          </cell>
          <cell r="B1462">
            <v>395.83333299999998</v>
          </cell>
          <cell r="C1462">
            <v>21.454255</v>
          </cell>
          <cell r="D1462">
            <v>7.6315789473684198E-2</v>
          </cell>
          <cell r="E1462">
            <v>21.454255</v>
          </cell>
          <cell r="F1462">
            <v>7.6315789473684198E-2</v>
          </cell>
          <cell r="G1462">
            <v>3.1637379999999999</v>
          </cell>
          <cell r="H1462">
            <v>5.2631578947368403E-3</v>
          </cell>
          <cell r="I1462">
            <v>3.1637379999999999</v>
          </cell>
          <cell r="J1462">
            <v>5.2631578947368403E-3</v>
          </cell>
          <cell r="K1462">
            <v>36.978507999999998</v>
          </cell>
          <cell r="L1462">
            <v>0.107894736842105</v>
          </cell>
          <cell r="M1462">
            <v>36.978507999999998</v>
          </cell>
          <cell r="N1462">
            <v>0.107894736842105</v>
          </cell>
          <cell r="O1462">
            <v>123.67453999999999</v>
          </cell>
          <cell r="P1462">
            <v>0.535433070866141</v>
          </cell>
          <cell r="Q1462">
            <v>123.67453999999999</v>
          </cell>
          <cell r="R1462">
            <v>0.535433070866141</v>
          </cell>
          <cell r="S1462">
            <v>1425.6713500000001</v>
          </cell>
          <cell r="T1462">
            <v>2.33723653395784</v>
          </cell>
          <cell r="U1462">
            <v>108.56229500000001</v>
          </cell>
          <cell r="V1462">
            <v>1.29508196721311</v>
          </cell>
        </row>
        <row r="1463">
          <cell r="A1463" t="str">
            <v>095305</v>
          </cell>
          <cell r="B1463">
            <v>2908</v>
          </cell>
          <cell r="C1463">
            <v>268.67517299999997</v>
          </cell>
          <cell r="D1463">
            <v>1.44406431748203</v>
          </cell>
          <cell r="E1463">
            <v>268.67517299999997</v>
          </cell>
          <cell r="F1463">
            <v>1.44406431748203</v>
          </cell>
          <cell r="G1463">
            <v>28.364381999999999</v>
          </cell>
          <cell r="H1463">
            <v>0.27459016393442598</v>
          </cell>
          <cell r="I1463">
            <v>28.298166999999999</v>
          </cell>
          <cell r="J1463">
            <v>0.27424863387978099</v>
          </cell>
          <cell r="K1463">
            <v>36.388275</v>
          </cell>
          <cell r="L1463">
            <v>0.21797061838059401</v>
          </cell>
          <cell r="M1463">
            <v>36.388275</v>
          </cell>
          <cell r="N1463">
            <v>0.21797061838059401</v>
          </cell>
          <cell r="O1463">
            <v>175.66791499999999</v>
          </cell>
          <cell r="P1463">
            <v>1.2478603218076001</v>
          </cell>
          <cell r="Q1463">
            <v>149.30884900000001</v>
          </cell>
          <cell r="R1463">
            <v>1.23998630605956</v>
          </cell>
          <cell r="S1463">
            <v>91.019942999999998</v>
          </cell>
          <cell r="T1463">
            <v>0.284114765570328</v>
          </cell>
          <cell r="U1463">
            <v>87.191124000000002</v>
          </cell>
          <cell r="V1463">
            <v>0.28096571028691297</v>
          </cell>
        </row>
        <row r="1464">
          <cell r="A1464" t="str">
            <v>095401</v>
          </cell>
          <cell r="B1464">
            <v>172.42857100000001</v>
          </cell>
          <cell r="C1464">
            <v>194.484588</v>
          </cell>
          <cell r="D1464">
            <v>0.94374999999999998</v>
          </cell>
          <cell r="E1464">
            <v>194.484588</v>
          </cell>
          <cell r="F1464">
            <v>0.94374999999999998</v>
          </cell>
          <cell r="G1464">
            <v>976.74747600000001</v>
          </cell>
          <cell r="H1464">
            <v>2.5874999999999999</v>
          </cell>
          <cell r="I1464">
            <v>976.74747600000001</v>
          </cell>
          <cell r="J1464">
            <v>2.5874999999999999</v>
          </cell>
          <cell r="K1464">
            <v>1179.029978</v>
          </cell>
          <cell r="L1464">
            <v>4.0125786163521999</v>
          </cell>
          <cell r="M1464">
            <v>20.581026999999999</v>
          </cell>
          <cell r="N1464">
            <v>1</v>
          </cell>
          <cell r="O1464">
            <v>385.53001699999999</v>
          </cell>
          <cell r="P1464">
            <v>0.79032258064516103</v>
          </cell>
          <cell r="Q1464">
            <v>244.09964099999999</v>
          </cell>
          <cell r="R1464">
            <v>0.38709677419354799</v>
          </cell>
          <cell r="S1464">
            <v>13.979695</v>
          </cell>
          <cell r="T1464">
            <v>0.20304568527918701</v>
          </cell>
          <cell r="U1464">
            <v>13.979695</v>
          </cell>
          <cell r="V1464">
            <v>0.20304568527918701</v>
          </cell>
        </row>
        <row r="1465">
          <cell r="A1465" t="str">
            <v>095402</v>
          </cell>
          <cell r="B1465">
            <v>326.42857099999998</v>
          </cell>
          <cell r="C1465">
            <v>498.62038100000001</v>
          </cell>
          <cell r="D1465">
            <v>1.1268436578170999</v>
          </cell>
          <cell r="E1465">
            <v>498.62038100000001</v>
          </cell>
          <cell r="F1465">
            <v>1.1268436578170999</v>
          </cell>
          <cell r="G1465">
            <v>927.28308800000002</v>
          </cell>
          <cell r="H1465">
            <v>2.1205882352941101</v>
          </cell>
          <cell r="I1465">
            <v>927.28308800000002</v>
          </cell>
          <cell r="J1465">
            <v>2.1205882352941101</v>
          </cell>
          <cell r="K1465">
            <v>1800.4612239999999</v>
          </cell>
          <cell r="L1465">
            <v>4.9999999999999902</v>
          </cell>
          <cell r="M1465">
            <v>660.49931300000003</v>
          </cell>
          <cell r="N1465">
            <v>2.0029411764705798</v>
          </cell>
          <cell r="O1465">
            <v>322.31064900000001</v>
          </cell>
          <cell r="P1465">
            <v>1.37699680511182</v>
          </cell>
          <cell r="Q1465">
            <v>225.636368</v>
          </cell>
          <cell r="R1465">
            <v>0.91054313099041495</v>
          </cell>
          <cell r="S1465">
            <v>122.101777</v>
          </cell>
          <cell r="T1465">
            <v>0.76333333333333298</v>
          </cell>
          <cell r="U1465">
            <v>122.101777</v>
          </cell>
          <cell r="V1465">
            <v>0.76333333333333298</v>
          </cell>
        </row>
        <row r="1466">
          <cell r="A1466" t="str">
            <v>096101</v>
          </cell>
          <cell r="B1466">
            <v>1</v>
          </cell>
          <cell r="C1466">
            <v>0</v>
          </cell>
          <cell r="D1466">
            <v>0</v>
          </cell>
          <cell r="E1466">
            <v>0</v>
          </cell>
          <cell r="F1466">
            <v>0</v>
          </cell>
          <cell r="G1466">
            <v>28</v>
          </cell>
          <cell r="H1466">
            <v>1</v>
          </cell>
          <cell r="I1466">
            <v>28</v>
          </cell>
          <cell r="J1466">
            <v>1</v>
          </cell>
          <cell r="K1466">
            <v>99.65</v>
          </cell>
          <cell r="L1466">
            <v>1</v>
          </cell>
          <cell r="M1466">
            <v>99.65</v>
          </cell>
          <cell r="N1466">
            <v>1</v>
          </cell>
          <cell r="O1466">
            <v>63</v>
          </cell>
          <cell r="P1466">
            <v>1</v>
          </cell>
          <cell r="Q1466">
            <v>63</v>
          </cell>
          <cell r="R1466">
            <v>1</v>
          </cell>
          <cell r="S1466">
            <v>0</v>
          </cell>
          <cell r="T1466">
            <v>0</v>
          </cell>
          <cell r="U1466">
            <v>0</v>
          </cell>
          <cell r="V1466">
            <v>0</v>
          </cell>
        </row>
        <row r="1467">
          <cell r="A1467" t="str">
            <v>096201</v>
          </cell>
          <cell r="B1467">
            <v>510.33333299999998</v>
          </cell>
          <cell r="C1467">
            <v>14.258103999999999</v>
          </cell>
          <cell r="D1467">
            <v>4.2801556420233401E-2</v>
          </cell>
          <cell r="E1467">
            <v>14.258103999999999</v>
          </cell>
          <cell r="F1467">
            <v>4.2801556420233401E-2</v>
          </cell>
          <cell r="G1467">
            <v>33.436754000000001</v>
          </cell>
          <cell r="H1467">
            <v>0.107212475633528</v>
          </cell>
          <cell r="I1467">
            <v>33.436754000000001</v>
          </cell>
          <cell r="J1467">
            <v>0.107212475633528</v>
          </cell>
          <cell r="K1467">
            <v>191.45703</v>
          </cell>
          <cell r="L1467">
            <v>0.171875</v>
          </cell>
          <cell r="M1467">
            <v>43.366438000000002</v>
          </cell>
          <cell r="N1467">
            <v>6.0546875E-2</v>
          </cell>
          <cell r="O1467">
            <v>2.6436069999999998</v>
          </cell>
          <cell r="P1467">
            <v>1.3698630136986301E-2</v>
          </cell>
          <cell r="Q1467">
            <v>2.6436069999999998</v>
          </cell>
          <cell r="R1467">
            <v>1.3698630136986301E-2</v>
          </cell>
          <cell r="S1467">
            <v>72.419398999999999</v>
          </cell>
          <cell r="T1467">
            <v>0.192</v>
          </cell>
          <cell r="U1467">
            <v>72.419398999999999</v>
          </cell>
          <cell r="V1467">
            <v>0.192</v>
          </cell>
        </row>
        <row r="1468">
          <cell r="A1468" t="str">
            <v>096202</v>
          </cell>
          <cell r="B1468">
            <v>861</v>
          </cell>
          <cell r="C1468">
            <v>67.783410000000003</v>
          </cell>
          <cell r="D1468">
            <v>0.44161849710982598</v>
          </cell>
          <cell r="E1468">
            <v>67.783410000000003</v>
          </cell>
          <cell r="F1468">
            <v>0.44161849710982598</v>
          </cell>
          <cell r="G1468">
            <v>414.695898</v>
          </cell>
          <cell r="H1468">
            <v>1.97800925925925</v>
          </cell>
          <cell r="I1468">
            <v>136.52164300000001</v>
          </cell>
          <cell r="J1468">
            <v>0.77662037037037002</v>
          </cell>
          <cell r="K1468">
            <v>244.55296999999999</v>
          </cell>
          <cell r="L1468">
            <v>0.97337962962962898</v>
          </cell>
          <cell r="M1468">
            <v>148.79675900000001</v>
          </cell>
          <cell r="N1468">
            <v>0.82407407407407396</v>
          </cell>
          <cell r="O1468">
            <v>84.894598999999999</v>
          </cell>
          <cell r="P1468">
            <v>0.26945412311265898</v>
          </cell>
          <cell r="Q1468">
            <v>84.894598999999999</v>
          </cell>
          <cell r="R1468">
            <v>0.26945412311265898</v>
          </cell>
          <cell r="S1468">
            <v>50.202812000000002</v>
          </cell>
          <cell r="T1468">
            <v>0.56858147713950702</v>
          </cell>
          <cell r="U1468">
            <v>50.099373999999997</v>
          </cell>
          <cell r="V1468">
            <v>0.56740914419695099</v>
          </cell>
        </row>
        <row r="1469">
          <cell r="A1469" t="str">
            <v>096301</v>
          </cell>
          <cell r="B1469">
            <v>1</v>
          </cell>
          <cell r="C1469">
            <v>0</v>
          </cell>
          <cell r="D1469">
            <v>0</v>
          </cell>
          <cell r="E1469">
            <v>0</v>
          </cell>
          <cell r="F1469">
            <v>0</v>
          </cell>
          <cell r="G1469">
            <v>0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0</v>
          </cell>
          <cell r="R1469">
            <v>0</v>
          </cell>
          <cell r="S1469">
            <v>415.183333</v>
          </cell>
          <cell r="T1469">
            <v>2</v>
          </cell>
          <cell r="U1469">
            <v>415.183333</v>
          </cell>
          <cell r="V1469">
            <v>2</v>
          </cell>
        </row>
        <row r="1470">
          <cell r="A1470" t="str">
            <v>096401</v>
          </cell>
          <cell r="B1470">
            <v>1</v>
          </cell>
          <cell r="C1470">
            <v>0</v>
          </cell>
          <cell r="D1470">
            <v>0</v>
          </cell>
          <cell r="E1470">
            <v>0</v>
          </cell>
          <cell r="F1470">
            <v>0</v>
          </cell>
          <cell r="G1470">
            <v>0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360.33333299999998</v>
          </cell>
          <cell r="P1470">
            <v>1</v>
          </cell>
          <cell r="Q1470">
            <v>0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  <cell r="V1470">
            <v>0</v>
          </cell>
        </row>
        <row r="1471">
          <cell r="A1471" t="str">
            <v>096601</v>
          </cell>
          <cell r="B1471">
            <v>1</v>
          </cell>
          <cell r="C1471">
            <v>0</v>
          </cell>
          <cell r="D1471">
            <v>0</v>
          </cell>
          <cell r="E1471">
            <v>0</v>
          </cell>
          <cell r="F1471">
            <v>0</v>
          </cell>
          <cell r="G1471">
            <v>47</v>
          </cell>
          <cell r="H1471">
            <v>1</v>
          </cell>
          <cell r="I1471">
            <v>47</v>
          </cell>
          <cell r="J1471">
            <v>1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  <cell r="Q1471">
            <v>0</v>
          </cell>
          <cell r="R1471">
            <v>0</v>
          </cell>
          <cell r="S1471">
            <v>0</v>
          </cell>
          <cell r="T1471">
            <v>0</v>
          </cell>
          <cell r="U1471">
            <v>0</v>
          </cell>
          <cell r="V1471">
            <v>0</v>
          </cell>
        </row>
        <row r="1472">
          <cell r="A1472" t="str">
            <v>096604</v>
          </cell>
          <cell r="B1472">
            <v>1</v>
          </cell>
          <cell r="C1472">
            <v>762.98926700000004</v>
          </cell>
          <cell r="D1472">
            <v>1</v>
          </cell>
          <cell r="E1472">
            <v>762.98926700000004</v>
          </cell>
          <cell r="F1472">
            <v>1</v>
          </cell>
          <cell r="G1472">
            <v>0</v>
          </cell>
          <cell r="H1472">
            <v>0</v>
          </cell>
          <cell r="I1472">
            <v>0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>
            <v>0</v>
          </cell>
          <cell r="S1472">
            <v>0</v>
          </cell>
          <cell r="T1472">
            <v>0</v>
          </cell>
          <cell r="U1472">
            <v>0</v>
          </cell>
          <cell r="V1472">
            <v>0</v>
          </cell>
        </row>
        <row r="1473">
          <cell r="A1473" t="str">
            <v>096701</v>
          </cell>
          <cell r="B1473">
            <v>3</v>
          </cell>
          <cell r="C1473">
            <v>149.98891599999999</v>
          </cell>
          <cell r="D1473">
            <v>1</v>
          </cell>
          <cell r="E1473">
            <v>149.98891599999999</v>
          </cell>
          <cell r="F1473">
            <v>1</v>
          </cell>
          <cell r="G1473">
            <v>461.08225499999998</v>
          </cell>
          <cell r="H1473">
            <v>1.6666666666666601</v>
          </cell>
          <cell r="I1473">
            <v>461.08225499999998</v>
          </cell>
          <cell r="J1473">
            <v>1.6666666666666601</v>
          </cell>
          <cell r="K1473">
            <v>278.63888800000001</v>
          </cell>
          <cell r="L1473">
            <v>1.6666666666666601</v>
          </cell>
          <cell r="M1473">
            <v>119.93888800000001</v>
          </cell>
          <cell r="N1473">
            <v>0.66666666666666596</v>
          </cell>
          <cell r="O1473">
            <v>2574.833333</v>
          </cell>
          <cell r="P1473">
            <v>2</v>
          </cell>
          <cell r="Q1473">
            <v>0</v>
          </cell>
          <cell r="R1473">
            <v>0</v>
          </cell>
          <cell r="S1473">
            <v>1869.0222220000001</v>
          </cell>
          <cell r="T1473">
            <v>1.3333333333333299</v>
          </cell>
          <cell r="U1473">
            <v>0</v>
          </cell>
          <cell r="V1473">
            <v>0</v>
          </cell>
        </row>
        <row r="1474">
          <cell r="A1474" t="str">
            <v>096801</v>
          </cell>
          <cell r="B1474">
            <v>1</v>
          </cell>
          <cell r="C1474">
            <v>0</v>
          </cell>
          <cell r="D1474">
            <v>0</v>
          </cell>
          <cell r="E1474">
            <v>0</v>
          </cell>
          <cell r="F1474">
            <v>0</v>
          </cell>
          <cell r="G1474">
            <v>321</v>
          </cell>
          <cell r="H1474">
            <v>1</v>
          </cell>
          <cell r="I1474">
            <v>321</v>
          </cell>
          <cell r="J1474">
            <v>1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0</v>
          </cell>
          <cell r="S1474">
            <v>434.88333299999999</v>
          </cell>
          <cell r="T1474">
            <v>1</v>
          </cell>
          <cell r="U1474">
            <v>434.88333299999999</v>
          </cell>
          <cell r="V1474">
            <v>1</v>
          </cell>
        </row>
        <row r="1475">
          <cell r="A1475" t="str">
            <v>097201</v>
          </cell>
          <cell r="B1475">
            <v>829.125</v>
          </cell>
          <cell r="C1475">
            <v>34.892465000000001</v>
          </cell>
          <cell r="D1475">
            <v>0.65047393364928896</v>
          </cell>
          <cell r="E1475">
            <v>34.892465000000001</v>
          </cell>
          <cell r="F1475">
            <v>0.65047393364928896</v>
          </cell>
          <cell r="G1475">
            <v>16.604669999999999</v>
          </cell>
          <cell r="H1475">
            <v>6.9597069597069502E-2</v>
          </cell>
          <cell r="I1475">
            <v>4.6682949999999996</v>
          </cell>
          <cell r="J1475">
            <v>5.37240537240537E-2</v>
          </cell>
          <cell r="K1475">
            <v>112.095955</v>
          </cell>
          <cell r="L1475">
            <v>0.26951219512195101</v>
          </cell>
          <cell r="M1475">
            <v>12.790324999999999</v>
          </cell>
          <cell r="N1475">
            <v>0.22195121951219501</v>
          </cell>
          <cell r="O1475">
            <v>16.074179000000001</v>
          </cell>
          <cell r="P1475">
            <v>9.4775212636695E-2</v>
          </cell>
          <cell r="Q1475">
            <v>16.074179000000001</v>
          </cell>
          <cell r="R1475">
            <v>9.4775212636695E-2</v>
          </cell>
          <cell r="S1475">
            <v>26.032385000000001</v>
          </cell>
          <cell r="T1475">
            <v>9.7156398104265407E-2</v>
          </cell>
          <cell r="U1475">
            <v>21.633648999999998</v>
          </cell>
          <cell r="V1475">
            <v>9.2417061611374404E-2</v>
          </cell>
        </row>
        <row r="1476">
          <cell r="A1476" t="str">
            <v>097202</v>
          </cell>
          <cell r="B1476">
            <v>1345.777777</v>
          </cell>
          <cell r="C1476">
            <v>106.564339</v>
          </cell>
          <cell r="D1476">
            <v>0.216395864106351</v>
          </cell>
          <cell r="E1476">
            <v>106.564339</v>
          </cell>
          <cell r="F1476">
            <v>0.216395864106351</v>
          </cell>
          <cell r="G1476">
            <v>101.31630699999999</v>
          </cell>
          <cell r="H1476">
            <v>0.75887573964497002</v>
          </cell>
          <cell r="I1476">
            <v>99.017250000000004</v>
          </cell>
          <cell r="J1476">
            <v>0.75295857988165604</v>
          </cell>
          <cell r="K1476">
            <v>61.187759999999997</v>
          </cell>
          <cell r="L1476">
            <v>0.20671641791044701</v>
          </cell>
          <cell r="M1476">
            <v>24.617425000000001</v>
          </cell>
          <cell r="N1476">
            <v>0.194776119402985</v>
          </cell>
          <cell r="O1476">
            <v>396.61963300000002</v>
          </cell>
          <cell r="P1476">
            <v>1.1570680628272201</v>
          </cell>
          <cell r="Q1476">
            <v>130.81798800000001</v>
          </cell>
          <cell r="R1476">
            <v>0.73747195213163697</v>
          </cell>
          <cell r="S1476">
            <v>414.33024599999999</v>
          </cell>
          <cell r="T1476">
            <v>0.56148148148148103</v>
          </cell>
          <cell r="U1476">
            <v>70.621443999999997</v>
          </cell>
          <cell r="V1476">
            <v>0.37037037037037002</v>
          </cell>
        </row>
        <row r="1477">
          <cell r="A1477" t="str">
            <v>097301</v>
          </cell>
          <cell r="B1477">
            <v>748.4</v>
          </cell>
          <cell r="C1477">
            <v>84.791814000000002</v>
          </cell>
          <cell r="D1477">
            <v>0.45695364238410502</v>
          </cell>
          <cell r="E1477">
            <v>55.807402000000003</v>
          </cell>
          <cell r="F1477">
            <v>0.31523178807947</v>
          </cell>
          <cell r="G1477">
            <v>86.234776999999994</v>
          </cell>
          <cell r="H1477">
            <v>0.45744680851063801</v>
          </cell>
          <cell r="I1477">
            <v>56.077848000000003</v>
          </cell>
          <cell r="J1477">
            <v>0.38563829787234</v>
          </cell>
          <cell r="K1477">
            <v>125.454255</v>
          </cell>
          <cell r="L1477">
            <v>0.38368983957219199</v>
          </cell>
          <cell r="M1477">
            <v>55.773975</v>
          </cell>
          <cell r="N1477">
            <v>0.30481283422459798</v>
          </cell>
          <cell r="O1477">
            <v>101.315414</v>
          </cell>
          <cell r="P1477">
            <v>1.18498659517426</v>
          </cell>
          <cell r="Q1477">
            <v>85.296312999999998</v>
          </cell>
          <cell r="R1477">
            <v>1.1300268096514701</v>
          </cell>
          <cell r="S1477">
            <v>94.339967999999999</v>
          </cell>
          <cell r="T1477">
            <v>0.492577597840755</v>
          </cell>
          <cell r="U1477">
            <v>65.194107000000002</v>
          </cell>
          <cell r="V1477">
            <v>0.42105263157894701</v>
          </cell>
        </row>
        <row r="1478">
          <cell r="A1478" t="str">
            <v>097302</v>
          </cell>
          <cell r="B1478">
            <v>1434</v>
          </cell>
          <cell r="C1478">
            <v>1064.506842</v>
          </cell>
          <cell r="D1478">
            <v>2.2452961672473801</v>
          </cell>
          <cell r="E1478">
            <v>600.537961</v>
          </cell>
          <cell r="F1478">
            <v>1.9177700348432001</v>
          </cell>
          <cell r="G1478">
            <v>119.24952999999999</v>
          </cell>
          <cell r="H1478">
            <v>0.23574408901251701</v>
          </cell>
          <cell r="I1478">
            <v>20.712309999999999</v>
          </cell>
          <cell r="J1478">
            <v>0.15994436717663399</v>
          </cell>
          <cell r="K1478">
            <v>534.29032199999995</v>
          </cell>
          <cell r="L1478">
            <v>1.9867872044506201</v>
          </cell>
          <cell r="M1478">
            <v>297.32140700000002</v>
          </cell>
          <cell r="N1478">
            <v>1.5368567454798301</v>
          </cell>
          <cell r="O1478">
            <v>111.011071</v>
          </cell>
          <cell r="P1478">
            <v>0.26168876482902997</v>
          </cell>
          <cell r="Q1478">
            <v>23.472877</v>
          </cell>
          <cell r="R1478">
            <v>0.19050942079553301</v>
          </cell>
          <cell r="S1478">
            <v>230.92065099999999</v>
          </cell>
          <cell r="T1478">
            <v>1.7054698457223001</v>
          </cell>
          <cell r="U1478">
            <v>203.80738600000001</v>
          </cell>
          <cell r="V1478">
            <v>1.5764375876577801</v>
          </cell>
        </row>
        <row r="1479">
          <cell r="A1479" t="str">
            <v>097701</v>
          </cell>
          <cell r="B1479">
            <v>763.88888799999995</v>
          </cell>
          <cell r="C1479">
            <v>1538.477466</v>
          </cell>
          <cell r="D1479">
            <v>2.21428571428571</v>
          </cell>
          <cell r="E1479">
            <v>127.320155</v>
          </cell>
          <cell r="F1479">
            <v>0.97991071428571397</v>
          </cell>
          <cell r="G1479">
            <v>81.010642000000004</v>
          </cell>
          <cell r="H1479">
            <v>0.64424173318129896</v>
          </cell>
          <cell r="I1479">
            <v>81.010642000000004</v>
          </cell>
          <cell r="J1479">
            <v>0.64424173318129896</v>
          </cell>
          <cell r="K1479">
            <v>146.45782199999999</v>
          </cell>
          <cell r="L1479">
            <v>1.10362047440699</v>
          </cell>
          <cell r="M1479">
            <v>74.931230999999997</v>
          </cell>
          <cell r="N1479">
            <v>0.96129837702871401</v>
          </cell>
          <cell r="O1479">
            <v>381.48582299999998</v>
          </cell>
          <cell r="P1479">
            <v>2.0816091954022902</v>
          </cell>
          <cell r="Q1479">
            <v>168.68026800000001</v>
          </cell>
          <cell r="R1479">
            <v>0.97356321839080395</v>
          </cell>
          <cell r="S1479">
            <v>523.93032100000005</v>
          </cell>
          <cell r="T1479">
            <v>2.9988636363636298</v>
          </cell>
          <cell r="U1479">
            <v>434.40195</v>
          </cell>
          <cell r="V1479">
            <v>1.9375</v>
          </cell>
        </row>
        <row r="1480">
          <cell r="A1480" t="str">
            <v>097702</v>
          </cell>
          <cell r="B1480">
            <v>1450.4</v>
          </cell>
          <cell r="C1480">
            <v>1335.357436</v>
          </cell>
          <cell r="D1480">
            <v>1.1977911646586299</v>
          </cell>
          <cell r="E1480">
            <v>25.016748</v>
          </cell>
          <cell r="F1480">
            <v>0.22690763052208801</v>
          </cell>
          <cell r="G1480">
            <v>105.24243300000001</v>
          </cell>
          <cell r="H1480">
            <v>1.2056194125159601</v>
          </cell>
          <cell r="I1480">
            <v>94.138474000000002</v>
          </cell>
          <cell r="J1480">
            <v>1.1392081736909301</v>
          </cell>
          <cell r="K1480">
            <v>117.91323800000001</v>
          </cell>
          <cell r="L1480">
            <v>0.62324393358876096</v>
          </cell>
          <cell r="M1480">
            <v>35.595114000000002</v>
          </cell>
          <cell r="N1480">
            <v>0.35759897828863302</v>
          </cell>
          <cell r="O1480">
            <v>89.406638000000001</v>
          </cell>
          <cell r="P1480">
            <v>0.501918158567774</v>
          </cell>
          <cell r="Q1480">
            <v>86.536305999999996</v>
          </cell>
          <cell r="R1480">
            <v>0.48657289002557502</v>
          </cell>
          <cell r="S1480">
            <v>1523.2693790000001</v>
          </cell>
          <cell r="T1480">
            <v>3.7282051282051198</v>
          </cell>
          <cell r="U1480">
            <v>758.08072600000003</v>
          </cell>
          <cell r="V1480">
            <v>2.5711538461538401</v>
          </cell>
        </row>
        <row r="1481">
          <cell r="A1481" t="str">
            <v>098101</v>
          </cell>
          <cell r="B1481">
            <v>1</v>
          </cell>
          <cell r="C1481">
            <v>0</v>
          </cell>
          <cell r="D1481">
            <v>0</v>
          </cell>
          <cell r="E1481">
            <v>0</v>
          </cell>
          <cell r="F1481">
            <v>0</v>
          </cell>
          <cell r="G1481">
            <v>0</v>
          </cell>
          <cell r="H1481">
            <v>0</v>
          </cell>
          <cell r="I1481">
            <v>0</v>
          </cell>
          <cell r="J1481">
            <v>0</v>
          </cell>
          <cell r="K1481">
            <v>318.61666600000001</v>
          </cell>
          <cell r="L1481">
            <v>1</v>
          </cell>
          <cell r="M1481">
            <v>318.61666600000001</v>
          </cell>
          <cell r="N1481">
            <v>1</v>
          </cell>
          <cell r="O1481">
            <v>189</v>
          </cell>
          <cell r="P1481">
            <v>2</v>
          </cell>
          <cell r="Q1481">
            <v>182</v>
          </cell>
          <cell r="R1481">
            <v>1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</row>
        <row r="1482">
          <cell r="A1482" t="str">
            <v>098201</v>
          </cell>
          <cell r="B1482">
            <v>1443</v>
          </cell>
          <cell r="C1482">
            <v>1295.256564</v>
          </cell>
          <cell r="D1482">
            <v>1.30298913043478</v>
          </cell>
          <cell r="E1482">
            <v>29.088746</v>
          </cell>
          <cell r="F1482">
            <v>0.28328804347825998</v>
          </cell>
          <cell r="G1482">
            <v>272.373088</v>
          </cell>
          <cell r="H1482">
            <v>2.50964187327823</v>
          </cell>
          <cell r="I1482">
            <v>271.49021399999998</v>
          </cell>
          <cell r="J1482">
            <v>2.5089531680440702</v>
          </cell>
          <cell r="K1482">
            <v>96.626692000000006</v>
          </cell>
          <cell r="L1482">
            <v>1.3240611961057001</v>
          </cell>
          <cell r="M1482">
            <v>95.315948000000006</v>
          </cell>
          <cell r="N1482">
            <v>1.31849791376912</v>
          </cell>
          <cell r="O1482">
            <v>317.24928799999998</v>
          </cell>
          <cell r="P1482">
            <v>1.0440867739677999</v>
          </cell>
          <cell r="Q1482">
            <v>314.59624400000001</v>
          </cell>
          <cell r="R1482">
            <v>1.04338698390482</v>
          </cell>
          <cell r="S1482">
            <v>2290.610357</v>
          </cell>
          <cell r="T1482">
            <v>3.04564606741573</v>
          </cell>
          <cell r="U1482">
            <v>21.379377000000002</v>
          </cell>
          <cell r="V1482">
            <v>6.3202247191011196E-2</v>
          </cell>
        </row>
        <row r="1483">
          <cell r="A1483" t="str">
            <v>098202</v>
          </cell>
          <cell r="B1483">
            <v>746.5</v>
          </cell>
          <cell r="C1483">
            <v>1326.0669780000001</v>
          </cell>
          <cell r="D1483">
            <v>1.15641711229946</v>
          </cell>
          <cell r="E1483">
            <v>18.010286000000001</v>
          </cell>
          <cell r="F1483">
            <v>0.15106951871657701</v>
          </cell>
          <cell r="G1483">
            <v>466.196347</v>
          </cell>
          <cell r="H1483">
            <v>0.90629183400267699</v>
          </cell>
          <cell r="I1483">
            <v>1.4030560000000001</v>
          </cell>
          <cell r="J1483">
            <v>5.3547523427041402E-3</v>
          </cell>
          <cell r="K1483">
            <v>55.969785999999999</v>
          </cell>
          <cell r="L1483">
            <v>1.09893048128342</v>
          </cell>
          <cell r="M1483">
            <v>55.969785999999999</v>
          </cell>
          <cell r="N1483">
            <v>1.09893048128342</v>
          </cell>
          <cell r="O1483">
            <v>100.172281</v>
          </cell>
          <cell r="P1483">
            <v>1.7807486631016001</v>
          </cell>
          <cell r="Q1483">
            <v>100.172281</v>
          </cell>
          <cell r="R1483">
            <v>1.7807486631016001</v>
          </cell>
          <cell r="S1483">
            <v>1529.4790479999999</v>
          </cell>
          <cell r="T1483">
            <v>5.3660834454912498</v>
          </cell>
          <cell r="U1483">
            <v>166.80995899999999</v>
          </cell>
          <cell r="V1483">
            <v>2.0094212651413099</v>
          </cell>
        </row>
        <row r="1484">
          <cell r="A1484" t="str">
            <v>098203</v>
          </cell>
          <cell r="B1484">
            <v>428.33333299999998</v>
          </cell>
          <cell r="C1484">
            <v>1061.9703529999999</v>
          </cell>
          <cell r="D1484">
            <v>1.2765486725663699</v>
          </cell>
          <cell r="E1484">
            <v>83.663265999999993</v>
          </cell>
          <cell r="F1484">
            <v>0.38938053097345099</v>
          </cell>
          <cell r="G1484">
            <v>735.85776999999996</v>
          </cell>
          <cell r="H1484">
            <v>1.26327433628318</v>
          </cell>
          <cell r="I1484">
            <v>721.97288200000003</v>
          </cell>
          <cell r="J1484">
            <v>1.25</v>
          </cell>
          <cell r="K1484">
            <v>91.979785000000007</v>
          </cell>
          <cell r="L1484">
            <v>1.0487804878048701</v>
          </cell>
          <cell r="M1484">
            <v>91.979785000000007</v>
          </cell>
          <cell r="N1484">
            <v>1.0487804878048701</v>
          </cell>
          <cell r="O1484">
            <v>80.297094000000001</v>
          </cell>
          <cell r="P1484">
            <v>1.1077981651376101</v>
          </cell>
          <cell r="Q1484">
            <v>79.798317999999995</v>
          </cell>
          <cell r="R1484">
            <v>1.1055045871559599</v>
          </cell>
          <cell r="S1484">
            <v>4197.6022089999997</v>
          </cell>
          <cell r="T1484">
            <v>3.3812154696132501</v>
          </cell>
          <cell r="U1484">
            <v>108.360911</v>
          </cell>
          <cell r="V1484">
            <v>0.30939226519336999</v>
          </cell>
        </row>
        <row r="1485">
          <cell r="A1485" t="str">
            <v>098204</v>
          </cell>
          <cell r="B1485">
            <v>631</v>
          </cell>
          <cell r="C1485">
            <v>1186.0853830000001</v>
          </cell>
          <cell r="D1485">
            <v>1.95447409733124</v>
          </cell>
          <cell r="E1485">
            <v>118.86272599999999</v>
          </cell>
          <cell r="F1485">
            <v>1.0973312401883799</v>
          </cell>
          <cell r="G1485">
            <v>240.26500100000001</v>
          </cell>
          <cell r="H1485">
            <v>1.5781990521327001</v>
          </cell>
          <cell r="I1485">
            <v>217.72257099999999</v>
          </cell>
          <cell r="J1485">
            <v>1.5355450236966799</v>
          </cell>
          <cell r="K1485">
            <v>607.75065900000004</v>
          </cell>
          <cell r="L1485">
            <v>1.8526148969889</v>
          </cell>
          <cell r="M1485">
            <v>436.29772800000001</v>
          </cell>
          <cell r="N1485">
            <v>1.79714738510301</v>
          </cell>
          <cell r="O1485">
            <v>1897.569293</v>
          </cell>
          <cell r="P1485">
            <v>2.8343949044585899</v>
          </cell>
          <cell r="Q1485">
            <v>150.44569999999999</v>
          </cell>
          <cell r="R1485">
            <v>1.3121019108280201</v>
          </cell>
          <cell r="S1485">
            <v>5407.0355950000003</v>
          </cell>
          <cell r="T1485">
            <v>7.0335463258785902</v>
          </cell>
          <cell r="U1485">
            <v>474.08753899999999</v>
          </cell>
          <cell r="V1485">
            <v>1.5814696485623001</v>
          </cell>
        </row>
        <row r="1486">
          <cell r="A1486" t="str">
            <v>098205</v>
          </cell>
          <cell r="B1486">
            <v>53</v>
          </cell>
          <cell r="C1486">
            <v>1304.390629</v>
          </cell>
          <cell r="D1486">
            <v>0.999999999999999</v>
          </cell>
          <cell r="E1486">
            <v>32.288876999999999</v>
          </cell>
          <cell r="F1486">
            <v>3.7735849056603703E-2</v>
          </cell>
          <cell r="G1486">
            <v>0</v>
          </cell>
          <cell r="H1486">
            <v>0</v>
          </cell>
          <cell r="I1486">
            <v>0</v>
          </cell>
          <cell r="J1486">
            <v>0</v>
          </cell>
          <cell r="K1486">
            <v>91.642138000000003</v>
          </cell>
          <cell r="L1486">
            <v>1.0188679245283001</v>
          </cell>
          <cell r="M1486">
            <v>91.642138000000003</v>
          </cell>
          <cell r="N1486">
            <v>1.0188679245283001</v>
          </cell>
          <cell r="O1486">
            <v>57.973584000000002</v>
          </cell>
          <cell r="P1486">
            <v>0.96226415094339601</v>
          </cell>
          <cell r="Q1486">
            <v>57.973584000000002</v>
          </cell>
          <cell r="R1486">
            <v>0.96226415094339601</v>
          </cell>
          <cell r="S1486">
            <v>1580.8474839999999</v>
          </cell>
          <cell r="T1486">
            <v>1.2264150943396199</v>
          </cell>
          <cell r="U1486">
            <v>212.447484</v>
          </cell>
          <cell r="V1486">
            <v>0.22641509433962201</v>
          </cell>
        </row>
        <row r="1487">
          <cell r="A1487" t="str">
            <v>098301</v>
          </cell>
          <cell r="B1487">
            <v>1407</v>
          </cell>
          <cell r="C1487">
            <v>148.30186800000001</v>
          </cell>
          <cell r="D1487">
            <v>0.73309859154929502</v>
          </cell>
          <cell r="E1487">
            <v>147.85750999999999</v>
          </cell>
          <cell r="F1487">
            <v>0.73169014084507</v>
          </cell>
          <cell r="G1487">
            <v>395.72052300000001</v>
          </cell>
          <cell r="H1487">
            <v>0.90283687943262403</v>
          </cell>
          <cell r="I1487">
            <v>373.84072700000002</v>
          </cell>
          <cell r="J1487">
            <v>0.78085106382978697</v>
          </cell>
          <cell r="K1487">
            <v>372.82186300000001</v>
          </cell>
          <cell r="L1487">
            <v>2.6669029057406002</v>
          </cell>
          <cell r="M1487">
            <v>283.90042499999998</v>
          </cell>
          <cell r="N1487">
            <v>2.6144578313253</v>
          </cell>
          <cell r="O1487">
            <v>142.444614</v>
          </cell>
          <cell r="P1487">
            <v>0.69186875891583399</v>
          </cell>
          <cell r="Q1487">
            <v>138.21333799999999</v>
          </cell>
          <cell r="R1487">
            <v>0.67617689015691795</v>
          </cell>
          <cell r="S1487">
            <v>54.929633000000003</v>
          </cell>
          <cell r="T1487">
            <v>0.17241379310344801</v>
          </cell>
          <cell r="U1487">
            <v>52.853974999999998</v>
          </cell>
          <cell r="V1487">
            <v>0.170258620689655</v>
          </cell>
        </row>
        <row r="1488">
          <cell r="A1488" t="str">
            <v>098302</v>
          </cell>
          <cell r="B1488">
            <v>552.66666599999996</v>
          </cell>
          <cell r="C1488">
            <v>68.648369000000002</v>
          </cell>
          <cell r="D1488">
            <v>0.23343848580441601</v>
          </cell>
          <cell r="E1488">
            <v>65.925972000000002</v>
          </cell>
          <cell r="F1488">
            <v>0.22712933753943201</v>
          </cell>
          <cell r="G1488">
            <v>15.260052</v>
          </cell>
          <cell r="H1488">
            <v>8.4935897435897398E-2</v>
          </cell>
          <cell r="I1488">
            <v>15.260052</v>
          </cell>
          <cell r="J1488">
            <v>8.4935897435897398E-2</v>
          </cell>
          <cell r="K1488">
            <v>343.75080000000003</v>
          </cell>
          <cell r="L1488">
            <v>2.5064102564102502</v>
          </cell>
          <cell r="M1488">
            <v>324.05838599999998</v>
          </cell>
          <cell r="N1488">
            <v>2.4935897435897401</v>
          </cell>
          <cell r="O1488">
            <v>73.016206999999994</v>
          </cell>
          <cell r="P1488">
            <v>0.43851132686084099</v>
          </cell>
          <cell r="Q1488">
            <v>64.915587000000002</v>
          </cell>
          <cell r="R1488">
            <v>0.43689320388349501</v>
          </cell>
          <cell r="S1488">
            <v>170.34916000000001</v>
          </cell>
          <cell r="T1488">
            <v>0.67045454545454497</v>
          </cell>
          <cell r="U1488">
            <v>163.582629</v>
          </cell>
          <cell r="V1488">
            <v>0.668831168831168</v>
          </cell>
        </row>
        <row r="1489">
          <cell r="A1489" t="str">
            <v>098501</v>
          </cell>
          <cell r="B1489">
            <v>487</v>
          </cell>
          <cell r="C1489">
            <v>805.25033900000005</v>
          </cell>
          <cell r="D1489">
            <v>1.0425101214574799</v>
          </cell>
          <cell r="E1489">
            <v>156.40616299999999</v>
          </cell>
          <cell r="F1489">
            <v>0.74493927125505999</v>
          </cell>
          <cell r="G1489">
            <v>737.18558800000005</v>
          </cell>
          <cell r="H1489">
            <v>3.8052738336713898</v>
          </cell>
          <cell r="I1489">
            <v>608.20022400000005</v>
          </cell>
          <cell r="J1489">
            <v>3.7525354969574001</v>
          </cell>
          <cell r="K1489">
            <v>1570.4618740000001</v>
          </cell>
          <cell r="L1489">
            <v>4.5441478439424996</v>
          </cell>
          <cell r="M1489">
            <v>711.017111</v>
          </cell>
          <cell r="N1489">
            <v>3.50924024640657</v>
          </cell>
          <cell r="O1489">
            <v>267.62365</v>
          </cell>
          <cell r="P1489">
            <v>1.2966804979253099</v>
          </cell>
          <cell r="Q1489">
            <v>187.99132</v>
          </cell>
          <cell r="R1489">
            <v>1.1348547717842301</v>
          </cell>
          <cell r="S1489">
            <v>2570.1304439999999</v>
          </cell>
          <cell r="T1489">
            <v>3.8643006263048001</v>
          </cell>
          <cell r="U1489">
            <v>170.938378</v>
          </cell>
          <cell r="V1489">
            <v>1.7724425887265101</v>
          </cell>
        </row>
        <row r="1490">
          <cell r="A1490" t="str">
            <v>098502</v>
          </cell>
          <cell r="B1490">
            <v>536.66666599999996</v>
          </cell>
          <cell r="C1490">
            <v>167.13168099999999</v>
          </cell>
          <cell r="D1490">
            <v>1.1969026548672499</v>
          </cell>
          <cell r="E1490">
            <v>140.99635499999999</v>
          </cell>
          <cell r="F1490">
            <v>1.18805309734513</v>
          </cell>
          <cell r="G1490">
            <v>247.561837</v>
          </cell>
          <cell r="H1490">
            <v>0.99823321554770295</v>
          </cell>
          <cell r="I1490">
            <v>247.561837</v>
          </cell>
          <cell r="J1490">
            <v>0.99823321554770295</v>
          </cell>
          <cell r="K1490">
            <v>1316.3973390000001</v>
          </cell>
          <cell r="L1490">
            <v>2.1613475177304902</v>
          </cell>
          <cell r="M1490">
            <v>83.870093999999995</v>
          </cell>
          <cell r="N1490">
            <v>0.299645390070921</v>
          </cell>
          <cell r="O1490">
            <v>89.647142000000002</v>
          </cell>
          <cell r="P1490">
            <v>0.40357142857142803</v>
          </cell>
          <cell r="Q1490">
            <v>18.998839</v>
          </cell>
          <cell r="R1490">
            <v>0.32678571428571401</v>
          </cell>
          <cell r="S1490">
            <v>2516.454585</v>
          </cell>
          <cell r="T1490">
            <v>2.8183453237410001</v>
          </cell>
          <cell r="U1490">
            <v>163.41924399999999</v>
          </cell>
          <cell r="V1490">
            <v>1.0467625899280499</v>
          </cell>
        </row>
        <row r="1491">
          <cell r="A1491" t="str">
            <v>099001</v>
          </cell>
          <cell r="B1491">
            <v>379.8</v>
          </cell>
          <cell r="C1491">
            <v>5552.4856730000001</v>
          </cell>
          <cell r="D1491">
            <v>2.7735368956743001</v>
          </cell>
          <cell r="E1491">
            <v>133.381833</v>
          </cell>
          <cell r="F1491">
            <v>1.77099236641221</v>
          </cell>
          <cell r="G1491">
            <v>606.04703300000006</v>
          </cell>
          <cell r="H1491">
            <v>1.22454308093994</v>
          </cell>
          <cell r="I1491">
            <v>288.17954800000001</v>
          </cell>
          <cell r="J1491">
            <v>1.1227154046997301</v>
          </cell>
          <cell r="K1491">
            <v>154.942543</v>
          </cell>
          <cell r="L1491">
            <v>1.0947368421052599</v>
          </cell>
          <cell r="M1491">
            <v>14.113377</v>
          </cell>
          <cell r="N1491">
            <v>8.4210526315789402E-2</v>
          </cell>
          <cell r="O1491">
            <v>11.695434000000001</v>
          </cell>
          <cell r="P1491">
            <v>0.15159574468085099</v>
          </cell>
          <cell r="Q1491">
            <v>5.0777479999999997</v>
          </cell>
          <cell r="R1491">
            <v>5.31914893617021E-2</v>
          </cell>
          <cell r="S1491">
            <v>182.24959100000001</v>
          </cell>
          <cell r="T1491">
            <v>0.15531335149863701</v>
          </cell>
          <cell r="U1491">
            <v>15.077928999999999</v>
          </cell>
          <cell r="V1491">
            <v>5.4495912806539502E-2</v>
          </cell>
        </row>
        <row r="1492">
          <cell r="A1492" t="str">
            <v>099002</v>
          </cell>
          <cell r="B1492">
            <v>1</v>
          </cell>
          <cell r="C1492">
            <v>1308.2699500000001</v>
          </cell>
          <cell r="D1492">
            <v>1</v>
          </cell>
          <cell r="E1492">
            <v>0</v>
          </cell>
          <cell r="F1492">
            <v>0</v>
          </cell>
          <cell r="G1492">
            <v>0</v>
          </cell>
          <cell r="H1492">
            <v>0</v>
          </cell>
          <cell r="I1492">
            <v>0</v>
          </cell>
          <cell r="J1492">
            <v>0</v>
          </cell>
          <cell r="K1492">
            <v>120.85</v>
          </cell>
          <cell r="L1492">
            <v>1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0</v>
          </cell>
          <cell r="R1492">
            <v>0</v>
          </cell>
          <cell r="S1492">
            <v>0</v>
          </cell>
          <cell r="T1492">
            <v>0</v>
          </cell>
          <cell r="U1492">
            <v>0</v>
          </cell>
          <cell r="V1492">
            <v>0</v>
          </cell>
        </row>
        <row r="1493">
          <cell r="A1493" t="str">
            <v>099101</v>
          </cell>
          <cell r="B1493">
            <v>657.57142799999997</v>
          </cell>
          <cell r="C1493">
            <v>7.9651709999999998</v>
          </cell>
          <cell r="D1493">
            <v>2.4169184290030201E-2</v>
          </cell>
          <cell r="E1493">
            <v>7.9651709999999998</v>
          </cell>
          <cell r="F1493">
            <v>2.4169184290030201E-2</v>
          </cell>
          <cell r="G1493">
            <v>7.8781610000000004</v>
          </cell>
          <cell r="H1493">
            <v>8.7878787878787806E-2</v>
          </cell>
          <cell r="I1493">
            <v>7.264195</v>
          </cell>
          <cell r="J1493">
            <v>8.6363636363636295E-2</v>
          </cell>
          <cell r="K1493">
            <v>1204.4567360000001</v>
          </cell>
          <cell r="L1493">
            <v>0.85562310030395095</v>
          </cell>
          <cell r="M1493">
            <v>51.112968000000002</v>
          </cell>
          <cell r="N1493">
            <v>0.211246200607902</v>
          </cell>
          <cell r="O1493">
            <v>233.190653</v>
          </cell>
          <cell r="P1493">
            <v>1.52431610942249</v>
          </cell>
          <cell r="Q1493">
            <v>233.190653</v>
          </cell>
          <cell r="R1493">
            <v>1.52431610942249</v>
          </cell>
          <cell r="S1493">
            <v>33.232225</v>
          </cell>
          <cell r="T1493">
            <v>0.183925811437403</v>
          </cell>
          <cell r="U1493">
            <v>33.232225</v>
          </cell>
          <cell r="V1493">
            <v>0.183925811437403</v>
          </cell>
        </row>
        <row r="1494">
          <cell r="A1494" t="str">
            <v>099102</v>
          </cell>
          <cell r="B1494">
            <v>479.11111099999999</v>
          </cell>
          <cell r="C1494">
            <v>32.171695</v>
          </cell>
          <cell r="D1494">
            <v>0.13636363636363599</v>
          </cell>
          <cell r="E1494">
            <v>32.171695</v>
          </cell>
          <cell r="F1494">
            <v>0.13636363636363599</v>
          </cell>
          <cell r="G1494">
            <v>16.878485999999999</v>
          </cell>
          <cell r="H1494">
            <v>0.16249999999999901</v>
          </cell>
          <cell r="I1494">
            <v>15.466964000000001</v>
          </cell>
          <cell r="J1494">
            <v>0.16041666666666601</v>
          </cell>
          <cell r="K1494">
            <v>2655.5026720000001</v>
          </cell>
          <cell r="L1494">
            <v>1.24583333333333</v>
          </cell>
          <cell r="M1494">
            <v>20.066284</v>
          </cell>
          <cell r="N1494">
            <v>0.23749999999999999</v>
          </cell>
          <cell r="O1494">
            <v>476.177278</v>
          </cell>
          <cell r="P1494">
            <v>1.49686847599164</v>
          </cell>
          <cell r="Q1494">
            <v>236.363013</v>
          </cell>
          <cell r="R1494">
            <v>1.4530271398747301</v>
          </cell>
          <cell r="S1494">
            <v>43.738771</v>
          </cell>
          <cell r="T1494">
            <v>8.6315789473684207E-2</v>
          </cell>
          <cell r="U1494">
            <v>10.418912000000001</v>
          </cell>
          <cell r="V1494">
            <v>6.9473684210526299E-2</v>
          </cell>
        </row>
        <row r="1495">
          <cell r="A1495" t="str">
            <v>099103</v>
          </cell>
          <cell r="B1495">
            <v>632.25</v>
          </cell>
          <cell r="C1495">
            <v>10.744783999999999</v>
          </cell>
          <cell r="D1495">
            <v>1.14398734177215</v>
          </cell>
          <cell r="E1495">
            <v>10.744783999999999</v>
          </cell>
          <cell r="F1495">
            <v>1.14398734177215</v>
          </cell>
          <cell r="G1495">
            <v>214.38029</v>
          </cell>
          <cell r="H1495">
            <v>0.69496855345911901</v>
          </cell>
          <cell r="I1495">
            <v>209.700895</v>
          </cell>
          <cell r="J1495">
            <v>0.69025157232704404</v>
          </cell>
          <cell r="K1495">
            <v>27.137902</v>
          </cell>
          <cell r="L1495">
            <v>0.123613312202852</v>
          </cell>
          <cell r="M1495">
            <v>13.899127999999999</v>
          </cell>
          <cell r="N1495">
            <v>9.0332805071315303E-2</v>
          </cell>
          <cell r="O1495">
            <v>329.10084599999999</v>
          </cell>
          <cell r="P1495">
            <v>1.4626391096979301</v>
          </cell>
          <cell r="Q1495">
            <v>271.86870599999997</v>
          </cell>
          <cell r="R1495">
            <v>1.45151033386327</v>
          </cell>
          <cell r="S1495">
            <v>17.984857999999999</v>
          </cell>
          <cell r="T1495">
            <v>0.230283911671924</v>
          </cell>
          <cell r="U1495">
            <v>17.984857999999999</v>
          </cell>
          <cell r="V1495">
            <v>0.230283911671924</v>
          </cell>
        </row>
        <row r="1496">
          <cell r="A1496" t="str">
            <v>099104</v>
          </cell>
          <cell r="B1496">
            <v>249.5</v>
          </cell>
          <cell r="C1496">
            <v>0</v>
          </cell>
          <cell r="D1496">
            <v>0</v>
          </cell>
          <cell r="E1496">
            <v>0</v>
          </cell>
          <cell r="F1496">
            <v>0</v>
          </cell>
          <cell r="G1496">
            <v>7.4522399999999998</v>
          </cell>
          <cell r="H1496">
            <v>0.04</v>
          </cell>
          <cell r="I1496">
            <v>7.4522399999999998</v>
          </cell>
          <cell r="J1496">
            <v>0.04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196.457831</v>
          </cell>
          <cell r="P1496">
            <v>0.99598393574297095</v>
          </cell>
          <cell r="Q1496">
            <v>196.457831</v>
          </cell>
          <cell r="R1496">
            <v>0.99598393574297095</v>
          </cell>
          <cell r="S1496">
            <v>0</v>
          </cell>
          <cell r="T1496">
            <v>0</v>
          </cell>
          <cell r="U1496">
            <v>0</v>
          </cell>
          <cell r="V1496">
            <v>0</v>
          </cell>
        </row>
        <row r="1497">
          <cell r="A1497" t="str">
            <v>099201</v>
          </cell>
          <cell r="B1497">
            <v>395.57142800000003</v>
          </cell>
          <cell r="C1497">
            <v>9234.2663250000005</v>
          </cell>
          <cell r="D1497">
            <v>2.8911704312114899</v>
          </cell>
          <cell r="E1497">
            <v>15.287682</v>
          </cell>
          <cell r="F1497">
            <v>9.6509240246406502E-2</v>
          </cell>
          <cell r="G1497">
            <v>217.22283300000001</v>
          </cell>
          <cell r="H1497">
            <v>1.0252808988763999</v>
          </cell>
          <cell r="I1497">
            <v>217.22283300000001</v>
          </cell>
          <cell r="J1497">
            <v>1.0252808988763999</v>
          </cell>
          <cell r="K1497">
            <v>42.070092000000002</v>
          </cell>
          <cell r="L1497">
            <v>0.13611111111111099</v>
          </cell>
          <cell r="M1497">
            <v>3.5395370000000002</v>
          </cell>
          <cell r="N1497">
            <v>1.38888888888888E-2</v>
          </cell>
          <cell r="O1497">
            <v>10.869237</v>
          </cell>
          <cell r="P1497">
            <v>0.15702479338842901</v>
          </cell>
          <cell r="Q1497">
            <v>10.869237</v>
          </cell>
          <cell r="R1497">
            <v>0.15702479338842901</v>
          </cell>
          <cell r="S1497">
            <v>114.696956</v>
          </cell>
          <cell r="T1497">
            <v>1.0983146067415701</v>
          </cell>
          <cell r="U1497">
            <v>114.696956</v>
          </cell>
          <cell r="V1497">
            <v>1.0983146067415701</v>
          </cell>
        </row>
        <row r="1498">
          <cell r="A1498" t="str">
            <v>099202</v>
          </cell>
          <cell r="B1498">
            <v>169.444444</v>
          </cell>
          <cell r="C1498">
            <v>366.784516</v>
          </cell>
          <cell r="D1498">
            <v>1.3941176470588199</v>
          </cell>
          <cell r="E1498">
            <v>129.050218</v>
          </cell>
          <cell r="F1498">
            <v>1.1176470588235199</v>
          </cell>
          <cell r="G1498">
            <v>127.05324400000001</v>
          </cell>
          <cell r="H1498">
            <v>1.0643274853801099</v>
          </cell>
          <cell r="I1498">
            <v>111.44621100000001</v>
          </cell>
          <cell r="J1498">
            <v>1.0409356725146099</v>
          </cell>
          <cell r="K1498">
            <v>226.699703</v>
          </cell>
          <cell r="L1498">
            <v>0.585798816568047</v>
          </cell>
          <cell r="M1498">
            <v>116.90946700000001</v>
          </cell>
          <cell r="N1498">
            <v>0.53254437869822402</v>
          </cell>
          <cell r="O1498">
            <v>14.600997</v>
          </cell>
          <cell r="P1498">
            <v>8.9820359281437098E-2</v>
          </cell>
          <cell r="Q1498">
            <v>14.600997</v>
          </cell>
          <cell r="R1498">
            <v>8.9820359281437098E-2</v>
          </cell>
          <cell r="S1498">
            <v>4.755522</v>
          </cell>
          <cell r="T1498">
            <v>3.5502958579881602E-2</v>
          </cell>
          <cell r="U1498">
            <v>4.5209070000000002</v>
          </cell>
          <cell r="V1498">
            <v>1.7751479289940801E-2</v>
          </cell>
        </row>
        <row r="1499">
          <cell r="A1499" t="str">
            <v>099301</v>
          </cell>
          <cell r="B1499">
            <v>1</v>
          </cell>
          <cell r="C1499">
            <v>0</v>
          </cell>
          <cell r="D1499">
            <v>0</v>
          </cell>
          <cell r="E1499">
            <v>0</v>
          </cell>
          <cell r="F1499">
            <v>0</v>
          </cell>
          <cell r="G1499">
            <v>96</v>
          </cell>
          <cell r="H1499">
            <v>1</v>
          </cell>
          <cell r="I1499">
            <v>96</v>
          </cell>
          <cell r="J1499">
            <v>1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0</v>
          </cell>
          <cell r="R1499">
            <v>0</v>
          </cell>
          <cell r="S1499">
            <v>56.616666000000002</v>
          </cell>
          <cell r="T1499">
            <v>1</v>
          </cell>
          <cell r="U1499">
            <v>56.616666000000002</v>
          </cell>
          <cell r="V1499">
            <v>1</v>
          </cell>
        </row>
        <row r="1500">
          <cell r="A1500" t="str">
            <v>099501</v>
          </cell>
          <cell r="B1500">
            <v>1</v>
          </cell>
          <cell r="C1500">
            <v>0</v>
          </cell>
          <cell r="D1500">
            <v>0</v>
          </cell>
          <cell r="E1500">
            <v>0</v>
          </cell>
          <cell r="F1500">
            <v>0</v>
          </cell>
          <cell r="G1500">
            <v>405</v>
          </cell>
          <cell r="H1500">
            <v>2</v>
          </cell>
          <cell r="I1500">
            <v>405</v>
          </cell>
          <cell r="J1500">
            <v>2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352</v>
          </cell>
          <cell r="P1500">
            <v>1</v>
          </cell>
          <cell r="Q1500">
            <v>352</v>
          </cell>
          <cell r="R1500">
            <v>1</v>
          </cell>
          <cell r="S1500">
            <v>0</v>
          </cell>
          <cell r="T1500">
            <v>0</v>
          </cell>
          <cell r="U1500">
            <v>0</v>
          </cell>
          <cell r="V1500">
            <v>0</v>
          </cell>
        </row>
        <row r="1501">
          <cell r="A1501" t="str">
            <v>099601</v>
          </cell>
          <cell r="B1501">
            <v>380.625</v>
          </cell>
          <cell r="C1501">
            <v>55.577737999999997</v>
          </cell>
          <cell r="D1501">
            <v>5.3846153846153801E-2</v>
          </cell>
          <cell r="E1501">
            <v>45.387160999999999</v>
          </cell>
          <cell r="F1501">
            <v>2.8205128205128199E-2</v>
          </cell>
          <cell r="G1501">
            <v>268.16919300000001</v>
          </cell>
          <cell r="H1501">
            <v>1.1696658097686301</v>
          </cell>
          <cell r="I1501">
            <v>268.16919300000001</v>
          </cell>
          <cell r="J1501">
            <v>1.1696658097686301</v>
          </cell>
          <cell r="K1501">
            <v>126.01042099999999</v>
          </cell>
          <cell r="L1501">
            <v>1.1860465116279</v>
          </cell>
          <cell r="M1501">
            <v>113.00202400000001</v>
          </cell>
          <cell r="N1501">
            <v>1.1834625322997401</v>
          </cell>
          <cell r="O1501">
            <v>454.93972200000002</v>
          </cell>
          <cell r="P1501">
            <v>1.3756476683937799</v>
          </cell>
          <cell r="Q1501">
            <v>453.59848799999997</v>
          </cell>
          <cell r="R1501">
            <v>1.37305699481865</v>
          </cell>
          <cell r="S1501">
            <v>20.212827999999998</v>
          </cell>
          <cell r="T1501">
            <v>0.13939393939393899</v>
          </cell>
          <cell r="U1501">
            <v>20.212827999999998</v>
          </cell>
          <cell r="V1501">
            <v>0.13939393939393899</v>
          </cell>
        </row>
        <row r="1502">
          <cell r="A1502" t="str">
            <v>099602</v>
          </cell>
          <cell r="B1502">
            <v>541</v>
          </cell>
          <cell r="C1502">
            <v>161.322011</v>
          </cell>
          <cell r="D1502">
            <v>0.18416206261510101</v>
          </cell>
          <cell r="E1502">
            <v>47.1053</v>
          </cell>
          <cell r="F1502">
            <v>8.2872928176795493E-2</v>
          </cell>
          <cell r="G1502">
            <v>130.529819</v>
          </cell>
          <cell r="H1502">
            <v>0.39186691312384397</v>
          </cell>
          <cell r="I1502">
            <v>92.380190999999996</v>
          </cell>
          <cell r="J1502">
            <v>0.367837338262476</v>
          </cell>
          <cell r="K1502">
            <v>975.89263700000004</v>
          </cell>
          <cell r="L1502">
            <v>0.54887218045112696</v>
          </cell>
          <cell r="M1502">
            <v>43.729886999999998</v>
          </cell>
          <cell r="N1502">
            <v>0.31954887218045103</v>
          </cell>
          <cell r="O1502">
            <v>69.254347999999993</v>
          </cell>
          <cell r="P1502">
            <v>0.45142857142857101</v>
          </cell>
          <cell r="Q1502">
            <v>50.293427999999999</v>
          </cell>
          <cell r="R1502">
            <v>0.42666666666666597</v>
          </cell>
          <cell r="S1502">
            <v>260.69704400000001</v>
          </cell>
          <cell r="T1502">
            <v>0.70212765957446799</v>
          </cell>
          <cell r="U1502">
            <v>89.947694999999996</v>
          </cell>
          <cell r="V1502">
            <v>0.54255319148936099</v>
          </cell>
        </row>
        <row r="1503">
          <cell r="A1503" t="str">
            <v>099603</v>
          </cell>
          <cell r="B1503">
            <v>398.28571399999998</v>
          </cell>
          <cell r="C1503">
            <v>2.46536</v>
          </cell>
          <cell r="D1503">
            <v>5.0377833753148596E-3</v>
          </cell>
          <cell r="E1503">
            <v>2.46536</v>
          </cell>
          <cell r="F1503">
            <v>5.0377833753148596E-3</v>
          </cell>
          <cell r="G1503">
            <v>41.390458000000002</v>
          </cell>
          <cell r="H1503">
            <v>0.51249999999999996</v>
          </cell>
          <cell r="I1503">
            <v>41.390458000000002</v>
          </cell>
          <cell r="J1503">
            <v>0.51249999999999996</v>
          </cell>
          <cell r="K1503">
            <v>589.972263</v>
          </cell>
          <cell r="L1503">
            <v>0.42857142857142799</v>
          </cell>
          <cell r="M1503">
            <v>86.333375000000004</v>
          </cell>
          <cell r="N1503">
            <v>0.27568922305764398</v>
          </cell>
          <cell r="O1503">
            <v>473.07059900000002</v>
          </cell>
          <cell r="P1503">
            <v>2.0888324873096402</v>
          </cell>
          <cell r="Q1503">
            <v>277.30642899999998</v>
          </cell>
          <cell r="R1503">
            <v>1.01776649746192</v>
          </cell>
          <cell r="S1503">
            <v>23.190328999999998</v>
          </cell>
          <cell r="T1503">
            <v>5.4320987654320897E-2</v>
          </cell>
          <cell r="U1503">
            <v>23.190328999999998</v>
          </cell>
          <cell r="V1503">
            <v>5.4320987654320897E-2</v>
          </cell>
        </row>
        <row r="1504">
          <cell r="A1504" t="str">
            <v>099801</v>
          </cell>
          <cell r="B1504">
            <v>1456.333333</v>
          </cell>
          <cell r="C1504">
            <v>246.17451600000001</v>
          </cell>
          <cell r="D1504">
            <v>2.6806666666666601</v>
          </cell>
          <cell r="E1504">
            <v>170.902333</v>
          </cell>
          <cell r="F1504">
            <v>1.9906666666666599</v>
          </cell>
          <cell r="G1504">
            <v>46.066859000000001</v>
          </cell>
          <cell r="H1504">
            <v>8.5792724776938903E-2</v>
          </cell>
          <cell r="I1504">
            <v>3.3156850000000002</v>
          </cell>
          <cell r="J1504">
            <v>2.26492793411118E-2</v>
          </cell>
          <cell r="K1504">
            <v>93.335220000000007</v>
          </cell>
          <cell r="L1504">
            <v>0.41538461538461502</v>
          </cell>
          <cell r="M1504">
            <v>49.253053000000001</v>
          </cell>
          <cell r="N1504">
            <v>0.40349650349650301</v>
          </cell>
          <cell r="O1504">
            <v>150.382001</v>
          </cell>
          <cell r="P1504">
            <v>1.3585313174946001</v>
          </cell>
          <cell r="Q1504">
            <v>111.97138200000001</v>
          </cell>
          <cell r="R1504">
            <v>1.13390928725701</v>
          </cell>
          <cell r="S1504">
            <v>175.27645200000001</v>
          </cell>
          <cell r="T1504">
            <v>1.5819935691318301</v>
          </cell>
          <cell r="U1504">
            <v>175.27645200000001</v>
          </cell>
          <cell r="V1504">
            <v>1.5819935691318301</v>
          </cell>
        </row>
        <row r="1505">
          <cell r="A1505" t="str">
            <v>099802</v>
          </cell>
          <cell r="B1505">
            <v>259</v>
          </cell>
          <cell r="C1505">
            <v>148.12985699999999</v>
          </cell>
          <cell r="D1505">
            <v>1.24615384615384</v>
          </cell>
          <cell r="E1505">
            <v>148.12985699999999</v>
          </cell>
          <cell r="F1505">
            <v>1.24615384615384</v>
          </cell>
          <cell r="G1505">
            <v>656.45523800000001</v>
          </cell>
          <cell r="H1505">
            <v>1.7220077220077199</v>
          </cell>
          <cell r="I1505">
            <v>0</v>
          </cell>
          <cell r="J1505">
            <v>0</v>
          </cell>
          <cell r="K1505">
            <v>239.55952300000001</v>
          </cell>
          <cell r="L1505">
            <v>1.7104247104247099</v>
          </cell>
          <cell r="M1505">
            <v>232.98745099999999</v>
          </cell>
          <cell r="N1505">
            <v>1.7065637065637</v>
          </cell>
          <cell r="O1505">
            <v>2.991377</v>
          </cell>
          <cell r="P1505">
            <v>0.24324324324324301</v>
          </cell>
          <cell r="Q1505">
            <v>2.991377</v>
          </cell>
          <cell r="R1505">
            <v>0.24324324324324301</v>
          </cell>
          <cell r="S1505">
            <v>42.713372</v>
          </cell>
          <cell r="T1505">
            <v>0.217054263565891</v>
          </cell>
          <cell r="U1505">
            <v>42.713372</v>
          </cell>
          <cell r="V1505">
            <v>0.217054263565891</v>
          </cell>
        </row>
        <row r="1506">
          <cell r="A1506" t="str">
            <v>100201</v>
          </cell>
          <cell r="B1506">
            <v>6</v>
          </cell>
          <cell r="C1506">
            <v>0</v>
          </cell>
          <cell r="D1506">
            <v>0</v>
          </cell>
          <cell r="E1506">
            <v>0</v>
          </cell>
          <cell r="F1506">
            <v>0</v>
          </cell>
          <cell r="G1506">
            <v>0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  <cell r="Q1506">
            <v>0</v>
          </cell>
          <cell r="R1506">
            <v>0</v>
          </cell>
          <cell r="S1506">
            <v>334.35</v>
          </cell>
          <cell r="T1506">
            <v>1</v>
          </cell>
          <cell r="U1506">
            <v>0</v>
          </cell>
          <cell r="V1506">
            <v>0</v>
          </cell>
        </row>
        <row r="1507">
          <cell r="A1507" t="str">
            <v>100202</v>
          </cell>
          <cell r="B1507">
            <v>152.14285699999999</v>
          </cell>
          <cell r="C1507">
            <v>130.59695300000001</v>
          </cell>
          <cell r="D1507">
            <v>1.21333333333333</v>
          </cell>
          <cell r="E1507">
            <v>130.59695300000001</v>
          </cell>
          <cell r="F1507">
            <v>1.21333333333333</v>
          </cell>
          <cell r="G1507">
            <v>31.034683000000001</v>
          </cell>
          <cell r="H1507">
            <v>0.134228187919463</v>
          </cell>
          <cell r="I1507">
            <v>31.034683000000001</v>
          </cell>
          <cell r="J1507">
            <v>0.134228187919463</v>
          </cell>
          <cell r="K1507">
            <v>412.75123000000002</v>
          </cell>
          <cell r="L1507">
            <v>3.4161073825503299</v>
          </cell>
          <cell r="M1507">
            <v>382.00827700000002</v>
          </cell>
          <cell r="N1507">
            <v>3.4093959731543602</v>
          </cell>
          <cell r="O1507">
            <v>134.87713600000001</v>
          </cell>
          <cell r="P1507">
            <v>1.3910256410256401</v>
          </cell>
          <cell r="Q1507">
            <v>134.87713600000001</v>
          </cell>
          <cell r="R1507">
            <v>1.3910256410256401</v>
          </cell>
          <cell r="S1507">
            <v>2.5055550000000002</v>
          </cell>
          <cell r="T1507">
            <v>1.2820512820512799E-2</v>
          </cell>
          <cell r="U1507">
            <v>0.405555</v>
          </cell>
          <cell r="V1507">
            <v>6.41025641025641E-3</v>
          </cell>
        </row>
        <row r="1508">
          <cell r="A1508" t="str">
            <v>100203</v>
          </cell>
          <cell r="B1508">
            <v>1224</v>
          </cell>
          <cell r="C1508">
            <v>0</v>
          </cell>
          <cell r="D1508">
            <v>0</v>
          </cell>
          <cell r="E1508">
            <v>0</v>
          </cell>
          <cell r="F1508">
            <v>0</v>
          </cell>
          <cell r="G1508">
            <v>82.834080999999998</v>
          </cell>
          <cell r="H1508">
            <v>1.0439024390243901</v>
          </cell>
          <cell r="I1508">
            <v>82.834080999999998</v>
          </cell>
          <cell r="J1508">
            <v>1.0439024390243901</v>
          </cell>
          <cell r="K1508">
            <v>299.890491</v>
          </cell>
          <cell r="L1508">
            <v>1.3145884270578601</v>
          </cell>
          <cell r="M1508">
            <v>289.94036899999998</v>
          </cell>
          <cell r="N1508">
            <v>1.30725346373268</v>
          </cell>
          <cell r="O1508">
            <v>1116.69029</v>
          </cell>
          <cell r="P1508">
            <v>4.1593137254901897</v>
          </cell>
          <cell r="Q1508">
            <v>1116.2642559999999</v>
          </cell>
          <cell r="R1508">
            <v>4.1584967320261397</v>
          </cell>
          <cell r="S1508">
            <v>30.209837</v>
          </cell>
          <cell r="T1508">
            <v>0.16174055829228201</v>
          </cell>
          <cell r="U1508">
            <v>23.659523</v>
          </cell>
          <cell r="V1508">
            <v>0.16009852216748699</v>
          </cell>
        </row>
        <row r="1509">
          <cell r="A1509" t="str">
            <v>100204</v>
          </cell>
          <cell r="B1509">
            <v>32</v>
          </cell>
          <cell r="C1509">
            <v>17.78125</v>
          </cell>
          <cell r="D1509">
            <v>3.125E-2</v>
          </cell>
          <cell r="E1509">
            <v>17.78125</v>
          </cell>
          <cell r="F1509">
            <v>3.125E-2</v>
          </cell>
          <cell r="G1509">
            <v>5.009455</v>
          </cell>
          <cell r="H1509">
            <v>3.2258064516128997E-2</v>
          </cell>
          <cell r="I1509">
            <v>5.009455</v>
          </cell>
          <cell r="J1509">
            <v>3.2258064516128997E-2</v>
          </cell>
          <cell r="K1509">
            <v>55.625757</v>
          </cell>
          <cell r="L1509">
            <v>0.21212121212121199</v>
          </cell>
          <cell r="M1509">
            <v>55.625757</v>
          </cell>
          <cell r="N1509">
            <v>0.21212121212121199</v>
          </cell>
          <cell r="O1509">
            <v>0</v>
          </cell>
          <cell r="P1509">
            <v>0</v>
          </cell>
          <cell r="Q1509">
            <v>0</v>
          </cell>
          <cell r="R1509">
            <v>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</row>
        <row r="1510">
          <cell r="A1510" t="str">
            <v>100301</v>
          </cell>
          <cell r="B1510">
            <v>1053.2222220000001</v>
          </cell>
          <cell r="C1510">
            <v>124.312669</v>
          </cell>
          <cell r="D1510">
            <v>0.94805194805194803</v>
          </cell>
          <cell r="E1510">
            <v>124.312669</v>
          </cell>
          <cell r="F1510">
            <v>0.94805194805194803</v>
          </cell>
          <cell r="G1510">
            <v>207.927547</v>
          </cell>
          <cell r="H1510">
            <v>0.86740331491712697</v>
          </cell>
          <cell r="I1510">
            <v>167.61250999999999</v>
          </cell>
          <cell r="J1510">
            <v>0.82320441988950199</v>
          </cell>
          <cell r="K1510">
            <v>1795.4397839999999</v>
          </cell>
          <cell r="L1510">
            <v>1.7926267281105901</v>
          </cell>
          <cell r="M1510">
            <v>134.07396299999999</v>
          </cell>
          <cell r="N1510">
            <v>0.87281105990783403</v>
          </cell>
          <cell r="O1510">
            <v>209.789773</v>
          </cell>
          <cell r="P1510">
            <v>1.0296570898980499</v>
          </cell>
          <cell r="Q1510">
            <v>97.360889</v>
          </cell>
          <cell r="R1510">
            <v>0.79703429101019396</v>
          </cell>
          <cell r="S1510">
            <v>2344.033379</v>
          </cell>
          <cell r="T1510">
            <v>2.5994371482176302</v>
          </cell>
          <cell r="U1510">
            <v>183.32654700000001</v>
          </cell>
          <cell r="V1510">
            <v>0.80769230769230704</v>
          </cell>
        </row>
        <row r="1511">
          <cell r="A1511" t="str">
            <v>100302</v>
          </cell>
          <cell r="B1511">
            <v>838.33333300000004</v>
          </cell>
          <cell r="C1511">
            <v>49.043680000000002</v>
          </cell>
          <cell r="D1511">
            <v>0.22419928825622701</v>
          </cell>
          <cell r="E1511">
            <v>49.043680000000002</v>
          </cell>
          <cell r="F1511">
            <v>0.22419928825622701</v>
          </cell>
          <cell r="G1511">
            <v>297.77179699999999</v>
          </cell>
          <cell r="H1511">
            <v>0.90035587188611998</v>
          </cell>
          <cell r="I1511">
            <v>271.54190199999999</v>
          </cell>
          <cell r="J1511">
            <v>0.88612099644128095</v>
          </cell>
          <cell r="K1511">
            <v>1392.755071</v>
          </cell>
          <cell r="L1511">
            <v>1.9451073985680101</v>
          </cell>
          <cell r="M1511">
            <v>24.038564000000001</v>
          </cell>
          <cell r="N1511">
            <v>0.12887828162291101</v>
          </cell>
          <cell r="O1511">
            <v>40.434387000000001</v>
          </cell>
          <cell r="P1511">
            <v>0.242532855436081</v>
          </cell>
          <cell r="Q1511">
            <v>11.266367000000001</v>
          </cell>
          <cell r="R1511">
            <v>0.14097968936678601</v>
          </cell>
          <cell r="S1511">
            <v>1153.5819120000001</v>
          </cell>
          <cell r="T1511">
            <v>2.2569027611044401</v>
          </cell>
          <cell r="U1511">
            <v>89.600560000000002</v>
          </cell>
          <cell r="V1511">
            <v>0.44177671068427299</v>
          </cell>
        </row>
        <row r="1512">
          <cell r="A1512" t="str">
            <v>100501</v>
          </cell>
          <cell r="B1512">
            <v>557.20000000000005</v>
          </cell>
          <cell r="C1512">
            <v>315.056196</v>
          </cell>
          <cell r="D1512">
            <v>1.23792486583184</v>
          </cell>
          <cell r="E1512">
            <v>255.77172999999999</v>
          </cell>
          <cell r="F1512">
            <v>1.16100178890876</v>
          </cell>
          <cell r="G1512">
            <v>441.27122300000002</v>
          </cell>
          <cell r="H1512">
            <v>1.26998223801065</v>
          </cell>
          <cell r="I1512">
            <v>12.374307999999999</v>
          </cell>
          <cell r="J1512">
            <v>8.3481349911189995E-2</v>
          </cell>
          <cell r="K1512">
            <v>934.45464200000004</v>
          </cell>
          <cell r="L1512">
            <v>2.25535714285714</v>
          </cell>
          <cell r="M1512">
            <v>624.70095200000003</v>
          </cell>
          <cell r="N1512">
            <v>1.95178571428571</v>
          </cell>
          <cell r="O1512">
            <v>132.95622700000001</v>
          </cell>
          <cell r="P1512">
            <v>0.70397111913357402</v>
          </cell>
          <cell r="Q1512">
            <v>106.38216</v>
          </cell>
          <cell r="R1512">
            <v>0.69314079422382602</v>
          </cell>
          <cell r="S1512">
            <v>178.37208999999999</v>
          </cell>
          <cell r="T1512">
            <v>1.00545454545454</v>
          </cell>
          <cell r="U1512">
            <v>175.95205999999999</v>
          </cell>
          <cell r="V1512">
            <v>1.0018181818181799</v>
          </cell>
        </row>
        <row r="1513">
          <cell r="A1513" t="str">
            <v>100502</v>
          </cell>
          <cell r="B1513">
            <v>887.4</v>
          </cell>
          <cell r="C1513">
            <v>168.68075300000001</v>
          </cell>
          <cell r="D1513">
            <v>0.41619797525309299</v>
          </cell>
          <cell r="E1513">
            <v>71.345112999999998</v>
          </cell>
          <cell r="F1513">
            <v>0.30933633295837998</v>
          </cell>
          <cell r="G1513">
            <v>115.965243</v>
          </cell>
          <cell r="H1513">
            <v>0.35095613048368901</v>
          </cell>
          <cell r="I1513">
            <v>83.145820999999998</v>
          </cell>
          <cell r="J1513">
            <v>0.31721034870641102</v>
          </cell>
          <cell r="K1513">
            <v>479.97660999999999</v>
          </cell>
          <cell r="L1513">
            <v>1.8314606741573001</v>
          </cell>
          <cell r="M1513">
            <v>402.72743400000002</v>
          </cell>
          <cell r="N1513">
            <v>1.5044943820224701</v>
          </cell>
          <cell r="O1513">
            <v>2427.7720650000001</v>
          </cell>
          <cell r="P1513">
            <v>3.86794582392776</v>
          </cell>
          <cell r="Q1513">
            <v>602.86203899999998</v>
          </cell>
          <cell r="R1513">
            <v>2.8544018058690699</v>
          </cell>
          <cell r="S1513">
            <v>492.12857600000001</v>
          </cell>
          <cell r="T1513">
            <v>2.2559456398640898</v>
          </cell>
          <cell r="U1513">
            <v>246.79490300000001</v>
          </cell>
          <cell r="V1513">
            <v>2.0498301245753101</v>
          </cell>
        </row>
        <row r="1514">
          <cell r="A1514" t="str">
            <v>100601</v>
          </cell>
          <cell r="B1514">
            <v>797.2</v>
          </cell>
          <cell r="C1514">
            <v>2.0111409999999998</v>
          </cell>
          <cell r="D1514">
            <v>1.25628140703517E-2</v>
          </cell>
          <cell r="E1514">
            <v>2.0111409999999998</v>
          </cell>
          <cell r="F1514">
            <v>1.25628140703517E-2</v>
          </cell>
          <cell r="G1514">
            <v>145.79626999999999</v>
          </cell>
          <cell r="H1514">
            <v>0.335427135678391</v>
          </cell>
          <cell r="I1514">
            <v>145.79626999999999</v>
          </cell>
          <cell r="J1514">
            <v>0.335427135678391</v>
          </cell>
          <cell r="K1514">
            <v>2.751404</v>
          </cell>
          <cell r="L1514">
            <v>8.6792452830188604E-2</v>
          </cell>
          <cell r="M1514">
            <v>2.751404</v>
          </cell>
          <cell r="N1514">
            <v>8.6792452830188604E-2</v>
          </cell>
          <cell r="O1514">
            <v>26.189899</v>
          </cell>
          <cell r="P1514">
            <v>0.71267252195733999</v>
          </cell>
          <cell r="Q1514">
            <v>26.189899</v>
          </cell>
          <cell r="R1514">
            <v>0.71267252195733999</v>
          </cell>
          <cell r="S1514">
            <v>135.670199</v>
          </cell>
          <cell r="T1514">
            <v>0.61471321695760495</v>
          </cell>
          <cell r="U1514">
            <v>135.670199</v>
          </cell>
          <cell r="V1514">
            <v>0.61471321695760495</v>
          </cell>
        </row>
        <row r="1515">
          <cell r="A1515" t="str">
            <v>100602</v>
          </cell>
          <cell r="B1515">
            <v>736.44444399999998</v>
          </cell>
          <cell r="C1515">
            <v>377.456526</v>
          </cell>
          <cell r="D1515">
            <v>0.25034387895460702</v>
          </cell>
          <cell r="E1515">
            <v>51.176079999999999</v>
          </cell>
          <cell r="F1515">
            <v>0.159559834938101</v>
          </cell>
          <cell r="G1515">
            <v>273.21911599999999</v>
          </cell>
          <cell r="H1515">
            <v>1.55054644808743</v>
          </cell>
          <cell r="I1515">
            <v>273.21911599999999</v>
          </cell>
          <cell r="J1515">
            <v>1.55054644808743</v>
          </cell>
          <cell r="K1515">
            <v>126.88756100000001</v>
          </cell>
          <cell r="L1515">
            <v>0.109311740890688</v>
          </cell>
          <cell r="M1515">
            <v>6.2883709999999997</v>
          </cell>
          <cell r="N1515">
            <v>3.5087719298245598E-2</v>
          </cell>
          <cell r="O1515">
            <v>10.33563</v>
          </cell>
          <cell r="P1515">
            <v>4.59459459459459E-2</v>
          </cell>
          <cell r="Q1515">
            <v>3.7668240000000002</v>
          </cell>
          <cell r="R1515">
            <v>3.24324324324324E-2</v>
          </cell>
          <cell r="S1515">
            <v>3.2955399999999999</v>
          </cell>
          <cell r="T1515">
            <v>3.7837837837837798E-2</v>
          </cell>
          <cell r="U1515">
            <v>2.203986</v>
          </cell>
          <cell r="V1515">
            <v>3.3783783783783702E-2</v>
          </cell>
        </row>
        <row r="1516">
          <cell r="A1516" t="str">
            <v>100801</v>
          </cell>
          <cell r="B1516">
            <v>181.625</v>
          </cell>
          <cell r="C1516">
            <v>139.79789700000001</v>
          </cell>
          <cell r="D1516">
            <v>0.94594594594594505</v>
          </cell>
          <cell r="E1516">
            <v>139.79789700000001</v>
          </cell>
          <cell r="F1516">
            <v>0.94594594594594505</v>
          </cell>
          <cell r="G1516">
            <v>494.59772900000002</v>
          </cell>
          <cell r="H1516">
            <v>2.00543478260869</v>
          </cell>
          <cell r="I1516">
            <v>494.59772900000002</v>
          </cell>
          <cell r="J1516">
            <v>2.00543478260869</v>
          </cell>
          <cell r="K1516">
            <v>303.90956199999999</v>
          </cell>
          <cell r="L1516">
            <v>2.03825136612021</v>
          </cell>
          <cell r="M1516">
            <v>219.549544</v>
          </cell>
          <cell r="N1516">
            <v>1.10382513661202</v>
          </cell>
          <cell r="O1516">
            <v>2201.1318590000001</v>
          </cell>
          <cell r="P1516">
            <v>4.5359116022099402</v>
          </cell>
          <cell r="Q1516">
            <v>335.67872899999998</v>
          </cell>
          <cell r="R1516">
            <v>2.8674033149171199</v>
          </cell>
          <cell r="S1516">
            <v>1971.935205</v>
          </cell>
          <cell r="T1516">
            <v>7.0224719101123503</v>
          </cell>
          <cell r="U1516">
            <v>1309.3151680000001</v>
          </cell>
          <cell r="V1516">
            <v>5.9438202247190999</v>
          </cell>
        </row>
        <row r="1517">
          <cell r="A1517" t="str">
            <v>100802</v>
          </cell>
          <cell r="B1517">
            <v>1388.8</v>
          </cell>
          <cell r="C1517">
            <v>947.45164299999999</v>
          </cell>
          <cell r="D1517">
            <v>5.9370932754880599</v>
          </cell>
          <cell r="E1517">
            <v>947.37875399999996</v>
          </cell>
          <cell r="F1517">
            <v>5.9356471438900904</v>
          </cell>
          <cell r="G1517">
            <v>840.12889500000006</v>
          </cell>
          <cell r="H1517">
            <v>4.0571428571428498</v>
          </cell>
          <cell r="I1517">
            <v>766.50635999999997</v>
          </cell>
          <cell r="J1517">
            <v>3.9621428571428501</v>
          </cell>
          <cell r="K1517">
            <v>1803.95436</v>
          </cell>
          <cell r="L1517">
            <v>3.24660471765546</v>
          </cell>
          <cell r="M1517">
            <v>833.24023099999999</v>
          </cell>
          <cell r="N1517">
            <v>2.75696926375982</v>
          </cell>
          <cell r="O1517">
            <v>1595.3290400000001</v>
          </cell>
          <cell r="P1517">
            <v>4.4074605451936799</v>
          </cell>
          <cell r="Q1517">
            <v>536.31973900000003</v>
          </cell>
          <cell r="R1517">
            <v>3.0502152080344298</v>
          </cell>
          <cell r="S1517">
            <v>1096.5008029999999</v>
          </cell>
          <cell r="T1517">
            <v>3.4839181286549699</v>
          </cell>
          <cell r="U1517">
            <v>271.520735</v>
          </cell>
          <cell r="V1517">
            <v>2.375</v>
          </cell>
        </row>
        <row r="1518">
          <cell r="A1518" t="str">
            <v>100901</v>
          </cell>
          <cell r="B1518">
            <v>1454.444444</v>
          </cell>
          <cell r="C1518">
            <v>55.927359000000003</v>
          </cell>
          <cell r="D1518">
            <v>0.55532786885245899</v>
          </cell>
          <cell r="E1518">
            <v>55.927359000000003</v>
          </cell>
          <cell r="F1518">
            <v>0.55532786885245899</v>
          </cell>
          <cell r="G1518">
            <v>712.19595300000003</v>
          </cell>
          <cell r="H1518">
            <v>3.3403819918144602</v>
          </cell>
          <cell r="I1518">
            <v>341.82966099999999</v>
          </cell>
          <cell r="J1518">
            <v>3.0443383356070899</v>
          </cell>
          <cell r="K1518">
            <v>1237.073214</v>
          </cell>
          <cell r="L1518">
            <v>5.8492496589358698</v>
          </cell>
          <cell r="M1518">
            <v>578.52949000000001</v>
          </cell>
          <cell r="N1518">
            <v>4.3240109140518399</v>
          </cell>
          <cell r="O1518">
            <v>608.45774400000005</v>
          </cell>
          <cell r="P1518">
            <v>2.1336531871144602</v>
          </cell>
          <cell r="Q1518">
            <v>87.888644999999997</v>
          </cell>
          <cell r="R1518">
            <v>0.75325565455791599</v>
          </cell>
          <cell r="S1518">
            <v>1067.0101139999999</v>
          </cell>
          <cell r="T1518">
            <v>4.8713080168776299</v>
          </cell>
          <cell r="U1518">
            <v>875.74624900000003</v>
          </cell>
          <cell r="V1518">
            <v>4.0541490857946503</v>
          </cell>
        </row>
        <row r="1519">
          <cell r="A1519" t="str">
            <v>100902</v>
          </cell>
          <cell r="B1519">
            <v>953.22222199999999</v>
          </cell>
          <cell r="C1519">
            <v>174.13549800000001</v>
          </cell>
          <cell r="D1519">
            <v>1.35349322210636</v>
          </cell>
          <cell r="E1519">
            <v>174.13549800000001</v>
          </cell>
          <cell r="F1519">
            <v>1.35349322210636</v>
          </cell>
          <cell r="G1519">
            <v>228.913072</v>
          </cell>
          <cell r="H1519">
            <v>2.1812499999999901</v>
          </cell>
          <cell r="I1519">
            <v>224.20254199999999</v>
          </cell>
          <cell r="J1519">
            <v>2.17916666666666</v>
          </cell>
          <cell r="K1519">
            <v>1599.203454</v>
          </cell>
          <cell r="L1519">
            <v>2.1083333333333298</v>
          </cell>
          <cell r="M1519">
            <v>540.86741300000006</v>
          </cell>
          <cell r="N1519">
            <v>1.4510416666666599</v>
          </cell>
          <cell r="O1519">
            <v>122.524255</v>
          </cell>
          <cell r="P1519">
            <v>0.70514165792234995</v>
          </cell>
          <cell r="Q1519">
            <v>40.820216000000002</v>
          </cell>
          <cell r="R1519">
            <v>0.363064008394543</v>
          </cell>
          <cell r="S1519">
            <v>911.67787099999998</v>
          </cell>
          <cell r="T1519">
            <v>3.55923159018143</v>
          </cell>
          <cell r="U1519">
            <v>747.57041900000002</v>
          </cell>
          <cell r="V1519">
            <v>3.0170757737459901</v>
          </cell>
        </row>
        <row r="1520">
          <cell r="A1520" t="str">
            <v>101202</v>
          </cell>
          <cell r="B1520">
            <v>87.571427999999997</v>
          </cell>
          <cell r="C1520">
            <v>6.5855009999999998</v>
          </cell>
          <cell r="D1520">
            <v>1.12359550561797E-2</v>
          </cell>
          <cell r="E1520">
            <v>0</v>
          </cell>
          <cell r="F1520">
            <v>0</v>
          </cell>
          <cell r="G1520">
            <v>8057.6470820000004</v>
          </cell>
          <cell r="H1520">
            <v>4.2471910112359499</v>
          </cell>
          <cell r="I1520">
            <v>15.409352</v>
          </cell>
          <cell r="J1520">
            <v>1.12359550561797E-2</v>
          </cell>
          <cell r="K1520">
            <v>18.659444000000001</v>
          </cell>
          <cell r="L1520">
            <v>9.9999999999999895E-2</v>
          </cell>
          <cell r="M1520">
            <v>5.3333329999999997</v>
          </cell>
          <cell r="N1520">
            <v>6.6666666666666596E-2</v>
          </cell>
          <cell r="O1520">
            <v>6.3746980000000004</v>
          </cell>
          <cell r="P1520">
            <v>3.6144578313252997E-2</v>
          </cell>
          <cell r="Q1520">
            <v>4.2722889999999998</v>
          </cell>
          <cell r="R1520">
            <v>2.40963855421686E-2</v>
          </cell>
          <cell r="S1520">
            <v>0</v>
          </cell>
          <cell r="T1520">
            <v>0</v>
          </cell>
          <cell r="U1520">
            <v>0</v>
          </cell>
          <cell r="V1520">
            <v>0</v>
          </cell>
        </row>
        <row r="1521">
          <cell r="A1521" t="str">
            <v>101203</v>
          </cell>
          <cell r="B1521">
            <v>86.285713999999999</v>
          </cell>
          <cell r="C1521">
            <v>2.8008660000000001</v>
          </cell>
          <cell r="D1521">
            <v>1.3157894736842099E-2</v>
          </cell>
          <cell r="E1521">
            <v>0</v>
          </cell>
          <cell r="F1521">
            <v>0</v>
          </cell>
          <cell r="G1521">
            <v>903.89606300000003</v>
          </cell>
          <cell r="H1521">
            <v>0.32222222222222202</v>
          </cell>
          <cell r="I1521">
            <v>2.5692590000000002</v>
          </cell>
          <cell r="J1521">
            <v>3.3333333333333298E-2</v>
          </cell>
          <cell r="K1521">
            <v>179.49176</v>
          </cell>
          <cell r="L1521">
            <v>1</v>
          </cell>
          <cell r="M1521">
            <v>0</v>
          </cell>
          <cell r="N1521">
            <v>0</v>
          </cell>
          <cell r="O1521">
            <v>714.66686100000004</v>
          </cell>
          <cell r="P1521">
            <v>0.47058823529411697</v>
          </cell>
          <cell r="Q1521">
            <v>30.209410999999999</v>
          </cell>
          <cell r="R1521">
            <v>0.14117647058823499</v>
          </cell>
          <cell r="S1521">
            <v>17.578277</v>
          </cell>
          <cell r="T1521">
            <v>0.348314606741573</v>
          </cell>
          <cell r="U1521">
            <v>17.578277</v>
          </cell>
          <cell r="V1521">
            <v>0.348314606741573</v>
          </cell>
        </row>
        <row r="1522">
          <cell r="A1522" t="str">
            <v>101204</v>
          </cell>
          <cell r="B1522">
            <v>8</v>
          </cell>
          <cell r="C1522">
            <v>0</v>
          </cell>
          <cell r="D1522">
            <v>0</v>
          </cell>
          <cell r="E1522">
            <v>0</v>
          </cell>
          <cell r="F1522">
            <v>0</v>
          </cell>
          <cell r="G1522">
            <v>0</v>
          </cell>
          <cell r="H1522">
            <v>0</v>
          </cell>
          <cell r="I1522">
            <v>0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  <cell r="R1522">
            <v>0</v>
          </cell>
          <cell r="S1522">
            <v>44.90625</v>
          </cell>
          <cell r="T1522">
            <v>0.125</v>
          </cell>
          <cell r="U1522">
            <v>44.90625</v>
          </cell>
          <cell r="V1522">
            <v>0.125</v>
          </cell>
        </row>
        <row r="1523">
          <cell r="A1523" t="str">
            <v>101801</v>
          </cell>
          <cell r="B1523">
            <v>37</v>
          </cell>
          <cell r="C1523">
            <v>56.955522999999999</v>
          </cell>
          <cell r="D1523">
            <v>0.97297297297297203</v>
          </cell>
          <cell r="E1523">
            <v>56.955522999999999</v>
          </cell>
          <cell r="F1523">
            <v>0.97297297297297203</v>
          </cell>
          <cell r="G1523">
            <v>0</v>
          </cell>
          <cell r="H1523">
            <v>0</v>
          </cell>
          <cell r="I1523">
            <v>0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  <cell r="R1523">
            <v>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</row>
        <row r="1524">
          <cell r="A1524" t="str">
            <v>101802</v>
          </cell>
          <cell r="B1524">
            <v>303</v>
          </cell>
          <cell r="C1524">
            <v>4257.995234</v>
          </cell>
          <cell r="D1524">
            <v>2.5930599369085101</v>
          </cell>
          <cell r="E1524">
            <v>190.946425</v>
          </cell>
          <cell r="F1524">
            <v>1.0725552050473099</v>
          </cell>
          <cell r="G1524">
            <v>958.67537700000003</v>
          </cell>
          <cell r="H1524">
            <v>3.5917721518987298</v>
          </cell>
          <cell r="I1524">
            <v>290.933944</v>
          </cell>
          <cell r="J1524">
            <v>1.94936708860759</v>
          </cell>
          <cell r="K1524">
            <v>356.869373</v>
          </cell>
          <cell r="L1524">
            <v>1.90445859872611</v>
          </cell>
          <cell r="M1524">
            <v>254.100424</v>
          </cell>
          <cell r="N1524">
            <v>1.3375796178343899</v>
          </cell>
          <cell r="O1524">
            <v>707.89314000000002</v>
          </cell>
          <cell r="P1524">
            <v>1.37755102040816</v>
          </cell>
          <cell r="Q1524">
            <v>161.761111</v>
          </cell>
          <cell r="R1524">
            <v>1.03401360544217</v>
          </cell>
          <cell r="S1524">
            <v>244.22280900000001</v>
          </cell>
          <cell r="T1524">
            <v>1.02189781021897</v>
          </cell>
          <cell r="U1524">
            <v>215.13266400000001</v>
          </cell>
          <cell r="V1524">
            <v>1.0036496350364901</v>
          </cell>
        </row>
        <row r="1525">
          <cell r="A1525" t="str">
            <v>101901</v>
          </cell>
          <cell r="B1525">
            <v>438.5</v>
          </cell>
          <cell r="C1525">
            <v>19.535575000000001</v>
          </cell>
          <cell r="D1525">
            <v>5.7208237986269998E-2</v>
          </cell>
          <cell r="E1525">
            <v>8.4522759999999995</v>
          </cell>
          <cell r="F1525">
            <v>5.4919908466819198E-2</v>
          </cell>
          <cell r="G1525">
            <v>371.42915799999997</v>
          </cell>
          <cell r="H1525">
            <v>0.999999999999999</v>
          </cell>
          <cell r="I1525">
            <v>368.26313499999998</v>
          </cell>
          <cell r="J1525">
            <v>0.99773755656108498</v>
          </cell>
          <cell r="K1525">
            <v>444.83002900000002</v>
          </cell>
          <cell r="L1525">
            <v>2.0979498861047801</v>
          </cell>
          <cell r="M1525">
            <v>437.53606600000001</v>
          </cell>
          <cell r="N1525">
            <v>2.09111617312072</v>
          </cell>
          <cell r="O1525">
            <v>102.763761</v>
          </cell>
          <cell r="P1525">
            <v>0.99770642201834803</v>
          </cell>
          <cell r="Q1525">
            <v>102.763761</v>
          </cell>
          <cell r="R1525">
            <v>0.99770642201834803</v>
          </cell>
          <cell r="S1525">
            <v>289.58738499999998</v>
          </cell>
          <cell r="T1525">
            <v>1.0045871559632999</v>
          </cell>
          <cell r="U1525">
            <v>289.58738499999998</v>
          </cell>
          <cell r="V1525">
            <v>1.0045871559632999</v>
          </cell>
        </row>
        <row r="1526">
          <cell r="A1526" t="str">
            <v>101902</v>
          </cell>
          <cell r="B1526">
            <v>769.5</v>
          </cell>
          <cell r="C1526">
            <v>81.915963000000005</v>
          </cell>
          <cell r="D1526">
            <v>1.1272727272727201</v>
          </cell>
          <cell r="E1526">
            <v>81.915963000000005</v>
          </cell>
          <cell r="F1526">
            <v>1.1272727272727201</v>
          </cell>
          <cell r="G1526">
            <v>484.336544</v>
          </cell>
          <cell r="H1526">
            <v>1.4077419354838701</v>
          </cell>
          <cell r="I1526">
            <v>143.65468100000001</v>
          </cell>
          <cell r="J1526">
            <v>1.08</v>
          </cell>
          <cell r="K1526">
            <v>190.623726</v>
          </cell>
          <cell r="L1526">
            <v>1.1878238341968901</v>
          </cell>
          <cell r="M1526">
            <v>190.623726</v>
          </cell>
          <cell r="N1526">
            <v>1.1878238341968901</v>
          </cell>
          <cell r="O1526">
            <v>141.062749</v>
          </cell>
          <cell r="P1526">
            <v>1.32637075718015</v>
          </cell>
          <cell r="Q1526">
            <v>108.370256</v>
          </cell>
          <cell r="R1526">
            <v>1.1109660574412501</v>
          </cell>
          <cell r="S1526">
            <v>467.16412000000003</v>
          </cell>
          <cell r="T1526">
            <v>1.26109660574412</v>
          </cell>
          <cell r="U1526">
            <v>353.698781</v>
          </cell>
          <cell r="V1526">
            <v>1.22323759791122</v>
          </cell>
        </row>
        <row r="1527">
          <cell r="A1527" t="str">
            <v>102101</v>
          </cell>
          <cell r="B1527">
            <v>577.4</v>
          </cell>
          <cell r="C1527">
            <v>6806.2445619999999</v>
          </cell>
          <cell r="D1527">
            <v>2.7612903225806402</v>
          </cell>
          <cell r="E1527">
            <v>119.589536</v>
          </cell>
          <cell r="F1527">
            <v>1.1080645161290299</v>
          </cell>
          <cell r="G1527">
            <v>3038.1930609999999</v>
          </cell>
          <cell r="H1527">
            <v>3.5681818181818099</v>
          </cell>
          <cell r="I1527">
            <v>422.166065</v>
          </cell>
          <cell r="J1527">
            <v>1.5194805194805101</v>
          </cell>
          <cell r="K1527">
            <v>4445.2189369999996</v>
          </cell>
          <cell r="L1527">
            <v>2.3833049403747801</v>
          </cell>
          <cell r="M1527">
            <v>81.939267000000001</v>
          </cell>
          <cell r="N1527">
            <v>0.291311754684838</v>
          </cell>
          <cell r="O1527">
            <v>2871.8327330000002</v>
          </cell>
          <cell r="P1527">
            <v>2.0776515151515098</v>
          </cell>
          <cell r="Q1527">
            <v>280.458933</v>
          </cell>
          <cell r="R1527">
            <v>1.0568181818181801</v>
          </cell>
          <cell r="S1527">
            <v>49.640234999999997</v>
          </cell>
          <cell r="T1527">
            <v>0.38619402985074602</v>
          </cell>
          <cell r="U1527">
            <v>35.425185999999997</v>
          </cell>
          <cell r="V1527">
            <v>0.36753731343283502</v>
          </cell>
        </row>
        <row r="1528">
          <cell r="A1528" t="str">
            <v>102102</v>
          </cell>
          <cell r="B1528">
            <v>347</v>
          </cell>
          <cell r="C1528">
            <v>2982.1383930000002</v>
          </cell>
          <cell r="D1528">
            <v>0.65396825396825298</v>
          </cell>
          <cell r="E1528">
            <v>243.59274099999999</v>
          </cell>
          <cell r="F1528">
            <v>0.158730158730158</v>
          </cell>
          <cell r="G1528">
            <v>363.33854100000002</v>
          </cell>
          <cell r="H1528">
            <v>1.12820512820512</v>
          </cell>
          <cell r="I1528">
            <v>357.92773499999998</v>
          </cell>
          <cell r="J1528">
            <v>1.125</v>
          </cell>
          <cell r="K1528">
            <v>249.174305</v>
          </cell>
          <cell r="L1528">
            <v>0.99404761904761896</v>
          </cell>
          <cell r="M1528">
            <v>9.6074400000000004</v>
          </cell>
          <cell r="N1528">
            <v>5.3571428571428499E-2</v>
          </cell>
          <cell r="O1528">
            <v>3191.6855660000001</v>
          </cell>
          <cell r="P1528">
            <v>1.28865979381443</v>
          </cell>
          <cell r="Q1528">
            <v>37.698023999999997</v>
          </cell>
          <cell r="R1528">
            <v>0.32731958762886498</v>
          </cell>
          <cell r="S1528">
            <v>151.10664</v>
          </cell>
          <cell r="T1528">
            <v>0.382812499999999</v>
          </cell>
          <cell r="U1528">
            <v>10.883984</v>
          </cell>
          <cell r="V1528">
            <v>9.6354166666666602E-2</v>
          </cell>
        </row>
        <row r="1529">
          <cell r="A1529" t="str">
            <v>102201</v>
          </cell>
          <cell r="B1529">
            <v>666.33333300000004</v>
          </cell>
          <cell r="C1529">
            <v>430.13000099999999</v>
          </cell>
          <cell r="D1529">
            <v>2.9872340425531898</v>
          </cell>
          <cell r="E1529">
            <v>430.13000099999999</v>
          </cell>
          <cell r="F1529">
            <v>2.9872340425531898</v>
          </cell>
          <cell r="G1529">
            <v>322.49949299999997</v>
          </cell>
          <cell r="H1529">
            <v>1.1734693877550999</v>
          </cell>
          <cell r="I1529">
            <v>72.064974000000007</v>
          </cell>
          <cell r="J1529">
            <v>0.73032069970845404</v>
          </cell>
          <cell r="K1529">
            <v>1259.3566209999999</v>
          </cell>
          <cell r="L1529">
            <v>2.4970238095238</v>
          </cell>
          <cell r="M1529">
            <v>321.19032700000002</v>
          </cell>
          <cell r="N1529">
            <v>1.87797619047619</v>
          </cell>
          <cell r="O1529">
            <v>2245.486676</v>
          </cell>
          <cell r="P1529">
            <v>1.7411944869831499</v>
          </cell>
          <cell r="Q1529">
            <v>349.44693699999999</v>
          </cell>
          <cell r="R1529">
            <v>1.1362940275650799</v>
          </cell>
          <cell r="S1529">
            <v>846.39165200000002</v>
          </cell>
          <cell r="T1529">
            <v>2.7007874015748001</v>
          </cell>
          <cell r="U1529">
            <v>303.21222999999998</v>
          </cell>
          <cell r="V1529">
            <v>1.6409448818897601</v>
          </cell>
        </row>
        <row r="1530">
          <cell r="A1530" t="str">
            <v>102202</v>
          </cell>
          <cell r="B1530">
            <v>590.33333300000004</v>
          </cell>
          <cell r="C1530">
            <v>97.569152000000003</v>
          </cell>
          <cell r="D1530">
            <v>0.73082942097026604</v>
          </cell>
          <cell r="E1530">
            <v>97.569152000000003</v>
          </cell>
          <cell r="F1530">
            <v>0.73082942097026604</v>
          </cell>
          <cell r="G1530">
            <v>1889.6976159999999</v>
          </cell>
          <cell r="H1530">
            <v>3.87358184764991</v>
          </cell>
          <cell r="I1530">
            <v>376.59280100000001</v>
          </cell>
          <cell r="J1530">
            <v>1.84764991896272</v>
          </cell>
          <cell r="K1530">
            <v>2621.9455680000001</v>
          </cell>
          <cell r="L1530">
            <v>3.9665551839464799</v>
          </cell>
          <cell r="M1530">
            <v>144.94673900000001</v>
          </cell>
          <cell r="N1530">
            <v>1.0618729096989901</v>
          </cell>
          <cell r="O1530">
            <v>769.58150000000001</v>
          </cell>
          <cell r="P1530">
            <v>2.6387434554973801</v>
          </cell>
          <cell r="Q1530">
            <v>221.14889400000001</v>
          </cell>
          <cell r="R1530">
            <v>1.3996509598603799</v>
          </cell>
          <cell r="S1530">
            <v>145.79732799999999</v>
          </cell>
          <cell r="T1530">
            <v>1.1803278688524499</v>
          </cell>
          <cell r="U1530">
            <v>138.61681799999999</v>
          </cell>
          <cell r="V1530">
            <v>1.1621129326047299</v>
          </cell>
        </row>
        <row r="1531">
          <cell r="A1531" t="str">
            <v>102501</v>
          </cell>
          <cell r="B1531">
            <v>559.79999999999995</v>
          </cell>
          <cell r="C1531">
            <v>6145.0333739999996</v>
          </cell>
          <cell r="D1531">
            <v>3.1699463327370299</v>
          </cell>
          <cell r="E1531">
            <v>123.439301</v>
          </cell>
          <cell r="F1531">
            <v>1.5688729874776299</v>
          </cell>
          <cell r="G1531">
            <v>2979.5980039999999</v>
          </cell>
          <cell r="H1531">
            <v>1.73936170212765</v>
          </cell>
          <cell r="I1531">
            <v>70.615759999999995</v>
          </cell>
          <cell r="J1531">
            <v>0.49113475177304899</v>
          </cell>
          <cell r="K1531">
            <v>1334.465778</v>
          </cell>
          <cell r="L1531">
            <v>1.47069271758436</v>
          </cell>
          <cell r="M1531">
            <v>233.16447600000001</v>
          </cell>
          <cell r="N1531">
            <v>1.17584369449378</v>
          </cell>
          <cell r="O1531">
            <v>365.60998699999999</v>
          </cell>
          <cell r="P1531">
            <v>1.35957066189624</v>
          </cell>
          <cell r="Q1531">
            <v>140.74731600000001</v>
          </cell>
          <cell r="R1531">
            <v>1.17531305903398</v>
          </cell>
          <cell r="S1531">
            <v>155.88968</v>
          </cell>
          <cell r="T1531">
            <v>0.78158844765342905</v>
          </cell>
          <cell r="U1531">
            <v>155.361672</v>
          </cell>
          <cell r="V1531">
            <v>0.77797833935018001</v>
          </cell>
        </row>
        <row r="1532">
          <cell r="A1532" t="str">
            <v>102502</v>
          </cell>
          <cell r="B1532">
            <v>435.33333299999998</v>
          </cell>
          <cell r="C1532">
            <v>3757.1483840000001</v>
          </cell>
          <cell r="D1532">
            <v>1.6605922551252801</v>
          </cell>
          <cell r="E1532">
            <v>34.935654</v>
          </cell>
          <cell r="F1532">
            <v>1.02733485193621</v>
          </cell>
          <cell r="G1532">
            <v>4221.8923510000004</v>
          </cell>
          <cell r="H1532">
            <v>1.2870159453302901</v>
          </cell>
          <cell r="I1532">
            <v>53.326991999999997</v>
          </cell>
          <cell r="J1532">
            <v>0.32346241457858699</v>
          </cell>
          <cell r="K1532">
            <v>4900.4689259999996</v>
          </cell>
          <cell r="L1532">
            <v>1.6436781609195401</v>
          </cell>
          <cell r="M1532">
            <v>179.943524</v>
          </cell>
          <cell r="N1532">
            <v>0.64367816091954</v>
          </cell>
          <cell r="O1532">
            <v>30.965077000000001</v>
          </cell>
          <cell r="P1532">
            <v>0.23953488372092999</v>
          </cell>
          <cell r="Q1532">
            <v>18.035620000000002</v>
          </cell>
          <cell r="R1532">
            <v>0.17209302325581299</v>
          </cell>
          <cell r="S1532">
            <v>213.233912</v>
          </cell>
          <cell r="T1532">
            <v>0.4375</v>
          </cell>
          <cell r="U1532">
            <v>213.233912</v>
          </cell>
          <cell r="V1532">
            <v>0.4375</v>
          </cell>
        </row>
        <row r="1533">
          <cell r="A1533" t="str">
            <v>102601</v>
          </cell>
          <cell r="B1533">
            <v>724.8</v>
          </cell>
          <cell r="C1533">
            <v>375.99444999999997</v>
          </cell>
          <cell r="D1533">
            <v>1.7836734693877501</v>
          </cell>
          <cell r="E1533">
            <v>347.008419</v>
          </cell>
          <cell r="F1533">
            <v>1.68707482993197</v>
          </cell>
          <cell r="G1533">
            <v>204.436657</v>
          </cell>
          <cell r="H1533">
            <v>1.6043956043956</v>
          </cell>
          <cell r="I1533">
            <v>188.541145</v>
          </cell>
          <cell r="J1533">
            <v>1.59203296703296</v>
          </cell>
          <cell r="K1533">
            <v>628.87200600000006</v>
          </cell>
          <cell r="L1533">
            <v>2.2385575589458999</v>
          </cell>
          <cell r="M1533">
            <v>247.201086</v>
          </cell>
          <cell r="N1533">
            <v>0.89736477115117796</v>
          </cell>
          <cell r="O1533">
            <v>1016.687216</v>
          </cell>
          <cell r="P1533">
            <v>0.85714285714285698</v>
          </cell>
          <cell r="Q1533">
            <v>101.633703</v>
          </cell>
          <cell r="R1533">
            <v>0.42995839112343898</v>
          </cell>
          <cell r="S1533">
            <v>129.67450099999999</v>
          </cell>
          <cell r="T1533">
            <v>1.3630041724617501</v>
          </cell>
          <cell r="U1533">
            <v>61.946058999999998</v>
          </cell>
          <cell r="V1533">
            <v>0.29068150208623</v>
          </cell>
        </row>
        <row r="1534">
          <cell r="A1534" t="str">
            <v>102602</v>
          </cell>
          <cell r="B1534">
            <v>361.25</v>
          </cell>
          <cell r="C1534">
            <v>2.1473909999999998</v>
          </cell>
          <cell r="D1534">
            <v>8.3333333333333297E-3</v>
          </cell>
          <cell r="E1534">
            <v>2.1473909999999998</v>
          </cell>
          <cell r="F1534">
            <v>8.3333333333333297E-3</v>
          </cell>
          <cell r="G1534">
            <v>437.13152700000001</v>
          </cell>
          <cell r="H1534">
            <v>2.1988950276243</v>
          </cell>
          <cell r="I1534">
            <v>437.13152700000001</v>
          </cell>
          <cell r="J1534">
            <v>2.1988950276243</v>
          </cell>
          <cell r="K1534">
            <v>819.30004499999995</v>
          </cell>
          <cell r="L1534">
            <v>2.0775623268698</v>
          </cell>
          <cell r="M1534">
            <v>257.07266800000002</v>
          </cell>
          <cell r="N1534">
            <v>1.6149584487534601</v>
          </cell>
          <cell r="O1534">
            <v>3158.361218</v>
          </cell>
          <cell r="P1534">
            <v>1.6371191135734</v>
          </cell>
          <cell r="Q1534">
            <v>130.65304699999999</v>
          </cell>
          <cell r="R1534">
            <v>0.77285318559556704</v>
          </cell>
          <cell r="S1534">
            <v>110.258471</v>
          </cell>
          <cell r="T1534">
            <v>1.14088397790055</v>
          </cell>
          <cell r="U1534">
            <v>15.114917</v>
          </cell>
          <cell r="V1534">
            <v>4.1436464088397698E-2</v>
          </cell>
        </row>
        <row r="1535">
          <cell r="A1535" t="str">
            <v>102701</v>
          </cell>
          <cell r="B1535">
            <v>1258.8</v>
          </cell>
          <cell r="C1535">
            <v>181.14568700000001</v>
          </cell>
          <cell r="D1535">
            <v>0.32815964523281499</v>
          </cell>
          <cell r="E1535">
            <v>41.563679999999998</v>
          </cell>
          <cell r="F1535">
            <v>0.197339246119733</v>
          </cell>
          <cell r="G1535">
            <v>11.425701</v>
          </cell>
          <cell r="H1535">
            <v>0.12633181126331799</v>
          </cell>
          <cell r="I1535">
            <v>11.221723000000001</v>
          </cell>
          <cell r="J1535">
            <v>0.12252663622526599</v>
          </cell>
          <cell r="K1535">
            <v>561.81693900000005</v>
          </cell>
          <cell r="L1535">
            <v>1.86306729264475</v>
          </cell>
          <cell r="M1535">
            <v>225.76163199999999</v>
          </cell>
          <cell r="N1535">
            <v>1.6674491392801201</v>
          </cell>
          <cell r="O1535">
            <v>308.254052</v>
          </cell>
          <cell r="P1535">
            <v>0.69065343258891598</v>
          </cell>
          <cell r="Q1535">
            <v>104.676509</v>
          </cell>
          <cell r="R1535">
            <v>0.52191894127377902</v>
          </cell>
          <cell r="S1535">
            <v>894.34824500000002</v>
          </cell>
          <cell r="T1535">
            <v>2.3201754385964901</v>
          </cell>
          <cell r="U1535">
            <v>491.56861099999998</v>
          </cell>
          <cell r="V1535">
            <v>2.0666666666666602</v>
          </cell>
        </row>
        <row r="1536">
          <cell r="A1536" t="str">
            <v>102702</v>
          </cell>
          <cell r="B1536">
            <v>859.66666599999996</v>
          </cell>
          <cell r="C1536">
            <v>56.633654</v>
          </cell>
          <cell r="D1536">
            <v>0.47649572649572602</v>
          </cell>
          <cell r="E1536">
            <v>23.386952000000001</v>
          </cell>
          <cell r="F1536">
            <v>0.29594017094017</v>
          </cell>
          <cell r="G1536">
            <v>53.513325000000002</v>
          </cell>
          <cell r="H1536">
            <v>0.52198421645997695</v>
          </cell>
          <cell r="I1536">
            <v>53.513325000000002</v>
          </cell>
          <cell r="J1536">
            <v>0.52198421645997695</v>
          </cell>
          <cell r="K1536">
            <v>784.04575899999998</v>
          </cell>
          <cell r="L1536">
            <v>0.30545876887340301</v>
          </cell>
          <cell r="M1536">
            <v>12.379248</v>
          </cell>
          <cell r="N1536">
            <v>9.1753774680603903E-2</v>
          </cell>
          <cell r="O1536">
            <v>29.288101999999999</v>
          </cell>
          <cell r="P1536">
            <v>0.14613526570048299</v>
          </cell>
          <cell r="Q1536">
            <v>12.157024</v>
          </cell>
          <cell r="R1536">
            <v>8.8164251207729402E-2</v>
          </cell>
          <cell r="S1536">
            <v>589.92985299999998</v>
          </cell>
          <cell r="T1536">
            <v>2.6262500000000002</v>
          </cell>
          <cell r="U1536">
            <v>498.55006200000003</v>
          </cell>
          <cell r="V1536">
            <v>2.4737499999999999</v>
          </cell>
        </row>
        <row r="1537">
          <cell r="A1537" t="str">
            <v>102901</v>
          </cell>
          <cell r="B1537">
            <v>688</v>
          </cell>
          <cell r="C1537">
            <v>0.79334800000000005</v>
          </cell>
          <cell r="D1537">
            <v>2.2556390977443601E-2</v>
          </cell>
          <cell r="E1537">
            <v>0.79334800000000005</v>
          </cell>
          <cell r="F1537">
            <v>2.2556390977443601E-2</v>
          </cell>
          <cell r="G1537">
            <v>1.8091930000000001</v>
          </cell>
          <cell r="H1537">
            <v>3.1531531531531501E-2</v>
          </cell>
          <cell r="I1537">
            <v>1.8091930000000001</v>
          </cell>
          <cell r="J1537">
            <v>3.1531531531531501E-2</v>
          </cell>
          <cell r="K1537">
            <v>213.29504600000001</v>
          </cell>
          <cell r="L1537">
            <v>0.45095168374816902</v>
          </cell>
          <cell r="M1537">
            <v>54.371986</v>
          </cell>
          <cell r="N1537">
            <v>0.420204978038067</v>
          </cell>
          <cell r="O1537">
            <v>0.446324</v>
          </cell>
          <cell r="P1537">
            <v>7.0224719101123498E-3</v>
          </cell>
          <cell r="Q1537">
            <v>0.446324</v>
          </cell>
          <cell r="R1537">
            <v>7.0224719101123498E-3</v>
          </cell>
          <cell r="S1537">
            <v>9.322438</v>
          </cell>
          <cell r="T1537">
            <v>9.8748261474269794E-2</v>
          </cell>
          <cell r="U1537">
            <v>9.322438</v>
          </cell>
          <cell r="V1537">
            <v>9.8748261474269794E-2</v>
          </cell>
        </row>
        <row r="1538">
          <cell r="A1538" t="str">
            <v>102902</v>
          </cell>
          <cell r="B1538">
            <v>682</v>
          </cell>
          <cell r="C1538">
            <v>12.500413</v>
          </cell>
          <cell r="D1538">
            <v>0.122807017543859</v>
          </cell>
          <cell r="E1538">
            <v>12.500413</v>
          </cell>
          <cell r="F1538">
            <v>0.122807017543859</v>
          </cell>
          <cell r="G1538">
            <v>539.89083200000005</v>
          </cell>
          <cell r="H1538">
            <v>1.3777452415812499</v>
          </cell>
          <cell r="I1538">
            <v>205.31140199999999</v>
          </cell>
          <cell r="J1538">
            <v>1.0483162518301601</v>
          </cell>
          <cell r="K1538">
            <v>165.40249900000001</v>
          </cell>
          <cell r="L1538">
            <v>1.08088235294117</v>
          </cell>
          <cell r="M1538">
            <v>121.226911</v>
          </cell>
          <cell r="N1538">
            <v>1.06323529411764</v>
          </cell>
          <cell r="O1538">
            <v>661.76913400000001</v>
          </cell>
          <cell r="P1538">
            <v>0.40029325513196401</v>
          </cell>
          <cell r="Q1538">
            <v>5.553299</v>
          </cell>
          <cell r="R1538">
            <v>7.0381231671554204E-2</v>
          </cell>
          <cell r="S1538">
            <v>287.30444699999998</v>
          </cell>
          <cell r="T1538">
            <v>1.97067448680351</v>
          </cell>
          <cell r="U1538">
            <v>285.25437399999998</v>
          </cell>
          <cell r="V1538">
            <v>1.96480938416422</v>
          </cell>
        </row>
        <row r="1539">
          <cell r="A1539" t="str">
            <v>103101</v>
          </cell>
          <cell r="B1539">
            <v>326.88888800000001</v>
          </cell>
          <cell r="C1539">
            <v>121.538518</v>
          </cell>
          <cell r="D1539">
            <v>0.31192660550458701</v>
          </cell>
          <cell r="E1539">
            <v>96.091881999999998</v>
          </cell>
          <cell r="F1539">
            <v>0.13761467889908199</v>
          </cell>
          <cell r="G1539">
            <v>856.38745200000005</v>
          </cell>
          <cell r="H1539">
            <v>0.94224924012157996</v>
          </cell>
          <cell r="I1539">
            <v>117.978571</v>
          </cell>
          <cell r="J1539">
            <v>0.51671732522796299</v>
          </cell>
          <cell r="K1539">
            <v>487.78018200000002</v>
          </cell>
          <cell r="L1539">
            <v>1.1493902439024299</v>
          </cell>
          <cell r="M1539">
            <v>152.92398299999999</v>
          </cell>
          <cell r="N1539">
            <v>0.78963414634146301</v>
          </cell>
          <cell r="O1539">
            <v>1606.9572069999999</v>
          </cell>
          <cell r="P1539">
            <v>1.70552147239263</v>
          </cell>
          <cell r="Q1539">
            <v>307.729805</v>
          </cell>
          <cell r="R1539">
            <v>1.1717791411042899</v>
          </cell>
          <cell r="S1539">
            <v>86.241977000000006</v>
          </cell>
          <cell r="T1539">
            <v>0.36956521739130399</v>
          </cell>
          <cell r="U1539">
            <v>86.241977000000006</v>
          </cell>
          <cell r="V1539">
            <v>0.36956521739130399</v>
          </cell>
        </row>
        <row r="1540">
          <cell r="A1540" t="str">
            <v>103102</v>
          </cell>
          <cell r="B1540">
            <v>724.66666599999996</v>
          </cell>
          <cell r="C1540">
            <v>81.196504000000004</v>
          </cell>
          <cell r="D1540">
            <v>0.26519337016574501</v>
          </cell>
          <cell r="E1540">
            <v>81.196504000000004</v>
          </cell>
          <cell r="F1540">
            <v>0.26519337016574501</v>
          </cell>
          <cell r="G1540">
            <v>520.56481499999995</v>
          </cell>
          <cell r="H1540">
            <v>1.2255845942228301</v>
          </cell>
          <cell r="I1540">
            <v>196.74547699999999</v>
          </cell>
          <cell r="J1540">
            <v>1.1127922971114099</v>
          </cell>
          <cell r="K1540">
            <v>493.91035199999999</v>
          </cell>
          <cell r="L1540">
            <v>0.91460055096418702</v>
          </cell>
          <cell r="M1540">
            <v>74.246876999999998</v>
          </cell>
          <cell r="N1540">
            <v>0.40771349862258899</v>
          </cell>
          <cell r="O1540">
            <v>786.29714000000001</v>
          </cell>
          <cell r="P1540">
            <v>1.1272475795297301</v>
          </cell>
          <cell r="Q1540">
            <v>47.004747999999999</v>
          </cell>
          <cell r="R1540">
            <v>0.55463347164591903</v>
          </cell>
          <cell r="S1540">
            <v>82.727361999999999</v>
          </cell>
          <cell r="T1540">
            <v>0.293222683264177</v>
          </cell>
          <cell r="U1540">
            <v>30.770907999999999</v>
          </cell>
          <cell r="V1540">
            <v>0.19225449515905901</v>
          </cell>
        </row>
        <row r="1541">
          <cell r="A1541" t="str">
            <v>103301</v>
          </cell>
          <cell r="B1541">
            <v>1734.2</v>
          </cell>
          <cell r="C1541">
            <v>229.36699899999999</v>
          </cell>
          <cell r="D1541">
            <v>0.44081172491544501</v>
          </cell>
          <cell r="E1541">
            <v>227.94174699999999</v>
          </cell>
          <cell r="F1541">
            <v>0.43799323562570402</v>
          </cell>
          <cell r="G1541">
            <v>112.296429</v>
          </cell>
          <cell r="H1541">
            <v>0.27122153209109701</v>
          </cell>
          <cell r="I1541">
            <v>103.062943</v>
          </cell>
          <cell r="J1541">
            <v>0.26570048309178701</v>
          </cell>
          <cell r="K1541">
            <v>161.24666500000001</v>
          </cell>
          <cell r="L1541">
            <v>4.94505494505494E-2</v>
          </cell>
          <cell r="M1541">
            <v>2.455457</v>
          </cell>
          <cell r="N1541">
            <v>6.5934065934065899E-3</v>
          </cell>
          <cell r="O1541">
            <v>53.032792000000001</v>
          </cell>
          <cell r="P1541">
            <v>0.17563117453347901</v>
          </cell>
          <cell r="Q1541">
            <v>23.373618</v>
          </cell>
          <cell r="R1541">
            <v>9.7694840834247995E-2</v>
          </cell>
          <cell r="S1541">
            <v>129.88720799999999</v>
          </cell>
          <cell r="T1541">
            <v>0.41915836101882598</v>
          </cell>
          <cell r="U1541">
            <v>126.070708</v>
          </cell>
          <cell r="V1541">
            <v>0.41306755260243599</v>
          </cell>
        </row>
        <row r="1542">
          <cell r="A1542" t="str">
            <v>103302</v>
          </cell>
          <cell r="B1542">
            <v>909.55555500000003</v>
          </cell>
          <cell r="C1542">
            <v>545.75274300000001</v>
          </cell>
          <cell r="D1542">
            <v>2.6434426229508099</v>
          </cell>
          <cell r="E1542">
            <v>545.75274300000001</v>
          </cell>
          <cell r="F1542">
            <v>2.6434426229508099</v>
          </cell>
          <cell r="G1542">
            <v>429.21175299999999</v>
          </cell>
          <cell r="H1542">
            <v>1.3948186528497399</v>
          </cell>
          <cell r="I1542">
            <v>428.73738300000002</v>
          </cell>
          <cell r="J1542">
            <v>1.3937823834196801</v>
          </cell>
          <cell r="K1542">
            <v>1278.9606080000001</v>
          </cell>
          <cell r="L1542">
            <v>0.97507788161993703</v>
          </cell>
          <cell r="M1542">
            <v>222.61419100000001</v>
          </cell>
          <cell r="N1542">
            <v>0.65732087227414304</v>
          </cell>
          <cell r="O1542">
            <v>705.96907699999997</v>
          </cell>
          <cell r="P1542">
            <v>3.7044745057232</v>
          </cell>
          <cell r="Q1542">
            <v>639.47240699999998</v>
          </cell>
          <cell r="R1542">
            <v>3.6742976066597199</v>
          </cell>
          <cell r="S1542">
            <v>57.157482000000002</v>
          </cell>
          <cell r="T1542">
            <v>0.126041666666666</v>
          </cell>
          <cell r="U1542">
            <v>56.879305000000002</v>
          </cell>
          <cell r="V1542">
            <v>0.125</v>
          </cell>
        </row>
        <row r="1543">
          <cell r="A1543" t="str">
            <v>103501</v>
          </cell>
          <cell r="B1543">
            <v>731.8</v>
          </cell>
          <cell r="C1543">
            <v>1639.0704920000001</v>
          </cell>
          <cell r="D1543">
            <v>1.6897905759162299</v>
          </cell>
          <cell r="E1543">
            <v>69.130348999999995</v>
          </cell>
          <cell r="F1543">
            <v>0.54581151832460695</v>
          </cell>
          <cell r="G1543">
            <v>17.02862</v>
          </cell>
          <cell r="H1543">
            <v>6.3858695652173905E-2</v>
          </cell>
          <cell r="I1543">
            <v>9.3181170000000009</v>
          </cell>
          <cell r="J1543">
            <v>4.6195652173912999E-2</v>
          </cell>
          <cell r="K1543">
            <v>3236.010859</v>
          </cell>
          <cell r="L1543">
            <v>2.4740437158469901</v>
          </cell>
          <cell r="M1543">
            <v>78.499931000000004</v>
          </cell>
          <cell r="N1543">
            <v>0.67076502732240395</v>
          </cell>
          <cell r="O1543">
            <v>66.724258000000006</v>
          </cell>
          <cell r="P1543">
            <v>0.81121751025991695</v>
          </cell>
          <cell r="Q1543">
            <v>62.254080999999999</v>
          </cell>
          <cell r="R1543">
            <v>0.80300957592339195</v>
          </cell>
          <cell r="S1543">
            <v>555.15663199999995</v>
          </cell>
          <cell r="T1543">
            <v>1.9784482758620601</v>
          </cell>
          <cell r="U1543">
            <v>131.25938600000001</v>
          </cell>
          <cell r="V1543">
            <v>1.0589080459770099</v>
          </cell>
        </row>
        <row r="1544">
          <cell r="A1544" t="str">
            <v>103502</v>
          </cell>
          <cell r="B1544">
            <v>725.55555500000003</v>
          </cell>
          <cell r="C1544">
            <v>3321.1263330000002</v>
          </cell>
          <cell r="D1544">
            <v>2.5123626373626302</v>
          </cell>
          <cell r="E1544">
            <v>309.68046800000002</v>
          </cell>
          <cell r="F1544">
            <v>1.50824175824175</v>
          </cell>
          <cell r="G1544">
            <v>182.62522300000001</v>
          </cell>
          <cell r="H1544">
            <v>0.47187928669410101</v>
          </cell>
          <cell r="I1544">
            <v>74.401211000000004</v>
          </cell>
          <cell r="J1544">
            <v>0.30864197530864101</v>
          </cell>
          <cell r="K1544">
            <v>33.024771000000001</v>
          </cell>
          <cell r="L1544">
            <v>0.112637362637362</v>
          </cell>
          <cell r="M1544">
            <v>33.024771000000001</v>
          </cell>
          <cell r="N1544">
            <v>0.112637362637362</v>
          </cell>
          <cell r="O1544">
            <v>68.031927999999994</v>
          </cell>
          <cell r="P1544">
            <v>0.52348066298342499</v>
          </cell>
          <cell r="Q1544">
            <v>34.996983999999998</v>
          </cell>
          <cell r="R1544">
            <v>0.27209944751381199</v>
          </cell>
          <cell r="S1544">
            <v>1540.510878</v>
          </cell>
          <cell r="T1544">
            <v>1.2291666666666601</v>
          </cell>
          <cell r="U1544">
            <v>61.172916000000001</v>
          </cell>
          <cell r="V1544">
            <v>0.344444444444444</v>
          </cell>
        </row>
        <row r="1545">
          <cell r="A1545" t="str">
            <v>103503</v>
          </cell>
          <cell r="B1545">
            <v>2604.1999999999998</v>
          </cell>
          <cell r="C1545">
            <v>1729.8838290000001</v>
          </cell>
          <cell r="D1545">
            <v>2.1339217191097402</v>
          </cell>
          <cell r="E1545">
            <v>172.210452</v>
          </cell>
          <cell r="F1545">
            <v>1.0798158096699899</v>
          </cell>
          <cell r="G1545">
            <v>180.01363000000001</v>
          </cell>
          <cell r="H1545">
            <v>0.48142474147836001</v>
          </cell>
          <cell r="I1545">
            <v>18.161566000000001</v>
          </cell>
          <cell r="J1545">
            <v>7.4684029107621605E-2</v>
          </cell>
          <cell r="K1545">
            <v>295.012182</v>
          </cell>
          <cell r="L1545">
            <v>0.47203065134099598</v>
          </cell>
          <cell r="M1545">
            <v>164.89499900000001</v>
          </cell>
          <cell r="N1545">
            <v>0.28812260536398399</v>
          </cell>
          <cell r="O1545">
            <v>220.74077800000001</v>
          </cell>
          <cell r="P1545">
            <v>0.55824682814302096</v>
          </cell>
          <cell r="Q1545">
            <v>80.833121000000006</v>
          </cell>
          <cell r="R1545">
            <v>0.44598231449442499</v>
          </cell>
          <cell r="S1545">
            <v>4430.9593379999997</v>
          </cell>
          <cell r="T1545">
            <v>1.9039722329348201</v>
          </cell>
          <cell r="U1545">
            <v>75.008876000000001</v>
          </cell>
          <cell r="V1545">
            <v>0.51677593521018095</v>
          </cell>
        </row>
        <row r="1546">
          <cell r="A1546" t="str">
            <v>103701</v>
          </cell>
          <cell r="B1546">
            <v>1685.2</v>
          </cell>
          <cell r="C1546">
            <v>119.76204199999999</v>
          </cell>
          <cell r="D1546">
            <v>0.428912783751493</v>
          </cell>
          <cell r="E1546">
            <v>50.301164</v>
          </cell>
          <cell r="F1546">
            <v>0.38410991636797998</v>
          </cell>
          <cell r="G1546">
            <v>201.171998</v>
          </cell>
          <cell r="H1546">
            <v>0.32676224611708399</v>
          </cell>
          <cell r="I1546">
            <v>25.726697000000001</v>
          </cell>
          <cell r="J1546">
            <v>9.6774193548386997E-2</v>
          </cell>
          <cell r="K1546">
            <v>463.17670500000003</v>
          </cell>
          <cell r="L1546">
            <v>0.481194029850746</v>
          </cell>
          <cell r="M1546">
            <v>62.709293000000002</v>
          </cell>
          <cell r="N1546">
            <v>0.30388059701492498</v>
          </cell>
          <cell r="O1546">
            <v>336.132429</v>
          </cell>
          <cell r="P1546">
            <v>3.5321428571428499</v>
          </cell>
          <cell r="Q1546">
            <v>333.476249</v>
          </cell>
          <cell r="R1546">
            <v>3.4976190476190401</v>
          </cell>
          <cell r="S1546">
            <v>118.345946</v>
          </cell>
          <cell r="T1546">
            <v>0.48752176436448003</v>
          </cell>
          <cell r="U1546">
            <v>114.926097</v>
          </cell>
          <cell r="V1546">
            <v>0.476494486360998</v>
          </cell>
        </row>
        <row r="1547">
          <cell r="A1547" t="str">
            <v>103702</v>
          </cell>
          <cell r="B1547">
            <v>1317.5555549999999</v>
          </cell>
          <cell r="C1547">
            <v>43.218438999999996</v>
          </cell>
          <cell r="D1547">
            <v>8.9339339339339296E-2</v>
          </cell>
          <cell r="E1547">
            <v>21.314699999999998</v>
          </cell>
          <cell r="F1547">
            <v>7.9579579579579507E-2</v>
          </cell>
          <cell r="G1547">
            <v>30.776136000000001</v>
          </cell>
          <cell r="H1547">
            <v>6.4247921390778506E-2</v>
          </cell>
          <cell r="I1547">
            <v>12.493554</v>
          </cell>
          <cell r="J1547">
            <v>5.3665910808767897E-2</v>
          </cell>
          <cell r="K1547">
            <v>241.74849800000001</v>
          </cell>
          <cell r="L1547">
            <v>0.14383043149129399</v>
          </cell>
          <cell r="M1547">
            <v>14.488796000000001</v>
          </cell>
          <cell r="N1547">
            <v>0.10219530658591899</v>
          </cell>
          <cell r="O1547">
            <v>135.78710100000001</v>
          </cell>
          <cell r="P1547">
            <v>2.1214667685255901</v>
          </cell>
          <cell r="Q1547">
            <v>133.67067700000001</v>
          </cell>
          <cell r="R1547">
            <v>2.11535523300229</v>
          </cell>
          <cell r="S1547">
            <v>21.363392000000001</v>
          </cell>
          <cell r="T1547">
            <v>0.213509316770186</v>
          </cell>
          <cell r="U1547">
            <v>21.363392000000001</v>
          </cell>
          <cell r="V1547">
            <v>0.213509316770186</v>
          </cell>
        </row>
        <row r="1548">
          <cell r="A1548" t="str">
            <v>103801</v>
          </cell>
          <cell r="B1548">
            <v>214.125</v>
          </cell>
          <cell r="C1548">
            <v>709.52733000000001</v>
          </cell>
          <cell r="D1548">
            <v>4.4913793103448203</v>
          </cell>
          <cell r="E1548">
            <v>709.52733000000001</v>
          </cell>
          <cell r="F1548">
            <v>4.4913793103448203</v>
          </cell>
          <cell r="G1548">
            <v>43.341963</v>
          </cell>
          <cell r="H1548">
            <v>0.34347826086956501</v>
          </cell>
          <cell r="I1548">
            <v>42.273718000000002</v>
          </cell>
          <cell r="J1548">
            <v>0.33478260869565202</v>
          </cell>
          <cell r="K1548">
            <v>523.39162999999996</v>
          </cell>
          <cell r="L1548">
            <v>1.2751091703056701</v>
          </cell>
          <cell r="M1548">
            <v>400.98901000000001</v>
          </cell>
          <cell r="N1548">
            <v>1.2183406113537101</v>
          </cell>
          <cell r="O1548">
            <v>8.3446400000000001</v>
          </cell>
          <cell r="P1548">
            <v>5.2863436123347998E-2</v>
          </cell>
          <cell r="Q1548">
            <v>8.3446400000000001</v>
          </cell>
          <cell r="R1548">
            <v>5.2863436123347998E-2</v>
          </cell>
          <cell r="S1548">
            <v>1284.7277280000001</v>
          </cell>
          <cell r="T1548">
            <v>2.41150442477876</v>
          </cell>
          <cell r="U1548">
            <v>1082.8674040000001</v>
          </cell>
          <cell r="V1548">
            <v>0.76548672566371601</v>
          </cell>
        </row>
        <row r="1549">
          <cell r="A1549" t="str">
            <v>103802</v>
          </cell>
          <cell r="B1549">
            <v>1743.8</v>
          </cell>
          <cell r="C1549">
            <v>279.56188800000001</v>
          </cell>
          <cell r="D1549">
            <v>1.4788970174451299</v>
          </cell>
          <cell r="E1549">
            <v>85.472785000000002</v>
          </cell>
          <cell r="F1549">
            <v>1.3652222847495701</v>
          </cell>
          <cell r="G1549">
            <v>76.087907000000001</v>
          </cell>
          <cell r="H1549">
            <v>0.39650310208685802</v>
          </cell>
          <cell r="I1549">
            <v>63.005569000000001</v>
          </cell>
          <cell r="J1549">
            <v>0.375070501974055</v>
          </cell>
          <cell r="K1549">
            <v>694.36498300000005</v>
          </cell>
          <cell r="L1549">
            <v>1.8602395892755199</v>
          </cell>
          <cell r="M1549">
            <v>466.75379299999997</v>
          </cell>
          <cell r="N1549">
            <v>1.66799771819737</v>
          </cell>
          <cell r="O1549">
            <v>79.481234999999998</v>
          </cell>
          <cell r="P1549">
            <v>0.36716937354988299</v>
          </cell>
          <cell r="Q1549">
            <v>71.432462999999998</v>
          </cell>
          <cell r="R1549">
            <v>0.34280742459396701</v>
          </cell>
          <cell r="S1549">
            <v>308.27912700000002</v>
          </cell>
          <cell r="T1549">
            <v>2.4255319148936101</v>
          </cell>
          <cell r="U1549">
            <v>209.83459400000001</v>
          </cell>
          <cell r="V1549">
            <v>1.3510638297872299</v>
          </cell>
        </row>
        <row r="1550">
          <cell r="A1550" t="str">
            <v>104101</v>
          </cell>
          <cell r="B1550">
            <v>712.8</v>
          </cell>
          <cell r="C1550">
            <v>736.34080400000005</v>
          </cell>
          <cell r="D1550">
            <v>1.4090909090909001</v>
          </cell>
          <cell r="E1550">
            <v>227.460252</v>
          </cell>
          <cell r="F1550">
            <v>0.67272727272727195</v>
          </cell>
          <cell r="G1550">
            <v>230.97181900000001</v>
          </cell>
          <cell r="H1550">
            <v>1.1118335500650101</v>
          </cell>
          <cell r="I1550">
            <v>176.636134</v>
          </cell>
          <cell r="J1550">
            <v>1.0793237971391401</v>
          </cell>
          <cell r="K1550">
            <v>1005.594835</v>
          </cell>
          <cell r="L1550">
            <v>1.62922868741542</v>
          </cell>
          <cell r="M1550">
            <v>169.18238600000001</v>
          </cell>
          <cell r="N1550">
            <v>0.90257104194857896</v>
          </cell>
          <cell r="O1550">
            <v>764.50115100000005</v>
          </cell>
          <cell r="P1550">
            <v>4.1507064364207196</v>
          </cell>
          <cell r="Q1550">
            <v>433.453349</v>
          </cell>
          <cell r="R1550">
            <v>3.13814756671899</v>
          </cell>
          <cell r="S1550">
            <v>2974.9627099999998</v>
          </cell>
          <cell r="T1550">
            <v>6.7057010785824298</v>
          </cell>
          <cell r="U1550">
            <v>348.695582</v>
          </cell>
          <cell r="V1550">
            <v>2.2804314329738</v>
          </cell>
        </row>
        <row r="1551">
          <cell r="A1551" t="str">
            <v>104102</v>
          </cell>
          <cell r="B1551">
            <v>332.8</v>
          </cell>
          <cell r="C1551">
            <v>46.789391000000002</v>
          </cell>
          <cell r="D1551">
            <v>5.3412462908011799E-2</v>
          </cell>
          <cell r="E1551">
            <v>19.66433</v>
          </cell>
          <cell r="F1551">
            <v>3.5608308605341199E-2</v>
          </cell>
          <cell r="G1551">
            <v>76.599340999999995</v>
          </cell>
          <cell r="H1551">
            <v>0.679640718562874</v>
          </cell>
          <cell r="I1551">
            <v>75.703337000000005</v>
          </cell>
          <cell r="J1551">
            <v>0.67664670658682602</v>
          </cell>
          <cell r="K1551">
            <v>293.511392</v>
          </cell>
          <cell r="L1551">
            <v>1.3014925373134301</v>
          </cell>
          <cell r="M1551">
            <v>2.4676610000000001</v>
          </cell>
          <cell r="N1551">
            <v>3.5820895522387999E-2</v>
          </cell>
          <cell r="O1551">
            <v>367.65618599999999</v>
          </cell>
          <cell r="P1551">
            <v>2.5950920245398699</v>
          </cell>
          <cell r="Q1551">
            <v>138.71313900000001</v>
          </cell>
          <cell r="R1551">
            <v>1.8282208588957001</v>
          </cell>
          <cell r="S1551">
            <v>1024.9167660000001</v>
          </cell>
          <cell r="T1551">
            <v>5.3463855421686697</v>
          </cell>
          <cell r="U1551">
            <v>420.854668</v>
          </cell>
          <cell r="V1551">
            <v>3.3493975903614399</v>
          </cell>
        </row>
        <row r="1552">
          <cell r="A1552" t="str">
            <v>104201</v>
          </cell>
          <cell r="B1552">
            <v>1548.6</v>
          </cell>
          <cell r="C1552">
            <v>371.92935999999997</v>
          </cell>
          <cell r="D1552">
            <v>0.48516949152542299</v>
          </cell>
          <cell r="E1552">
            <v>30.771733999999999</v>
          </cell>
          <cell r="F1552">
            <v>0.20338983050847401</v>
          </cell>
          <cell r="G1552">
            <v>232.780473</v>
          </cell>
          <cell r="H1552">
            <v>0.65680803571428503</v>
          </cell>
          <cell r="I1552">
            <v>61.3003</v>
          </cell>
          <cell r="J1552">
            <v>0.18973214285714199</v>
          </cell>
          <cell r="K1552">
            <v>867.88915899999995</v>
          </cell>
          <cell r="L1552">
            <v>2.91144335825186</v>
          </cell>
          <cell r="M1552">
            <v>255.16820899999999</v>
          </cell>
          <cell r="N1552">
            <v>2.5963197239792901</v>
          </cell>
          <cell r="O1552">
            <v>165.63723999999999</v>
          </cell>
          <cell r="P1552">
            <v>0.58589511754068702</v>
          </cell>
          <cell r="Q1552">
            <v>71.387350999999995</v>
          </cell>
          <cell r="R1552">
            <v>0.45388788426763099</v>
          </cell>
          <cell r="S1552">
            <v>3607.3708299999998</v>
          </cell>
          <cell r="T1552">
            <v>2.3126165320074499</v>
          </cell>
          <cell r="U1552">
            <v>48.899191999999999</v>
          </cell>
          <cell r="V1552">
            <v>0.48663766314481</v>
          </cell>
        </row>
        <row r="1553">
          <cell r="A1553" t="str">
            <v>104202</v>
          </cell>
          <cell r="B1553">
            <v>1043.8</v>
          </cell>
          <cell r="C1553">
            <v>118.089934</v>
          </cell>
          <cell r="D1553">
            <v>0.40796963946869003</v>
          </cell>
          <cell r="E1553">
            <v>43.659607000000001</v>
          </cell>
          <cell r="F1553">
            <v>0.38994307400379502</v>
          </cell>
          <cell r="G1553">
            <v>88.183840000000004</v>
          </cell>
          <cell r="H1553">
            <v>0.183634633682207</v>
          </cell>
          <cell r="I1553">
            <v>79.762595000000005</v>
          </cell>
          <cell r="J1553">
            <v>0.14843006660323499</v>
          </cell>
          <cell r="K1553">
            <v>349.11763300000001</v>
          </cell>
          <cell r="L1553">
            <v>2.1845861084681202</v>
          </cell>
          <cell r="M1553">
            <v>183.993751</v>
          </cell>
          <cell r="N1553">
            <v>2.1246431969552799</v>
          </cell>
          <cell r="O1553">
            <v>204.2337</v>
          </cell>
          <cell r="P1553">
            <v>1.6746641074855999</v>
          </cell>
          <cell r="Q1553">
            <v>193.40155100000001</v>
          </cell>
          <cell r="R1553">
            <v>1.66122840690978</v>
          </cell>
          <cell r="S1553">
            <v>2693.9885720000002</v>
          </cell>
          <cell r="T1553">
            <v>2.4730656219392699</v>
          </cell>
          <cell r="U1553">
            <v>39.770698000000003</v>
          </cell>
          <cell r="V1553">
            <v>0.79138099902056802</v>
          </cell>
        </row>
        <row r="1554">
          <cell r="A1554" t="str">
            <v>104301</v>
          </cell>
          <cell r="B1554">
            <v>33</v>
          </cell>
          <cell r="C1554">
            <v>0</v>
          </cell>
          <cell r="D1554">
            <v>0</v>
          </cell>
          <cell r="E1554">
            <v>0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6675.9823230000002</v>
          </cell>
          <cell r="L1554">
            <v>5.39393939393939</v>
          </cell>
          <cell r="M1554">
            <v>350.38232299999999</v>
          </cell>
          <cell r="N1554">
            <v>1.4242424242424201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1.271212</v>
          </cell>
          <cell r="T1554">
            <v>3.03030303030303E-2</v>
          </cell>
          <cell r="U1554">
            <v>1.271212</v>
          </cell>
          <cell r="V1554">
            <v>3.03030303030303E-2</v>
          </cell>
        </row>
        <row r="1555">
          <cell r="A1555" t="str">
            <v>104302</v>
          </cell>
          <cell r="B1555">
            <v>547.71428500000002</v>
          </cell>
          <cell r="C1555">
            <v>166.77841100000001</v>
          </cell>
          <cell r="D1555">
            <v>0.63195691202872495</v>
          </cell>
          <cell r="E1555">
            <v>166.77841100000001</v>
          </cell>
          <cell r="F1555">
            <v>0.63195691202872495</v>
          </cell>
          <cell r="G1555">
            <v>109.77027099999999</v>
          </cell>
          <cell r="H1555">
            <v>0.95</v>
          </cell>
          <cell r="I1555">
            <v>109.77027099999999</v>
          </cell>
          <cell r="J1555">
            <v>0.95</v>
          </cell>
          <cell r="K1555">
            <v>467.17915799999997</v>
          </cell>
          <cell r="L1555">
            <v>1.3914656771799601</v>
          </cell>
          <cell r="M1555">
            <v>201.50581299999999</v>
          </cell>
          <cell r="N1555">
            <v>1.2356215213357999</v>
          </cell>
          <cell r="O1555">
            <v>67.038877999999997</v>
          </cell>
          <cell r="P1555">
            <v>1.31931166347992</v>
          </cell>
          <cell r="Q1555">
            <v>67.038877999999997</v>
          </cell>
          <cell r="R1555">
            <v>1.31931166347992</v>
          </cell>
          <cell r="S1555">
            <v>63.968756999999997</v>
          </cell>
          <cell r="T1555">
            <v>5.91397849462365E-2</v>
          </cell>
          <cell r="U1555">
            <v>13.056272</v>
          </cell>
          <cell r="V1555">
            <v>4.12186379928315E-2</v>
          </cell>
        </row>
        <row r="1556">
          <cell r="A1556" t="str">
            <v>104401</v>
          </cell>
          <cell r="B1556">
            <v>371.71428500000002</v>
          </cell>
          <cell r="C1556">
            <v>209.30838</v>
          </cell>
          <cell r="D1556">
            <v>0.13636363636363599</v>
          </cell>
          <cell r="E1556">
            <v>209.30838</v>
          </cell>
          <cell r="F1556">
            <v>0.13636363636363599</v>
          </cell>
          <cell r="G1556">
            <v>276.302393</v>
          </cell>
          <cell r="H1556">
            <v>1.7226666666666599</v>
          </cell>
          <cell r="I1556">
            <v>276.302393</v>
          </cell>
          <cell r="J1556">
            <v>1.7226666666666599</v>
          </cell>
          <cell r="K1556">
            <v>171.506925</v>
          </cell>
          <cell r="L1556">
            <v>1.04289544235924</v>
          </cell>
          <cell r="M1556">
            <v>171.506925</v>
          </cell>
          <cell r="N1556">
            <v>1.04289544235924</v>
          </cell>
          <cell r="O1556">
            <v>60.106316</v>
          </cell>
          <cell r="P1556">
            <v>0.212365591397849</v>
          </cell>
          <cell r="Q1556">
            <v>15.423969</v>
          </cell>
          <cell r="R1556">
            <v>0.18548387096774099</v>
          </cell>
          <cell r="S1556">
            <v>97.045378999999997</v>
          </cell>
          <cell r="T1556">
            <v>0.374999999999999</v>
          </cell>
          <cell r="U1556">
            <v>96.854619</v>
          </cell>
          <cell r="V1556">
            <v>0.372282608695652</v>
          </cell>
        </row>
        <row r="1557">
          <cell r="A1557" t="str">
            <v>104404</v>
          </cell>
          <cell r="B1557">
            <v>635</v>
          </cell>
          <cell r="C1557">
            <v>34.322254000000001</v>
          </cell>
          <cell r="D1557">
            <v>0.14808652246256199</v>
          </cell>
          <cell r="E1557">
            <v>34.322254000000001</v>
          </cell>
          <cell r="F1557">
            <v>0.14808652246256199</v>
          </cell>
          <cell r="G1557">
            <v>641.27806499999997</v>
          </cell>
          <cell r="H1557">
            <v>1.0640624999999999</v>
          </cell>
          <cell r="I1557">
            <v>137.49015399999999</v>
          </cell>
          <cell r="J1557">
            <v>0.69687500000000002</v>
          </cell>
          <cell r="K1557">
            <v>274.99453899999997</v>
          </cell>
          <cell r="L1557">
            <v>1.04836193447737</v>
          </cell>
          <cell r="M1557">
            <v>274.99453899999997</v>
          </cell>
          <cell r="N1557">
            <v>1.04836193447737</v>
          </cell>
          <cell r="O1557">
            <v>6.5468500000000001</v>
          </cell>
          <cell r="P1557">
            <v>2.6771653543307E-2</v>
          </cell>
          <cell r="Q1557">
            <v>6.5468500000000001</v>
          </cell>
          <cell r="R1557">
            <v>2.6771653543307E-2</v>
          </cell>
          <cell r="S1557">
            <v>7.096222</v>
          </cell>
          <cell r="T1557">
            <v>1.3782542113323099E-2</v>
          </cell>
          <cell r="U1557">
            <v>7.096222</v>
          </cell>
          <cell r="V1557">
            <v>1.3782542113323099E-2</v>
          </cell>
        </row>
        <row r="1558">
          <cell r="A1558" t="str">
            <v>104405</v>
          </cell>
          <cell r="B1558">
            <v>888.4</v>
          </cell>
          <cell r="C1558">
            <v>41.986311999999998</v>
          </cell>
          <cell r="D1558">
            <v>8.3786724700761595E-2</v>
          </cell>
          <cell r="E1558">
            <v>23.876279</v>
          </cell>
          <cell r="F1558">
            <v>7.8346028291621295E-2</v>
          </cell>
          <cell r="G1558">
            <v>46.676929000000001</v>
          </cell>
          <cell r="H1558">
            <v>0.30316742081447901</v>
          </cell>
          <cell r="I1558">
            <v>39.662596999999998</v>
          </cell>
          <cell r="J1558">
            <v>0.29864253393665102</v>
          </cell>
          <cell r="K1558">
            <v>57.792842</v>
          </cell>
          <cell r="L1558">
            <v>8.0225988700564896E-2</v>
          </cell>
          <cell r="M1558">
            <v>57.445535999999997</v>
          </cell>
          <cell r="N1558">
            <v>7.57062146892655E-2</v>
          </cell>
          <cell r="O1558">
            <v>35.480418999999998</v>
          </cell>
          <cell r="P1558">
            <v>0.51418842224744599</v>
          </cell>
          <cell r="Q1558">
            <v>33.281497999999999</v>
          </cell>
          <cell r="R1558">
            <v>0.46765039727582203</v>
          </cell>
          <cell r="S1558">
            <v>519.25587900000005</v>
          </cell>
          <cell r="T1558">
            <v>1.66323024054982</v>
          </cell>
          <cell r="U1558">
            <v>116.507159</v>
          </cell>
          <cell r="V1558">
            <v>0.64261168384879697</v>
          </cell>
        </row>
        <row r="1559">
          <cell r="A1559" t="str">
            <v>104406</v>
          </cell>
          <cell r="B1559">
            <v>682.375</v>
          </cell>
          <cell r="C1559">
            <v>362.34071</v>
          </cell>
          <cell r="D1559">
            <v>1.2303206997084499</v>
          </cell>
          <cell r="E1559">
            <v>34.515379000000003</v>
          </cell>
          <cell r="F1559">
            <v>0.185131195335276</v>
          </cell>
          <cell r="G1559">
            <v>121.879481</v>
          </cell>
          <cell r="H1559">
            <v>9.4752186588921206E-2</v>
          </cell>
          <cell r="I1559">
            <v>2.1756790000000001</v>
          </cell>
          <cell r="J1559">
            <v>1.4577259475218599E-2</v>
          </cell>
          <cell r="K1559">
            <v>86.667638999999994</v>
          </cell>
          <cell r="L1559">
            <v>0.33284671532846699</v>
          </cell>
          <cell r="M1559">
            <v>86.667638999999994</v>
          </cell>
          <cell r="N1559">
            <v>0.33284671532846699</v>
          </cell>
          <cell r="O1559">
            <v>4.2389460000000003</v>
          </cell>
          <cell r="P1559">
            <v>5.1470588235294101E-2</v>
          </cell>
          <cell r="Q1559">
            <v>4.2389460000000003</v>
          </cell>
          <cell r="R1559">
            <v>5.1470588235294101E-2</v>
          </cell>
          <cell r="S1559">
            <v>16.356517</v>
          </cell>
          <cell r="T1559">
            <v>5.3333333333333302E-2</v>
          </cell>
          <cell r="U1559">
            <v>5.1697769999999998</v>
          </cell>
          <cell r="V1559">
            <v>3.4074074074074E-2</v>
          </cell>
        </row>
        <row r="1560">
          <cell r="A1560" t="str">
            <v>104801</v>
          </cell>
          <cell r="B1560">
            <v>1204.888888</v>
          </cell>
          <cell r="C1560">
            <v>338.75749300000001</v>
          </cell>
          <cell r="D1560">
            <v>1.26143790849673</v>
          </cell>
          <cell r="E1560">
            <v>338.75749300000001</v>
          </cell>
          <cell r="F1560">
            <v>1.26143790849673</v>
          </cell>
          <cell r="G1560">
            <v>33.656210000000002</v>
          </cell>
          <cell r="H1560">
            <v>0.15365653245686101</v>
          </cell>
          <cell r="I1560">
            <v>20.649587</v>
          </cell>
          <cell r="J1560">
            <v>0.14215283483976901</v>
          </cell>
          <cell r="K1560">
            <v>473.73917699999998</v>
          </cell>
          <cell r="L1560">
            <v>1.45874587458745</v>
          </cell>
          <cell r="M1560">
            <v>128.22476599999999</v>
          </cell>
          <cell r="N1560">
            <v>1.31848184818481</v>
          </cell>
          <cell r="O1560">
            <v>79.255005999999995</v>
          </cell>
          <cell r="P1560">
            <v>0.18227848101265801</v>
          </cell>
          <cell r="Q1560">
            <v>21.593375000000002</v>
          </cell>
          <cell r="R1560">
            <v>0.15358649789029499</v>
          </cell>
          <cell r="S1560">
            <v>29.401114</v>
          </cell>
          <cell r="T1560">
            <v>0.203177257525083</v>
          </cell>
          <cell r="U1560">
            <v>15.215635000000001</v>
          </cell>
          <cell r="V1560">
            <v>0.16137123745819301</v>
          </cell>
        </row>
        <row r="1561">
          <cell r="A1561" t="str">
            <v>104802</v>
          </cell>
          <cell r="B1561">
            <v>61.625</v>
          </cell>
          <cell r="C1561">
            <v>53.562311999999999</v>
          </cell>
          <cell r="D1561">
            <v>0.45161290322580599</v>
          </cell>
          <cell r="E1561">
            <v>53.562311999999999</v>
          </cell>
          <cell r="F1561">
            <v>0.45161290322580599</v>
          </cell>
          <cell r="G1561">
            <v>190.00739999999999</v>
          </cell>
          <cell r="H1561">
            <v>0.476190476190476</v>
          </cell>
          <cell r="I1561">
            <v>170.39753899999999</v>
          </cell>
          <cell r="J1561">
            <v>0.44444444444444398</v>
          </cell>
          <cell r="K1561">
            <v>12.221957</v>
          </cell>
          <cell r="L1561">
            <v>0.12698412698412601</v>
          </cell>
          <cell r="M1561">
            <v>12.221957</v>
          </cell>
          <cell r="N1561">
            <v>0.12698412698412601</v>
          </cell>
          <cell r="O1561">
            <v>565.83527700000002</v>
          </cell>
          <cell r="P1561">
            <v>1.3333333333333299</v>
          </cell>
          <cell r="Q1561">
            <v>124.674166</v>
          </cell>
          <cell r="R1561">
            <v>0.78333333333333299</v>
          </cell>
          <cell r="S1561">
            <v>376.33415200000002</v>
          </cell>
          <cell r="T1561">
            <v>1.0983606557376999</v>
          </cell>
          <cell r="U1561">
            <v>140.700546</v>
          </cell>
          <cell r="V1561">
            <v>0.95081967213114704</v>
          </cell>
        </row>
        <row r="1562">
          <cell r="A1562" t="str">
            <v>105301</v>
          </cell>
          <cell r="B1562">
            <v>2306.4</v>
          </cell>
          <cell r="C1562">
            <v>479.210328</v>
          </cell>
          <cell r="D1562">
            <v>1.17491610738255</v>
          </cell>
          <cell r="E1562">
            <v>62.252470000000002</v>
          </cell>
          <cell r="F1562">
            <v>0.55578859060402597</v>
          </cell>
          <cell r="G1562">
            <v>655.20632999999998</v>
          </cell>
          <cell r="H1562">
            <v>2.3296327924850502</v>
          </cell>
          <cell r="I1562">
            <v>169.20150000000001</v>
          </cell>
          <cell r="J1562">
            <v>0.89752348420153705</v>
          </cell>
          <cell r="K1562">
            <v>1589.9454820000001</v>
          </cell>
          <cell r="L1562">
            <v>2.8087031451960298</v>
          </cell>
          <cell r="M1562">
            <v>222.67048600000001</v>
          </cell>
          <cell r="N1562">
            <v>1.09392503231365</v>
          </cell>
          <cell r="O1562">
            <v>171.62203099999999</v>
          </cell>
          <cell r="P1562">
            <v>0.96706192358366205</v>
          </cell>
          <cell r="Q1562">
            <v>118.339313</v>
          </cell>
          <cell r="R1562">
            <v>0.89020641194554195</v>
          </cell>
          <cell r="S1562">
            <v>752.37016100000005</v>
          </cell>
          <cell r="T1562">
            <v>1.51630434782608</v>
          </cell>
          <cell r="U1562">
            <v>224.81280899999999</v>
          </cell>
          <cell r="V1562">
            <v>1.07019927536231</v>
          </cell>
        </row>
        <row r="1563">
          <cell r="A1563" t="str">
            <v>105302</v>
          </cell>
          <cell r="B1563">
            <v>294</v>
          </cell>
          <cell r="C1563">
            <v>302.46725700000002</v>
          </cell>
          <cell r="D1563">
            <v>0.29042904290429</v>
          </cell>
          <cell r="E1563">
            <v>36.534066000000003</v>
          </cell>
          <cell r="F1563">
            <v>0.17491749174917401</v>
          </cell>
          <cell r="G1563">
            <v>29.190859</v>
          </cell>
          <cell r="H1563">
            <v>0.24666666666666601</v>
          </cell>
          <cell r="I1563">
            <v>21.748159000000001</v>
          </cell>
          <cell r="J1563">
            <v>0.23</v>
          </cell>
          <cell r="K1563">
            <v>6.65</v>
          </cell>
          <cell r="L1563">
            <v>4.3771043771043697E-2</v>
          </cell>
          <cell r="M1563">
            <v>6.65</v>
          </cell>
          <cell r="N1563">
            <v>4.3771043771043697E-2</v>
          </cell>
          <cell r="O1563">
            <v>41.646572999999997</v>
          </cell>
          <cell r="P1563">
            <v>0.18815331010452899</v>
          </cell>
          <cell r="Q1563">
            <v>41.646572999999997</v>
          </cell>
          <cell r="R1563">
            <v>0.18815331010452899</v>
          </cell>
          <cell r="S1563">
            <v>4.160971</v>
          </cell>
          <cell r="T1563">
            <v>2.4911032028469698E-2</v>
          </cell>
          <cell r="U1563">
            <v>2.1893229999999999</v>
          </cell>
          <cell r="V1563">
            <v>2.13523131672597E-2</v>
          </cell>
        </row>
        <row r="1564">
          <cell r="A1564" t="str">
            <v>106101</v>
          </cell>
          <cell r="B1564">
            <v>339.16666600000002</v>
          </cell>
          <cell r="C1564">
            <v>19.378947</v>
          </cell>
          <cell r="D1564">
            <v>6.0060060060059997E-2</v>
          </cell>
          <cell r="E1564">
            <v>12.02159</v>
          </cell>
          <cell r="F1564">
            <v>5.7057057057056999E-2</v>
          </cell>
          <cell r="G1564">
            <v>335.413298</v>
          </cell>
          <cell r="H1564">
            <v>1.0240963855421601</v>
          </cell>
          <cell r="I1564">
            <v>335.413298</v>
          </cell>
          <cell r="J1564">
            <v>1.0240963855421601</v>
          </cell>
          <cell r="K1564">
            <v>9.4127390000000002</v>
          </cell>
          <cell r="L1564">
            <v>4.5317220543806602E-2</v>
          </cell>
          <cell r="M1564">
            <v>9.4127390000000002</v>
          </cell>
          <cell r="N1564">
            <v>4.5317220543806602E-2</v>
          </cell>
          <cell r="O1564">
            <v>2.324748</v>
          </cell>
          <cell r="P1564">
            <v>2.40963855421686E-2</v>
          </cell>
          <cell r="Q1564">
            <v>2.324748</v>
          </cell>
          <cell r="R1564">
            <v>2.40963855421686E-2</v>
          </cell>
          <cell r="S1564">
            <v>70.903965999999997</v>
          </cell>
          <cell r="T1564">
            <v>1.12032085561497</v>
          </cell>
          <cell r="U1564">
            <v>70.903965999999997</v>
          </cell>
          <cell r="V1564">
            <v>1.12032085561497</v>
          </cell>
        </row>
        <row r="1565">
          <cell r="A1565" t="str">
            <v>106102</v>
          </cell>
          <cell r="B1565">
            <v>425</v>
          </cell>
          <cell r="C1565">
            <v>86.566455000000005</v>
          </cell>
          <cell r="D1565">
            <v>1.04952830188679</v>
          </cell>
          <cell r="E1565">
            <v>86.566455000000005</v>
          </cell>
          <cell r="F1565">
            <v>1.04952830188679</v>
          </cell>
          <cell r="G1565">
            <v>333.707855</v>
          </cell>
          <cell r="H1565">
            <v>1.006993006993</v>
          </cell>
          <cell r="I1565">
            <v>333.707855</v>
          </cell>
          <cell r="J1565">
            <v>1.006993006993</v>
          </cell>
          <cell r="K1565">
            <v>198.634153</v>
          </cell>
          <cell r="L1565">
            <v>1.4238875878220101</v>
          </cell>
          <cell r="M1565">
            <v>198.634153</v>
          </cell>
          <cell r="N1565">
            <v>1.4238875878220101</v>
          </cell>
          <cell r="O1565">
            <v>0.99701899999999999</v>
          </cell>
          <cell r="P1565">
            <v>4.70588235294117E-3</v>
          </cell>
          <cell r="Q1565">
            <v>0.99701899999999999</v>
          </cell>
          <cell r="R1565">
            <v>4.70588235294117E-3</v>
          </cell>
          <cell r="S1565">
            <v>3.1923010000000001</v>
          </cell>
          <cell r="T1565">
            <v>5.7142857142857099E-2</v>
          </cell>
          <cell r="U1565">
            <v>3.1923010000000001</v>
          </cell>
          <cell r="V1565">
            <v>5.7142857142857099E-2</v>
          </cell>
        </row>
        <row r="1566">
          <cell r="A1566" t="str">
            <v>106301</v>
          </cell>
          <cell r="B1566">
            <v>192.66666599999999</v>
          </cell>
          <cell r="C1566">
            <v>143.25094899999999</v>
          </cell>
          <cell r="D1566">
            <v>1.1243523316062101</v>
          </cell>
          <cell r="E1566">
            <v>143.25094899999999</v>
          </cell>
          <cell r="F1566">
            <v>1.1243523316062101</v>
          </cell>
          <cell r="G1566">
            <v>13.738557</v>
          </cell>
          <cell r="H1566">
            <v>6.7708333333333301E-2</v>
          </cell>
          <cell r="I1566">
            <v>13.738557</v>
          </cell>
          <cell r="J1566">
            <v>6.7708333333333301E-2</v>
          </cell>
          <cell r="K1566">
            <v>236.872106</v>
          </cell>
          <cell r="L1566">
            <v>0.16580310880829</v>
          </cell>
          <cell r="M1566">
            <v>217.17314300000001</v>
          </cell>
          <cell r="N1566">
            <v>0.119170984455958</v>
          </cell>
          <cell r="O1566">
            <v>250.294127</v>
          </cell>
          <cell r="P1566">
            <v>2.1088082901554399</v>
          </cell>
          <cell r="Q1566">
            <v>250.294127</v>
          </cell>
          <cell r="R1566">
            <v>2.1088082901554399</v>
          </cell>
          <cell r="S1566">
            <v>3.913281</v>
          </cell>
          <cell r="T1566">
            <v>5.2083333333333301E-2</v>
          </cell>
          <cell r="U1566">
            <v>3.913281</v>
          </cell>
          <cell r="V1566">
            <v>5.2083333333333301E-2</v>
          </cell>
        </row>
        <row r="1567">
          <cell r="A1567" t="str">
            <v>106302</v>
          </cell>
          <cell r="B1567">
            <v>1300.1111109999999</v>
          </cell>
          <cell r="C1567">
            <v>252.50696600000001</v>
          </cell>
          <cell r="D1567">
            <v>2.8906474820143799</v>
          </cell>
          <cell r="E1567">
            <v>252.50696600000001</v>
          </cell>
          <cell r="F1567">
            <v>2.8906474820143799</v>
          </cell>
          <cell r="G1567">
            <v>18.168959999999998</v>
          </cell>
          <cell r="H1567">
            <v>0.19286754002911199</v>
          </cell>
          <cell r="I1567">
            <v>16.057402</v>
          </cell>
          <cell r="J1567">
            <v>0.18486171761280901</v>
          </cell>
          <cell r="K1567">
            <v>283.421492</v>
          </cell>
          <cell r="L1567">
            <v>2.3323657474600799</v>
          </cell>
          <cell r="M1567">
            <v>266.574746</v>
          </cell>
          <cell r="N1567">
            <v>2.2953555878084102</v>
          </cell>
          <cell r="O1567">
            <v>488.36810300000002</v>
          </cell>
          <cell r="P1567">
            <v>4.3840579710144896</v>
          </cell>
          <cell r="Q1567">
            <v>468.93015700000001</v>
          </cell>
          <cell r="R1567">
            <v>3.7637681159420202</v>
          </cell>
          <cell r="S1567">
            <v>1121.3193040000001</v>
          </cell>
          <cell r="T1567">
            <v>1.82640408460977</v>
          </cell>
          <cell r="U1567">
            <v>33.538986000000001</v>
          </cell>
          <cell r="V1567">
            <v>0.193289569657184</v>
          </cell>
        </row>
        <row r="1568">
          <cell r="A1568" t="str">
            <v>106501</v>
          </cell>
          <cell r="B1568">
            <v>810.11111100000005</v>
          </cell>
          <cell r="C1568">
            <v>72.173817</v>
          </cell>
          <cell r="D1568">
            <v>0.41032998565279699</v>
          </cell>
          <cell r="E1568">
            <v>63.846404</v>
          </cell>
          <cell r="F1568">
            <v>0.385939741750358</v>
          </cell>
          <cell r="G1568">
            <v>216.615241</v>
          </cell>
          <cell r="H1568">
            <v>1.4054834054834</v>
          </cell>
          <cell r="I1568">
            <v>216.615241</v>
          </cell>
          <cell r="J1568">
            <v>1.4054834054834</v>
          </cell>
          <cell r="K1568">
            <v>255.00648200000001</v>
          </cell>
          <cell r="L1568">
            <v>0.92927864214992895</v>
          </cell>
          <cell r="M1568">
            <v>155.14542599999999</v>
          </cell>
          <cell r="N1568">
            <v>0.81329561527581296</v>
          </cell>
          <cell r="O1568">
            <v>121.806105</v>
          </cell>
          <cell r="P1568">
            <v>0.47058823529411697</v>
          </cell>
          <cell r="Q1568">
            <v>87.389326999999994</v>
          </cell>
          <cell r="R1568">
            <v>0.45053475935828802</v>
          </cell>
          <cell r="S1568">
            <v>166.92497700000001</v>
          </cell>
          <cell r="T1568">
            <v>0.20924149956408</v>
          </cell>
          <cell r="U1568">
            <v>107.917974</v>
          </cell>
          <cell r="V1568">
            <v>0.146469049694856</v>
          </cell>
        </row>
        <row r="1569">
          <cell r="A1569" t="str">
            <v>106502</v>
          </cell>
          <cell r="B1569">
            <v>1193.5999999999999</v>
          </cell>
          <cell r="C1569">
            <v>93.087142</v>
          </cell>
          <cell r="D1569">
            <v>0.36275375110326502</v>
          </cell>
          <cell r="E1569">
            <v>65.845152999999996</v>
          </cell>
          <cell r="F1569">
            <v>0.335392762577228</v>
          </cell>
          <cell r="G1569">
            <v>93.868274</v>
          </cell>
          <cell r="H1569">
            <v>0.34008810572687198</v>
          </cell>
          <cell r="I1569">
            <v>90.564098999999999</v>
          </cell>
          <cell r="J1569">
            <v>0.33744493392070402</v>
          </cell>
          <cell r="K1569">
            <v>376.85110800000001</v>
          </cell>
          <cell r="L1569">
            <v>0.81786339754816095</v>
          </cell>
          <cell r="M1569">
            <v>150.84084899999999</v>
          </cell>
          <cell r="N1569">
            <v>0.68301225919439501</v>
          </cell>
          <cell r="O1569">
            <v>86.393838000000002</v>
          </cell>
          <cell r="P1569">
            <v>0.38841567291311702</v>
          </cell>
          <cell r="Q1569">
            <v>38.112464000000003</v>
          </cell>
          <cell r="R1569">
            <v>0.30238500851788702</v>
          </cell>
          <cell r="S1569">
            <v>228.65927199999999</v>
          </cell>
          <cell r="T1569">
            <v>1.8721098265895899</v>
          </cell>
          <cell r="U1569">
            <v>224.19324399999999</v>
          </cell>
          <cell r="V1569">
            <v>1.8591040462427699</v>
          </cell>
        </row>
        <row r="1570">
          <cell r="A1570" t="str">
            <v>106503</v>
          </cell>
          <cell r="B1570">
            <v>1593</v>
          </cell>
          <cell r="C1570">
            <v>72.150524000000004</v>
          </cell>
          <cell r="D1570">
            <v>0.17409766454352399</v>
          </cell>
          <cell r="E1570">
            <v>60.521689000000002</v>
          </cell>
          <cell r="F1570">
            <v>0.15852795470629799</v>
          </cell>
          <cell r="G1570">
            <v>458.93270100000001</v>
          </cell>
          <cell r="H1570">
            <v>0.48343904157857598</v>
          </cell>
          <cell r="I1570">
            <v>51.187963000000003</v>
          </cell>
          <cell r="J1570">
            <v>0.17477096546863899</v>
          </cell>
          <cell r="K1570">
            <v>107.012092</v>
          </cell>
          <cell r="L1570">
            <v>0.25123152709359597</v>
          </cell>
          <cell r="M1570">
            <v>49.510579</v>
          </cell>
          <cell r="N1570">
            <v>0.22378606615059801</v>
          </cell>
          <cell r="O1570">
            <v>392.97301900000002</v>
          </cell>
          <cell r="P1570">
            <v>2.6547054840893698</v>
          </cell>
          <cell r="Q1570">
            <v>357.43757599999998</v>
          </cell>
          <cell r="R1570">
            <v>2.5890318212593</v>
          </cell>
          <cell r="S1570">
            <v>54.318731</v>
          </cell>
          <cell r="T1570">
            <v>0.27024608501118502</v>
          </cell>
          <cell r="U1570">
            <v>51.207680000000003</v>
          </cell>
          <cell r="V1570">
            <v>0.266666666666666</v>
          </cell>
        </row>
        <row r="1571">
          <cell r="A1571" t="str">
            <v>106504</v>
          </cell>
          <cell r="B1571">
            <v>2000.375</v>
          </cell>
          <cell r="C1571">
            <v>29.731864999999999</v>
          </cell>
          <cell r="D1571">
            <v>0.13529411764705801</v>
          </cell>
          <cell r="E1571">
            <v>29.731864999999999</v>
          </cell>
          <cell r="F1571">
            <v>0.13529411764705801</v>
          </cell>
          <cell r="G1571">
            <v>366.38933700000001</v>
          </cell>
          <cell r="H1571">
            <v>0.63402527075812198</v>
          </cell>
          <cell r="I1571">
            <v>120.525115</v>
          </cell>
          <cell r="J1571">
            <v>0.45803249097472898</v>
          </cell>
          <cell r="K1571">
            <v>308.30073399999998</v>
          </cell>
          <cell r="L1571">
            <v>3.3138226024313302</v>
          </cell>
          <cell r="M1571">
            <v>280.990409</v>
          </cell>
          <cell r="N1571">
            <v>3.2944619540747402</v>
          </cell>
          <cell r="O1571">
            <v>41.468992999999998</v>
          </cell>
          <cell r="P1571">
            <v>0.11052882324916601</v>
          </cell>
          <cell r="Q1571">
            <v>39.628307</v>
          </cell>
          <cell r="R1571">
            <v>0.104811815150071</v>
          </cell>
          <cell r="S1571">
            <v>3.8904990000000002</v>
          </cell>
          <cell r="T1571">
            <v>1.8030513176144201E-2</v>
          </cell>
          <cell r="U1571">
            <v>3.8904990000000002</v>
          </cell>
          <cell r="V1571">
            <v>1.8030513176144201E-2</v>
          </cell>
        </row>
        <row r="1572">
          <cell r="A1572" t="str">
            <v>106601</v>
          </cell>
          <cell r="B1572">
            <v>967.4</v>
          </cell>
          <cell r="C1572">
            <v>96.340509999999995</v>
          </cell>
          <cell r="D1572">
            <v>0.54225352112675995</v>
          </cell>
          <cell r="E1572">
            <v>64.690905000000001</v>
          </cell>
          <cell r="F1572">
            <v>0.45070422535211202</v>
          </cell>
          <cell r="G1572">
            <v>115.37965699999999</v>
          </cell>
          <cell r="H1572">
            <v>0.77277277277277201</v>
          </cell>
          <cell r="I1572">
            <v>86.368157999999994</v>
          </cell>
          <cell r="J1572">
            <v>0.75175175175175102</v>
          </cell>
          <cell r="K1572">
            <v>510.86051300000003</v>
          </cell>
          <cell r="L1572">
            <v>3.0797546012269899</v>
          </cell>
          <cell r="M1572">
            <v>476.02249399999999</v>
          </cell>
          <cell r="N1572">
            <v>3.05010224948875</v>
          </cell>
          <cell r="O1572">
            <v>347.23569300000003</v>
          </cell>
          <cell r="P1572">
            <v>1.7559462254395</v>
          </cell>
          <cell r="Q1572">
            <v>343.02576599999998</v>
          </cell>
          <cell r="R1572">
            <v>1.7352637021716599</v>
          </cell>
          <cell r="S1572">
            <v>753.34017300000005</v>
          </cell>
          <cell r="T1572">
            <v>1.8020022246941001</v>
          </cell>
          <cell r="U1572">
            <v>700.52639899999997</v>
          </cell>
          <cell r="V1572">
            <v>1.7842046718576099</v>
          </cell>
        </row>
        <row r="1573">
          <cell r="A1573" t="str">
            <v>106602</v>
          </cell>
          <cell r="B1573">
            <v>89.5</v>
          </cell>
          <cell r="C1573">
            <v>0</v>
          </cell>
          <cell r="D1573">
            <v>0</v>
          </cell>
          <cell r="E1573">
            <v>0</v>
          </cell>
          <cell r="F1573">
            <v>0</v>
          </cell>
          <cell r="G1573">
            <v>0</v>
          </cell>
          <cell r="H1573">
            <v>0</v>
          </cell>
          <cell r="I1573">
            <v>0</v>
          </cell>
          <cell r="J1573">
            <v>0</v>
          </cell>
          <cell r="K1573">
            <v>915.52018499999997</v>
          </cell>
          <cell r="L1573">
            <v>4.4555555555555504</v>
          </cell>
          <cell r="M1573">
            <v>915.52018499999997</v>
          </cell>
          <cell r="N1573">
            <v>4.4555555555555504</v>
          </cell>
          <cell r="O1573">
            <v>1.383146</v>
          </cell>
          <cell r="P1573">
            <v>1.12359550561797E-2</v>
          </cell>
          <cell r="Q1573">
            <v>1.383146</v>
          </cell>
          <cell r="R1573">
            <v>1.12359550561797E-2</v>
          </cell>
          <cell r="S1573">
            <v>0</v>
          </cell>
          <cell r="T1573">
            <v>0</v>
          </cell>
          <cell r="U1573">
            <v>0</v>
          </cell>
          <cell r="V1573">
            <v>0</v>
          </cell>
        </row>
        <row r="1574">
          <cell r="A1574" t="str">
            <v>106603</v>
          </cell>
          <cell r="B1574">
            <v>311.28571399999998</v>
          </cell>
          <cell r="C1574">
            <v>24.787828999999999</v>
          </cell>
          <cell r="D1574">
            <v>0.15432098765432001</v>
          </cell>
          <cell r="E1574">
            <v>24.787828999999999</v>
          </cell>
          <cell r="F1574">
            <v>0.15432098765432001</v>
          </cell>
          <cell r="G1574">
            <v>10.878171</v>
          </cell>
          <cell r="H1574">
            <v>9.0909090909090898E-2</v>
          </cell>
          <cell r="I1574">
            <v>10.878171</v>
          </cell>
          <cell r="J1574">
            <v>9.0909090909090898E-2</v>
          </cell>
          <cell r="K1574">
            <v>65.807647000000003</v>
          </cell>
          <cell r="L1574">
            <v>0.25</v>
          </cell>
          <cell r="M1574">
            <v>65.807647000000003</v>
          </cell>
          <cell r="N1574">
            <v>0.25</v>
          </cell>
          <cell r="O1574">
            <v>110.972025</v>
          </cell>
          <cell r="P1574">
            <v>0.53054662379421202</v>
          </cell>
          <cell r="Q1574">
            <v>105.98124300000001</v>
          </cell>
          <cell r="R1574">
            <v>0.52733118971060999</v>
          </cell>
          <cell r="S1574">
            <v>218.07530600000001</v>
          </cell>
          <cell r="T1574">
            <v>0.85284280936454804</v>
          </cell>
          <cell r="U1574">
            <v>217.24370099999999</v>
          </cell>
          <cell r="V1574">
            <v>0.84949832775919698</v>
          </cell>
        </row>
        <row r="1575">
          <cell r="A1575" t="str">
            <v>106901</v>
          </cell>
          <cell r="B1575">
            <v>1375.444444</v>
          </cell>
          <cell r="C1575">
            <v>199.19079600000001</v>
          </cell>
          <cell r="D1575">
            <v>0.60355029585798803</v>
          </cell>
          <cell r="E1575">
            <v>199.19079600000001</v>
          </cell>
          <cell r="F1575">
            <v>0.60355029585798803</v>
          </cell>
          <cell r="G1575">
            <v>30.548196999999998</v>
          </cell>
          <cell r="H1575">
            <v>7.6005025125628095E-2</v>
          </cell>
          <cell r="I1575">
            <v>3.9699270000000002</v>
          </cell>
          <cell r="J1575">
            <v>1.8216080402010001E-2</v>
          </cell>
          <cell r="K1575">
            <v>144.82088200000001</v>
          </cell>
          <cell r="L1575">
            <v>0.84605678233438397</v>
          </cell>
          <cell r="M1575">
            <v>75.388537999999997</v>
          </cell>
          <cell r="N1575">
            <v>0.473817034700315</v>
          </cell>
          <cell r="O1575">
            <v>904.09115199999997</v>
          </cell>
          <cell r="P1575">
            <v>1.2810126582278401</v>
          </cell>
          <cell r="Q1575">
            <v>70.335808</v>
          </cell>
          <cell r="R1575">
            <v>0.56033755274261599</v>
          </cell>
          <cell r="S1575">
            <v>56.670552000000001</v>
          </cell>
          <cell r="T1575">
            <v>0.28716645489199399</v>
          </cell>
          <cell r="U1575">
            <v>35.305441999999999</v>
          </cell>
          <cell r="V1575">
            <v>0.23951715374841101</v>
          </cell>
        </row>
        <row r="1576">
          <cell r="A1576" t="str">
            <v>106902</v>
          </cell>
          <cell r="B1576">
            <v>692.66666599999996</v>
          </cell>
          <cell r="C1576">
            <v>120.890726</v>
          </cell>
          <cell r="D1576">
            <v>1.0682819383259901</v>
          </cell>
          <cell r="E1576">
            <v>120.890726</v>
          </cell>
          <cell r="F1576">
            <v>1.0682819383259901</v>
          </cell>
          <cell r="G1576">
            <v>72.558850000000007</v>
          </cell>
          <cell r="H1576">
            <v>7.0021881838074299E-2</v>
          </cell>
          <cell r="I1576">
            <v>1.4575899999999999</v>
          </cell>
          <cell r="J1576">
            <v>6.5645514223194703E-3</v>
          </cell>
          <cell r="K1576">
            <v>294.96248100000003</v>
          </cell>
          <cell r="L1576">
            <v>0.27753303964757697</v>
          </cell>
          <cell r="M1576">
            <v>8.6617470000000001</v>
          </cell>
          <cell r="N1576">
            <v>2.6431718061673999E-2</v>
          </cell>
          <cell r="O1576">
            <v>1784.382936</v>
          </cell>
          <cell r="P1576">
            <v>2.1406411582213001</v>
          </cell>
          <cell r="Q1576">
            <v>167.07804200000001</v>
          </cell>
          <cell r="R1576">
            <v>0.97104446742502504</v>
          </cell>
          <cell r="S1576">
            <v>146.516896</v>
          </cell>
          <cell r="T1576">
            <v>1.9130434782608601</v>
          </cell>
          <cell r="U1576">
            <v>122.06992700000001</v>
          </cell>
          <cell r="V1576">
            <v>1.8379446640316199</v>
          </cell>
        </row>
        <row r="1577">
          <cell r="A1577" t="str">
            <v>107201</v>
          </cell>
          <cell r="B1577">
            <v>1369.8</v>
          </cell>
          <cell r="C1577">
            <v>10121.609028999999</v>
          </cell>
          <cell r="D1577">
            <v>6.4038961038961002</v>
          </cell>
          <cell r="E1577">
            <v>628.42424500000004</v>
          </cell>
          <cell r="F1577">
            <v>4.2961038961038902</v>
          </cell>
          <cell r="G1577">
            <v>899.40978299999995</v>
          </cell>
          <cell r="H1577">
            <v>3.4377059986815999</v>
          </cell>
          <cell r="I1577">
            <v>381.38637</v>
          </cell>
          <cell r="J1577">
            <v>3.08305866842452</v>
          </cell>
          <cell r="K1577">
            <v>2762.150173</v>
          </cell>
          <cell r="L1577">
            <v>5.9777632439502897</v>
          </cell>
          <cell r="M1577">
            <v>1885.906463</v>
          </cell>
          <cell r="N1577">
            <v>4.3459777632439502</v>
          </cell>
          <cell r="O1577">
            <v>1019.984944</v>
          </cell>
          <cell r="P1577">
            <v>2.6440789473684201</v>
          </cell>
          <cell r="Q1577">
            <v>227.299846</v>
          </cell>
          <cell r="R1577">
            <v>0.82105263157894703</v>
          </cell>
          <cell r="S1577">
            <v>1370.8555180000001</v>
          </cell>
          <cell r="T1577">
            <v>2.6259087904824798</v>
          </cell>
          <cell r="U1577">
            <v>556.91456200000005</v>
          </cell>
          <cell r="V1577">
            <v>1.4904163912756101</v>
          </cell>
        </row>
        <row r="1578">
          <cell r="A1578" t="str">
            <v>107202</v>
          </cell>
          <cell r="B1578">
            <v>1442.2</v>
          </cell>
          <cell r="C1578">
            <v>3326.1353730000001</v>
          </cell>
          <cell r="D1578">
            <v>4.9348894348894303</v>
          </cell>
          <cell r="E1578">
            <v>755.60261800000001</v>
          </cell>
          <cell r="F1578">
            <v>2.88943488943488</v>
          </cell>
          <cell r="G1578">
            <v>2138.2034610000001</v>
          </cell>
          <cell r="H1578">
            <v>5.1184210526315699</v>
          </cell>
          <cell r="I1578">
            <v>1005.884723</v>
          </cell>
          <cell r="J1578">
            <v>3.6422305764410998</v>
          </cell>
          <cell r="K1578">
            <v>3307.9617090000002</v>
          </cell>
          <cell r="L1578">
            <v>6.8618543870566198</v>
          </cell>
          <cell r="M1578">
            <v>1767.8586909999999</v>
          </cell>
          <cell r="N1578">
            <v>5.4903546981953903</v>
          </cell>
          <cell r="O1578">
            <v>1177.7962500000001</v>
          </cell>
          <cell r="P1578">
            <v>2.4768170426065099</v>
          </cell>
          <cell r="Q1578">
            <v>953.08020999999997</v>
          </cell>
          <cell r="R1578">
            <v>2.0570175438596401</v>
          </cell>
          <cell r="S1578">
            <v>1459.6759999999999</v>
          </cell>
          <cell r="T1578">
            <v>3.9687108886107598</v>
          </cell>
          <cell r="U1578">
            <v>761.58504300000004</v>
          </cell>
          <cell r="V1578">
            <v>2.8798498122653302</v>
          </cell>
        </row>
        <row r="1579">
          <cell r="A1579" t="str">
            <v>107203</v>
          </cell>
          <cell r="B1579">
            <v>660.6</v>
          </cell>
          <cell r="C1579">
            <v>9276.450648</v>
          </cell>
          <cell r="D1579">
            <v>8.2236842105263097</v>
          </cell>
          <cell r="E1579">
            <v>804.312363</v>
          </cell>
          <cell r="F1579">
            <v>5.2236842105263097</v>
          </cell>
          <cell r="G1579">
            <v>2607.0782810000001</v>
          </cell>
          <cell r="H1579">
            <v>5.5796519410977199</v>
          </cell>
          <cell r="I1579">
            <v>606.36156400000004</v>
          </cell>
          <cell r="J1579">
            <v>3.0682730923694699</v>
          </cell>
          <cell r="K1579">
            <v>1474.2088229999999</v>
          </cell>
          <cell r="L1579">
            <v>3.8262653898768799</v>
          </cell>
          <cell r="M1579">
            <v>986.83962599999995</v>
          </cell>
          <cell r="N1579">
            <v>3.2311901504787901</v>
          </cell>
          <cell r="O1579">
            <v>3601.137189</v>
          </cell>
          <cell r="P1579">
            <v>4.7920110192837404</v>
          </cell>
          <cell r="Q1579">
            <v>1202.8465329999999</v>
          </cell>
          <cell r="R1579">
            <v>3.6308539944903502</v>
          </cell>
          <cell r="S1579">
            <v>1022.362725</v>
          </cell>
          <cell r="T1579">
            <v>3.0319888734353202</v>
          </cell>
          <cell r="U1579">
            <v>418.93938300000002</v>
          </cell>
          <cell r="V1579">
            <v>1.94993045897079</v>
          </cell>
        </row>
        <row r="1580">
          <cell r="A1580" t="str">
            <v>107501</v>
          </cell>
          <cell r="B1580">
            <v>1741</v>
          </cell>
          <cell r="C1580">
            <v>91.07611</v>
          </cell>
          <cell r="D1580">
            <v>0.87485843714609202</v>
          </cell>
          <cell r="E1580">
            <v>90.229713000000004</v>
          </cell>
          <cell r="F1580">
            <v>0.87032842582106396</v>
          </cell>
          <cell r="G1580">
            <v>1352.4119760000001</v>
          </cell>
          <cell r="H1580">
            <v>1.7393284006829799</v>
          </cell>
          <cell r="I1580">
            <v>196.19972899999999</v>
          </cell>
          <cell r="J1580">
            <v>0.81161070005691505</v>
          </cell>
          <cell r="K1580">
            <v>2064.6704490000002</v>
          </cell>
          <cell r="L1580">
            <v>3.9646320593268598</v>
          </cell>
          <cell r="M1580">
            <v>1142.6369549999999</v>
          </cell>
          <cell r="N1580">
            <v>2.9064460924129998</v>
          </cell>
          <cell r="O1580">
            <v>402.182883</v>
          </cell>
          <cell r="P1580">
            <v>3.1248534583821801</v>
          </cell>
          <cell r="Q1580">
            <v>367.532805</v>
          </cell>
          <cell r="R1580">
            <v>3.0539273153575599</v>
          </cell>
          <cell r="S1580">
            <v>149.50188499999999</v>
          </cell>
          <cell r="T1580">
            <v>0.35519442832269199</v>
          </cell>
          <cell r="U1580">
            <v>38.972470000000001</v>
          </cell>
          <cell r="V1580">
            <v>0.234474753337202</v>
          </cell>
        </row>
        <row r="1581">
          <cell r="A1581" t="str">
            <v>107502</v>
          </cell>
          <cell r="B1581">
            <v>2864.4</v>
          </cell>
          <cell r="C1581">
            <v>579.29161199999999</v>
          </cell>
          <cell r="D1581">
            <v>4.3468208092485501</v>
          </cell>
          <cell r="E1581">
            <v>578.67380900000001</v>
          </cell>
          <cell r="F1581">
            <v>4.3420605236314103</v>
          </cell>
          <cell r="G1581">
            <v>1140.3980389999999</v>
          </cell>
          <cell r="H1581">
            <v>3.0058681394545999</v>
          </cell>
          <cell r="I1581">
            <v>524.72419500000001</v>
          </cell>
          <cell r="J1581">
            <v>2.4276838108387899</v>
          </cell>
          <cell r="K1581">
            <v>1530.290724</v>
          </cell>
          <cell r="L1581">
            <v>3.14206896551724</v>
          </cell>
          <cell r="M1581">
            <v>378.50533899999999</v>
          </cell>
          <cell r="N1581">
            <v>1.55103448275862</v>
          </cell>
          <cell r="O1581">
            <v>1344.558591</v>
          </cell>
          <cell r="P1581">
            <v>4.5076703531930002</v>
          </cell>
          <cell r="Q1581">
            <v>669.20019600000001</v>
          </cell>
          <cell r="R1581">
            <v>3.6375312165536902</v>
          </cell>
          <cell r="S1581">
            <v>511.36889500000001</v>
          </cell>
          <cell r="T1581">
            <v>2.1891405969075799</v>
          </cell>
          <cell r="U1581">
            <v>469.32474500000001</v>
          </cell>
          <cell r="V1581">
            <v>2.0837828119381498</v>
          </cell>
        </row>
        <row r="1582">
          <cell r="A1582" t="str">
            <v>107503</v>
          </cell>
          <cell r="B1582">
            <v>1270.8</v>
          </cell>
          <cell r="C1582">
            <v>3.3898259999999998</v>
          </cell>
          <cell r="D1582">
            <v>5.3000779423226799E-2</v>
          </cell>
          <cell r="E1582">
            <v>2.5437690000000002</v>
          </cell>
          <cell r="F1582">
            <v>4.83242400623538E-2</v>
          </cell>
          <cell r="G1582">
            <v>95.981384000000006</v>
          </cell>
          <cell r="H1582">
            <v>0.38780297107114903</v>
          </cell>
          <cell r="I1582">
            <v>95.946550000000002</v>
          </cell>
          <cell r="J1582">
            <v>0.38702111024237601</v>
          </cell>
          <cell r="K1582">
            <v>609.73453199999994</v>
          </cell>
          <cell r="L1582">
            <v>2.4851330203442799</v>
          </cell>
          <cell r="M1582">
            <v>303.93182000000002</v>
          </cell>
          <cell r="N1582">
            <v>1.9147104851330199</v>
          </cell>
          <cell r="O1582">
            <v>592.60284200000001</v>
          </cell>
          <cell r="P1582">
            <v>2.6366508688783501</v>
          </cell>
          <cell r="Q1582">
            <v>219.595339</v>
          </cell>
          <cell r="R1582">
            <v>1.9755134281200599</v>
          </cell>
          <cell r="S1582">
            <v>304.81710600000002</v>
          </cell>
          <cell r="T1582">
            <v>1.2315705128205101</v>
          </cell>
          <cell r="U1582">
            <v>289.03267799999998</v>
          </cell>
          <cell r="V1582">
            <v>1.1754807692307601</v>
          </cell>
        </row>
        <row r="1583">
          <cell r="A1583" t="str">
            <v>107601</v>
          </cell>
          <cell r="B1583">
            <v>1749</v>
          </cell>
          <cell r="C1583">
            <v>140.49703</v>
          </cell>
          <cell r="D1583">
            <v>0.25902992776057698</v>
          </cell>
          <cell r="E1583">
            <v>140.49703</v>
          </cell>
          <cell r="F1583">
            <v>0.25902992776057698</v>
          </cell>
          <cell r="G1583">
            <v>16.794157999999999</v>
          </cell>
          <cell r="H1583">
            <v>8.0636604774535797E-2</v>
          </cell>
          <cell r="I1583">
            <v>16.794157999999999</v>
          </cell>
          <cell r="J1583">
            <v>8.0636604774535797E-2</v>
          </cell>
          <cell r="K1583">
            <v>115.61927</v>
          </cell>
          <cell r="L1583">
            <v>0.20799999999999899</v>
          </cell>
          <cell r="M1583">
            <v>12.234977000000001</v>
          </cell>
          <cell r="N1583">
            <v>0.123733333333333</v>
          </cell>
          <cell r="O1583">
            <v>39.160584</v>
          </cell>
          <cell r="P1583">
            <v>0.25500812127774702</v>
          </cell>
          <cell r="Q1583">
            <v>37.953961</v>
          </cell>
          <cell r="R1583">
            <v>0.247969680563075</v>
          </cell>
          <cell r="S1583">
            <v>120.884911</v>
          </cell>
          <cell r="T1583">
            <v>1.04223064428803</v>
          </cell>
          <cell r="U1583">
            <v>120.673136</v>
          </cell>
          <cell r="V1583">
            <v>1.04168922577152</v>
          </cell>
        </row>
        <row r="1584">
          <cell r="A1584" t="str">
            <v>107602</v>
          </cell>
          <cell r="B1584">
            <v>150.80000000000001</v>
          </cell>
          <cell r="C1584">
            <v>0</v>
          </cell>
          <cell r="D1584">
            <v>0</v>
          </cell>
          <cell r="E1584">
            <v>0</v>
          </cell>
          <cell r="F1584">
            <v>0</v>
          </cell>
          <cell r="G1584">
            <v>160.33914300000001</v>
          </cell>
          <cell r="H1584">
            <v>1.0133333333333301</v>
          </cell>
          <cell r="I1584">
            <v>157.93888799999999</v>
          </cell>
          <cell r="J1584">
            <v>1.0066666666666599</v>
          </cell>
          <cell r="K1584">
            <v>6.7716329999999996</v>
          </cell>
          <cell r="L1584">
            <v>2.64900662251655E-2</v>
          </cell>
          <cell r="M1584">
            <v>0</v>
          </cell>
          <cell r="N1584">
            <v>0</v>
          </cell>
          <cell r="O1584">
            <v>17.363486000000002</v>
          </cell>
          <cell r="P1584">
            <v>1.0065789473684199</v>
          </cell>
          <cell r="Q1584">
            <v>17.363486000000002</v>
          </cell>
          <cell r="R1584">
            <v>1.0065789473684199</v>
          </cell>
          <cell r="S1584">
            <v>273.117549</v>
          </cell>
          <cell r="T1584">
            <v>2.0198675496688701</v>
          </cell>
          <cell r="U1584">
            <v>273.117549</v>
          </cell>
          <cell r="V1584">
            <v>2.0198675496688701</v>
          </cell>
        </row>
        <row r="1585">
          <cell r="A1585" t="str">
            <v>107603</v>
          </cell>
          <cell r="B1585">
            <v>1052.25</v>
          </cell>
          <cell r="C1585">
            <v>1.754308</v>
          </cell>
          <cell r="D1585">
            <v>2.85171102661596E-2</v>
          </cell>
          <cell r="E1585">
            <v>1.754308</v>
          </cell>
          <cell r="F1585">
            <v>2.85171102661596E-2</v>
          </cell>
          <cell r="G1585">
            <v>29.568674000000001</v>
          </cell>
          <cell r="H1585">
            <v>0.110586011342155</v>
          </cell>
          <cell r="I1585">
            <v>10.540678</v>
          </cell>
          <cell r="J1585">
            <v>9.5463137996219194E-2</v>
          </cell>
          <cell r="K1585">
            <v>26.567533000000001</v>
          </cell>
          <cell r="L1585">
            <v>5.3030303030302997E-2</v>
          </cell>
          <cell r="M1585">
            <v>13.597837</v>
          </cell>
          <cell r="N1585">
            <v>3.69318181818181E-2</v>
          </cell>
          <cell r="O1585">
            <v>55.930886000000001</v>
          </cell>
          <cell r="P1585">
            <v>0.238963531669865</v>
          </cell>
          <cell r="Q1585">
            <v>55.930886000000001</v>
          </cell>
          <cell r="R1585">
            <v>0.238963531669865</v>
          </cell>
          <cell r="S1585">
            <v>362.91043200000001</v>
          </cell>
          <cell r="T1585">
            <v>2.0104961832060999</v>
          </cell>
          <cell r="U1585">
            <v>164.54201599999999</v>
          </cell>
          <cell r="V1585">
            <v>0.93129770992366401</v>
          </cell>
        </row>
        <row r="1586">
          <cell r="A1586" t="str">
            <v>107604</v>
          </cell>
          <cell r="B1586">
            <v>616</v>
          </cell>
          <cell r="C1586">
            <v>87.239705000000001</v>
          </cell>
          <cell r="D1586">
            <v>0.48376623376623301</v>
          </cell>
          <cell r="E1586">
            <v>87.239705000000001</v>
          </cell>
          <cell r="F1586">
            <v>0.48376623376623301</v>
          </cell>
          <cell r="G1586">
            <v>7.0499729999999996</v>
          </cell>
          <cell r="H1586">
            <v>2.5848142164781901E-2</v>
          </cell>
          <cell r="I1586">
            <v>5.4873240000000001</v>
          </cell>
          <cell r="J1586">
            <v>1.6155088852988601E-2</v>
          </cell>
          <cell r="K1586">
            <v>5.9790710000000002</v>
          </cell>
          <cell r="L1586">
            <v>4.2071197411003201E-2</v>
          </cell>
          <cell r="M1586">
            <v>5.8784780000000003</v>
          </cell>
          <cell r="N1586">
            <v>4.0453074433656901E-2</v>
          </cell>
          <cell r="O1586">
            <v>45.718183000000003</v>
          </cell>
          <cell r="P1586">
            <v>0.38211382113821102</v>
          </cell>
          <cell r="Q1586">
            <v>44.269078</v>
          </cell>
          <cell r="R1586">
            <v>0.378861788617886</v>
          </cell>
          <cell r="S1586">
            <v>253.64038500000001</v>
          </cell>
          <cell r="T1586">
            <v>0.61928104575163301</v>
          </cell>
          <cell r="U1586">
            <v>39.755009999999999</v>
          </cell>
          <cell r="V1586">
            <v>0.32516339869281002</v>
          </cell>
        </row>
        <row r="1587">
          <cell r="A1587" t="str">
            <v>107701</v>
          </cell>
          <cell r="B1587">
            <v>126.4</v>
          </cell>
          <cell r="C1587">
            <v>51.722552999999998</v>
          </cell>
          <cell r="D1587">
            <v>0.189393939393939</v>
          </cell>
          <cell r="E1587">
            <v>51.722552999999998</v>
          </cell>
          <cell r="F1587">
            <v>0.189393939393939</v>
          </cell>
          <cell r="G1587">
            <v>0</v>
          </cell>
          <cell r="H1587">
            <v>0</v>
          </cell>
          <cell r="I1587">
            <v>0</v>
          </cell>
          <cell r="J1587">
            <v>0</v>
          </cell>
          <cell r="K1587">
            <v>2.8346049999999998</v>
          </cell>
          <cell r="L1587">
            <v>2.2900763358778602E-2</v>
          </cell>
          <cell r="M1587">
            <v>2.8346049999999998</v>
          </cell>
          <cell r="N1587">
            <v>2.2900763358778602E-2</v>
          </cell>
          <cell r="O1587">
            <v>166.165762</v>
          </cell>
          <cell r="P1587">
            <v>1.03875968992248</v>
          </cell>
          <cell r="Q1587">
            <v>166.165762</v>
          </cell>
          <cell r="R1587">
            <v>1.03875968992248</v>
          </cell>
          <cell r="S1587">
            <v>176.63763800000001</v>
          </cell>
          <cell r="T1587">
            <v>1.19166666666666</v>
          </cell>
          <cell r="U1587">
            <v>25.863472000000002</v>
          </cell>
          <cell r="V1587">
            <v>0.116666666666666</v>
          </cell>
        </row>
        <row r="1588">
          <cell r="A1588" t="str">
            <v>107702</v>
          </cell>
          <cell r="B1588">
            <v>910.85714199999995</v>
          </cell>
          <cell r="C1588">
            <v>530.28862200000003</v>
          </cell>
          <cell r="D1588">
            <v>3.7565543071161001</v>
          </cell>
          <cell r="E1588">
            <v>530.28862200000003</v>
          </cell>
          <cell r="F1588">
            <v>3.7565543071161001</v>
          </cell>
          <cell r="G1588">
            <v>317.78932600000002</v>
          </cell>
          <cell r="H1588">
            <v>1.06243902439024</v>
          </cell>
          <cell r="I1588">
            <v>317.78932600000002</v>
          </cell>
          <cell r="J1588">
            <v>1.06243902439024</v>
          </cell>
          <cell r="K1588">
            <v>149.118506</v>
          </cell>
          <cell r="L1588">
            <v>1.0150053590568</v>
          </cell>
          <cell r="M1588">
            <v>142.17447300000001</v>
          </cell>
          <cell r="N1588">
            <v>1.0117899249732001</v>
          </cell>
          <cell r="O1588">
            <v>59.115856000000001</v>
          </cell>
          <cell r="P1588">
            <v>0.68810679611650405</v>
          </cell>
          <cell r="Q1588">
            <v>51.056310000000003</v>
          </cell>
          <cell r="R1588">
            <v>0.68325242718446599</v>
          </cell>
          <cell r="S1588">
            <v>269.68233600000002</v>
          </cell>
          <cell r="T1588">
            <v>1.01300390117035</v>
          </cell>
          <cell r="U1588">
            <v>269.68233600000002</v>
          </cell>
          <cell r="V1588">
            <v>1.01300390117035</v>
          </cell>
        </row>
        <row r="1589">
          <cell r="A1589" t="str">
            <v>107703</v>
          </cell>
          <cell r="B1589">
            <v>513.25</v>
          </cell>
          <cell r="C1589">
            <v>321.70855599999999</v>
          </cell>
          <cell r="D1589">
            <v>1.5303030303030301</v>
          </cell>
          <cell r="E1589">
            <v>321.70855599999999</v>
          </cell>
          <cell r="F1589">
            <v>1.5303030303030301</v>
          </cell>
          <cell r="G1589">
            <v>68.185057999999998</v>
          </cell>
          <cell r="H1589">
            <v>0.22916666666666599</v>
          </cell>
          <cell r="I1589">
            <v>68.185057999999998</v>
          </cell>
          <cell r="J1589">
            <v>0.22916666666666599</v>
          </cell>
          <cell r="K1589">
            <v>21.048105</v>
          </cell>
          <cell r="L1589">
            <v>7.3863636363636298E-2</v>
          </cell>
          <cell r="M1589">
            <v>14.27481</v>
          </cell>
          <cell r="N1589">
            <v>7.1969696969696906E-2</v>
          </cell>
          <cell r="O1589">
            <v>163.84383199999999</v>
          </cell>
          <cell r="P1589">
            <v>0.34155597722960102</v>
          </cell>
          <cell r="Q1589">
            <v>61.157020000000003</v>
          </cell>
          <cell r="R1589">
            <v>0.22201138519923999</v>
          </cell>
          <cell r="S1589">
            <v>131.02946700000001</v>
          </cell>
          <cell r="T1589">
            <v>0.37234042553191399</v>
          </cell>
          <cell r="U1589">
            <v>67.033191000000002</v>
          </cell>
          <cell r="V1589">
            <v>0.22340425531914801</v>
          </cell>
        </row>
        <row r="1590">
          <cell r="A1590" t="str">
            <v>108101</v>
          </cell>
          <cell r="B1590">
            <v>753.77777700000001</v>
          </cell>
          <cell r="C1590">
            <v>476.08704799999998</v>
          </cell>
          <cell r="D1590">
            <v>1.1284403669724701</v>
          </cell>
          <cell r="E1590">
            <v>213.942905</v>
          </cell>
          <cell r="F1590">
            <v>0.72018348623853201</v>
          </cell>
          <cell r="G1590">
            <v>388.659629</v>
          </cell>
          <cell r="H1590">
            <v>1.63615023474178</v>
          </cell>
          <cell r="I1590">
            <v>384.64124800000002</v>
          </cell>
          <cell r="J1590">
            <v>1.62793427230046</v>
          </cell>
          <cell r="K1590">
            <v>857.16929600000003</v>
          </cell>
          <cell r="L1590">
            <v>2.2673733804475802</v>
          </cell>
          <cell r="M1590">
            <v>215.17661899999999</v>
          </cell>
          <cell r="N1590">
            <v>0.57714958775029401</v>
          </cell>
          <cell r="O1590">
            <v>101.51827299999999</v>
          </cell>
          <cell r="P1590">
            <v>1.05119047619047</v>
          </cell>
          <cell r="Q1590">
            <v>97.690276999999995</v>
          </cell>
          <cell r="R1590">
            <v>0.94642857142857095</v>
          </cell>
          <cell r="S1590">
            <v>886.547911</v>
          </cell>
          <cell r="T1590">
            <v>2.0578313253011999</v>
          </cell>
          <cell r="U1590">
            <v>886.547911</v>
          </cell>
          <cell r="V1590">
            <v>2.0578313253011999</v>
          </cell>
        </row>
        <row r="1591">
          <cell r="A1591" t="str">
            <v>108102</v>
          </cell>
          <cell r="B1591">
            <v>254.14285699999999</v>
          </cell>
          <cell r="C1591">
            <v>176.29312999999999</v>
          </cell>
          <cell r="D1591">
            <v>0.16796875</v>
          </cell>
          <cell r="E1591">
            <v>54.184114999999998</v>
          </cell>
          <cell r="F1591">
            <v>0.1015625</v>
          </cell>
          <cell r="G1591">
            <v>362.65316899999999</v>
          </cell>
          <cell r="H1591">
            <v>1.3515625</v>
          </cell>
          <cell r="I1591">
            <v>362.65316899999999</v>
          </cell>
          <cell r="J1591">
            <v>1.3515625</v>
          </cell>
          <cell r="K1591">
            <v>150.39032599999999</v>
          </cell>
          <cell r="L1591">
            <v>1.6117647058823501</v>
          </cell>
          <cell r="M1591">
            <v>11.84915</v>
          </cell>
          <cell r="N1591">
            <v>0.60784313725490102</v>
          </cell>
          <cell r="O1591">
            <v>26.967928000000001</v>
          </cell>
          <cell r="P1591">
            <v>0.41434262948207101</v>
          </cell>
          <cell r="Q1591">
            <v>26.967928000000001</v>
          </cell>
          <cell r="R1591">
            <v>0.41434262948207101</v>
          </cell>
          <cell r="S1591">
            <v>1953.812533</v>
          </cell>
          <cell r="T1591">
            <v>3.464</v>
          </cell>
          <cell r="U1591">
            <v>1953.812533</v>
          </cell>
          <cell r="V1591">
            <v>3.464</v>
          </cell>
        </row>
        <row r="1592">
          <cell r="A1592" t="str">
            <v>108201</v>
          </cell>
          <cell r="B1592">
            <v>1328.2</v>
          </cell>
          <cell r="C1592">
            <v>733.007925</v>
          </cell>
          <cell r="D1592">
            <v>0.43062926459438899</v>
          </cell>
          <cell r="E1592">
            <v>5.7287730000000003</v>
          </cell>
          <cell r="F1592">
            <v>3.0326004548900599E-2</v>
          </cell>
          <cell r="G1592">
            <v>127.704762</v>
          </cell>
          <cell r="H1592">
            <v>0.15769522365428301</v>
          </cell>
          <cell r="I1592">
            <v>8.3831030000000002</v>
          </cell>
          <cell r="J1592">
            <v>6.5959059893858904E-2</v>
          </cell>
          <cell r="K1592">
            <v>43.272317999999999</v>
          </cell>
          <cell r="L1592">
            <v>0.16312594840667599</v>
          </cell>
          <cell r="M1592">
            <v>17.443031999999999</v>
          </cell>
          <cell r="N1592">
            <v>0.13125948406676699</v>
          </cell>
          <cell r="O1592">
            <v>722.14689199999998</v>
          </cell>
          <cell r="P1592">
            <v>0.67608861726508696</v>
          </cell>
          <cell r="Q1592">
            <v>47.337088999999999</v>
          </cell>
          <cell r="R1592">
            <v>0.53934300993124495</v>
          </cell>
          <cell r="S1592">
            <v>242.481685</v>
          </cell>
          <cell r="T1592">
            <v>1.10029069767441</v>
          </cell>
          <cell r="U1592">
            <v>241.794791</v>
          </cell>
          <cell r="V1592">
            <v>1.0995639534883701</v>
          </cell>
        </row>
        <row r="1593">
          <cell r="A1593" t="str">
            <v>108202</v>
          </cell>
          <cell r="B1593">
            <v>400.33333299999998</v>
          </cell>
          <cell r="C1593">
            <v>0</v>
          </cell>
          <cell r="D1593">
            <v>0</v>
          </cell>
          <cell r="E1593">
            <v>0</v>
          </cell>
          <cell r="F1593">
            <v>0</v>
          </cell>
          <cell r="G1593">
            <v>0</v>
          </cell>
          <cell r="H1593">
            <v>0</v>
          </cell>
          <cell r="I1593">
            <v>0</v>
          </cell>
          <cell r="J1593">
            <v>0</v>
          </cell>
          <cell r="K1593">
            <v>131.201223</v>
          </cell>
          <cell r="L1593">
            <v>1.0091743119265999</v>
          </cell>
          <cell r="M1593">
            <v>131.201223</v>
          </cell>
          <cell r="N1593">
            <v>1.0091743119265999</v>
          </cell>
          <cell r="O1593">
            <v>36.178745999999997</v>
          </cell>
          <cell r="P1593">
            <v>9.1743119266054999E-3</v>
          </cell>
          <cell r="Q1593">
            <v>0</v>
          </cell>
          <cell r="R1593">
            <v>0</v>
          </cell>
          <cell r="S1593">
            <v>535.05873099999997</v>
          </cell>
          <cell r="T1593">
            <v>3.5025432349949099</v>
          </cell>
          <cell r="U1593">
            <v>535.05873099999997</v>
          </cell>
          <cell r="V1593">
            <v>3.5025432349949099</v>
          </cell>
        </row>
        <row r="1594">
          <cell r="A1594" t="str">
            <v>108203</v>
          </cell>
          <cell r="B1594">
            <v>1420.8</v>
          </cell>
          <cell r="C1594">
            <v>791.90261899999996</v>
          </cell>
          <cell r="D1594">
            <v>0.888750776880049</v>
          </cell>
          <cell r="E1594">
            <v>24.506786000000002</v>
          </cell>
          <cell r="F1594">
            <v>0.26724673710379099</v>
          </cell>
          <cell r="G1594">
            <v>58.208111000000002</v>
          </cell>
          <cell r="H1594">
            <v>0.124689826302729</v>
          </cell>
          <cell r="I1594">
            <v>20.849527999999999</v>
          </cell>
          <cell r="J1594">
            <v>0.102977667493796</v>
          </cell>
          <cell r="K1594">
            <v>19.991899</v>
          </cell>
          <cell r="L1594">
            <v>8.2038533250466103E-2</v>
          </cell>
          <cell r="M1594">
            <v>14.59886</v>
          </cell>
          <cell r="N1594">
            <v>7.8309509011808498E-2</v>
          </cell>
          <cell r="O1594">
            <v>68.492880999999997</v>
          </cell>
          <cell r="P1594">
            <v>0.213216957605985</v>
          </cell>
          <cell r="Q1594">
            <v>24.958987</v>
          </cell>
          <cell r="R1594">
            <v>0.20012468827930099</v>
          </cell>
          <cell r="S1594">
            <v>262.92865599999999</v>
          </cell>
          <cell r="T1594">
            <v>0.43283582089552203</v>
          </cell>
          <cell r="U1594">
            <v>25.057984999999999</v>
          </cell>
          <cell r="V1594">
            <v>0.20746268656716399</v>
          </cell>
        </row>
        <row r="1595">
          <cell r="A1595" t="str">
            <v>108401</v>
          </cell>
          <cell r="B1595">
            <v>1</v>
          </cell>
          <cell r="C1595">
            <v>0</v>
          </cell>
          <cell r="D1595">
            <v>0</v>
          </cell>
          <cell r="E1595">
            <v>0</v>
          </cell>
          <cell r="F1595">
            <v>0</v>
          </cell>
          <cell r="G1595">
            <v>95</v>
          </cell>
          <cell r="H1595">
            <v>2</v>
          </cell>
          <cell r="I1595">
            <v>95</v>
          </cell>
          <cell r="J1595">
            <v>2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  <cell r="V1595">
            <v>0</v>
          </cell>
        </row>
        <row r="1596">
          <cell r="A1596" t="str">
            <v>108801</v>
          </cell>
          <cell r="B1596">
            <v>65.5</v>
          </cell>
          <cell r="C1596">
            <v>7.133445</v>
          </cell>
          <cell r="D1596">
            <v>1.53846153846153E-2</v>
          </cell>
          <cell r="E1596">
            <v>7.133445</v>
          </cell>
          <cell r="F1596">
            <v>1.53846153846153E-2</v>
          </cell>
          <cell r="G1596">
            <v>0</v>
          </cell>
          <cell r="H1596">
            <v>0</v>
          </cell>
          <cell r="I1596">
            <v>0</v>
          </cell>
          <cell r="J1596">
            <v>0</v>
          </cell>
          <cell r="K1596">
            <v>2383.9440289999998</v>
          </cell>
          <cell r="L1596">
            <v>1.22388059701492</v>
          </cell>
          <cell r="M1596">
            <v>88.328357999999994</v>
          </cell>
          <cell r="N1596">
            <v>0.25373134328358199</v>
          </cell>
          <cell r="O1596">
            <v>790.36085800000001</v>
          </cell>
          <cell r="P1596">
            <v>3.0151515151515098</v>
          </cell>
          <cell r="Q1596">
            <v>790.36085800000001</v>
          </cell>
          <cell r="R1596">
            <v>3.0151515151515098</v>
          </cell>
          <cell r="S1596">
            <v>850.99218599999995</v>
          </cell>
          <cell r="T1596">
            <v>1.96875</v>
          </cell>
          <cell r="U1596">
            <v>99.667968000000002</v>
          </cell>
          <cell r="V1596">
            <v>0.984375</v>
          </cell>
        </row>
        <row r="1597">
          <cell r="A1597" t="str">
            <v>108802</v>
          </cell>
          <cell r="B1597">
            <v>324.14285699999999</v>
          </cell>
          <cell r="C1597">
            <v>31.565804</v>
          </cell>
          <cell r="D1597">
            <v>0.188449848024316</v>
          </cell>
          <cell r="E1597">
            <v>31.565804</v>
          </cell>
          <cell r="F1597">
            <v>0.188449848024316</v>
          </cell>
          <cell r="G1597">
            <v>21.786684000000001</v>
          </cell>
          <cell r="H1597">
            <v>0.19512195121951201</v>
          </cell>
          <cell r="I1597">
            <v>21.786684000000001</v>
          </cell>
          <cell r="J1597">
            <v>0.19512195121951201</v>
          </cell>
          <cell r="K1597">
            <v>895.92553699999996</v>
          </cell>
          <cell r="L1597">
            <v>1.2369230769230699</v>
          </cell>
          <cell r="M1597">
            <v>218.641076</v>
          </cell>
          <cell r="N1597">
            <v>0.72615384615384604</v>
          </cell>
          <cell r="O1597">
            <v>133.87708799999999</v>
          </cell>
          <cell r="P1597">
            <v>1.5572755417956601</v>
          </cell>
          <cell r="Q1597">
            <v>130.141898</v>
          </cell>
          <cell r="R1597">
            <v>1.5541795665634599</v>
          </cell>
          <cell r="S1597">
            <v>9.6518000000000007E-2</v>
          </cell>
          <cell r="T1597">
            <v>6.3291139240506302E-3</v>
          </cell>
          <cell r="U1597">
            <v>9.6518000000000007E-2</v>
          </cell>
          <cell r="V1597">
            <v>6.3291139240506302E-3</v>
          </cell>
        </row>
        <row r="1598">
          <cell r="A1598" t="str">
            <v>108803</v>
          </cell>
          <cell r="B1598">
            <v>716.85714199999995</v>
          </cell>
          <cell r="C1598">
            <v>54.931153999999999</v>
          </cell>
          <cell r="D1598">
            <v>0.64735516372795898</v>
          </cell>
          <cell r="E1598">
            <v>54.931153999999999</v>
          </cell>
          <cell r="F1598">
            <v>0.64735516372795898</v>
          </cell>
          <cell r="G1598">
            <v>132.44294099999999</v>
          </cell>
          <cell r="H1598">
            <v>0.84536082474226804</v>
          </cell>
          <cell r="I1598">
            <v>93.525428000000005</v>
          </cell>
          <cell r="J1598">
            <v>0.79639175257731898</v>
          </cell>
          <cell r="K1598">
            <v>273.58344099999999</v>
          </cell>
          <cell r="L1598">
            <v>1.78626943005181</v>
          </cell>
          <cell r="M1598">
            <v>273.58344099999999</v>
          </cell>
          <cell r="N1598">
            <v>1.78626943005181</v>
          </cell>
          <cell r="O1598">
            <v>259.97945499999997</v>
          </cell>
          <cell r="P1598">
            <v>2.0562091503267901</v>
          </cell>
          <cell r="Q1598">
            <v>102.77701500000001</v>
          </cell>
          <cell r="R1598">
            <v>1.96470588235294</v>
          </cell>
          <cell r="S1598">
            <v>112.82407600000001</v>
          </cell>
          <cell r="T1598">
            <v>0.32333767926988199</v>
          </cell>
          <cell r="U1598">
            <v>112.82407600000001</v>
          </cell>
          <cell r="V1598">
            <v>0.32333767926988199</v>
          </cell>
        </row>
        <row r="1599">
          <cell r="A1599" t="str">
            <v>108804</v>
          </cell>
          <cell r="B1599">
            <v>212.2</v>
          </cell>
          <cell r="C1599">
            <v>524.72546299999999</v>
          </cell>
          <cell r="D1599">
            <v>3.46534653465346</v>
          </cell>
          <cell r="E1599">
            <v>464.26771500000001</v>
          </cell>
          <cell r="F1599">
            <v>3.41584158415841</v>
          </cell>
          <cell r="G1599">
            <v>275.43468000000001</v>
          </cell>
          <cell r="H1599">
            <v>1.5606060606060601</v>
          </cell>
          <cell r="I1599">
            <v>250.774</v>
          </cell>
          <cell r="J1599">
            <v>1.41919191919191</v>
          </cell>
          <cell r="K1599">
            <v>867.10477300000002</v>
          </cell>
          <cell r="L1599">
            <v>2.0452261306532602</v>
          </cell>
          <cell r="M1599">
            <v>294.74003299999998</v>
          </cell>
          <cell r="N1599">
            <v>1.4371859296482401</v>
          </cell>
          <cell r="O1599">
            <v>751.26553100000001</v>
          </cell>
          <cell r="P1599">
            <v>2.9534050179211402</v>
          </cell>
          <cell r="Q1599">
            <v>554.55352400000004</v>
          </cell>
          <cell r="R1599">
            <v>2.7813620071684499</v>
          </cell>
          <cell r="S1599">
            <v>2677.5406090000001</v>
          </cell>
          <cell r="T1599">
            <v>4.3556338028169002</v>
          </cell>
          <cell r="U1599">
            <v>680.39483499999994</v>
          </cell>
          <cell r="V1599">
            <v>2.5176056338028099</v>
          </cell>
        </row>
        <row r="1600">
          <cell r="A1600" t="str">
            <v>109101</v>
          </cell>
          <cell r="B1600">
            <v>1168.1111109999999</v>
          </cell>
          <cell r="C1600">
            <v>13910.672211999999</v>
          </cell>
          <cell r="D1600">
            <v>6.3478260869565197</v>
          </cell>
          <cell r="E1600">
            <v>261.81728399999997</v>
          </cell>
          <cell r="F1600">
            <v>1.6471571906354501</v>
          </cell>
          <cell r="G1600">
            <v>951.414534</v>
          </cell>
          <cell r="H1600">
            <v>1.7598656591099899</v>
          </cell>
          <cell r="I1600">
            <v>149.346417</v>
          </cell>
          <cell r="J1600">
            <v>0.86901763224181305</v>
          </cell>
          <cell r="K1600">
            <v>404.44265899999999</v>
          </cell>
          <cell r="L1600">
            <v>0.52684258416742402</v>
          </cell>
          <cell r="M1600">
            <v>66.456581</v>
          </cell>
          <cell r="N1600">
            <v>0.40855323020928103</v>
          </cell>
          <cell r="O1600">
            <v>8.3011230000000005</v>
          </cell>
          <cell r="P1600">
            <v>7.0766638584667196E-2</v>
          </cell>
          <cell r="Q1600">
            <v>8.3011230000000005</v>
          </cell>
          <cell r="R1600">
            <v>7.0766638584667196E-2</v>
          </cell>
          <cell r="S1600">
            <v>812.300254</v>
          </cell>
          <cell r="T1600">
            <v>1.71028037383177</v>
          </cell>
          <cell r="U1600">
            <v>773.05293099999994</v>
          </cell>
          <cell r="V1600">
            <v>1.6066270178419699</v>
          </cell>
        </row>
        <row r="1601">
          <cell r="A1601" t="str">
            <v>109102</v>
          </cell>
          <cell r="B1601">
            <v>832.6</v>
          </cell>
          <cell r="C1601">
            <v>9806.0861850000001</v>
          </cell>
          <cell r="D1601">
            <v>3.3408551068883598</v>
          </cell>
          <cell r="E1601">
            <v>104.184681</v>
          </cell>
          <cell r="F1601">
            <v>0.37648456057007101</v>
          </cell>
          <cell r="G1601">
            <v>132.40111400000001</v>
          </cell>
          <cell r="H1601">
            <v>0.75899280575539496</v>
          </cell>
          <cell r="I1601">
            <v>107.327692</v>
          </cell>
          <cell r="J1601">
            <v>0.68105515587529897</v>
          </cell>
          <cell r="K1601">
            <v>794.01531999999997</v>
          </cell>
          <cell r="L1601">
            <v>2.6662650602409599</v>
          </cell>
          <cell r="M1601">
            <v>465.51445699999999</v>
          </cell>
          <cell r="N1601">
            <v>1.8277108433734901</v>
          </cell>
          <cell r="O1601">
            <v>34.597352000000001</v>
          </cell>
          <cell r="P1601">
            <v>0.19735258724428301</v>
          </cell>
          <cell r="Q1601">
            <v>34.515121999999998</v>
          </cell>
          <cell r="R1601">
            <v>0.19614921780986699</v>
          </cell>
          <cell r="S1601">
            <v>788.83317099999999</v>
          </cell>
          <cell r="T1601">
            <v>2.20338983050847</v>
          </cell>
          <cell r="U1601">
            <v>779.79880900000001</v>
          </cell>
          <cell r="V1601">
            <v>2.18765133171912</v>
          </cell>
        </row>
        <row r="1602">
          <cell r="A1602" t="str">
            <v>109201</v>
          </cell>
          <cell r="B1602">
            <v>2042</v>
          </cell>
          <cell r="C1602">
            <v>201.67568499999999</v>
          </cell>
          <cell r="D1602">
            <v>2.1487922705314002</v>
          </cell>
          <cell r="E1602">
            <v>201.66419300000001</v>
          </cell>
          <cell r="F1602">
            <v>2.1483091787439599</v>
          </cell>
          <cell r="G1602">
            <v>100.623909</v>
          </cell>
          <cell r="H1602">
            <v>0.80388349514563096</v>
          </cell>
          <cell r="I1602">
            <v>94.802881999999997</v>
          </cell>
          <cell r="J1602">
            <v>0.77669902912621303</v>
          </cell>
          <cell r="K1602">
            <v>915.19557099999997</v>
          </cell>
          <cell r="L1602">
            <v>0.870815899581589</v>
          </cell>
          <cell r="M1602">
            <v>53.251306999999997</v>
          </cell>
          <cell r="N1602">
            <v>0.30125523012552302</v>
          </cell>
          <cell r="O1602">
            <v>858.51046399999996</v>
          </cell>
          <cell r="P1602">
            <v>0.624999999999999</v>
          </cell>
          <cell r="Q1602">
            <v>22.068325000000002</v>
          </cell>
          <cell r="R1602">
            <v>0.115865384615384</v>
          </cell>
          <cell r="S1602">
            <v>21.073913999999998</v>
          </cell>
          <cell r="T1602">
            <v>0.11973180076628299</v>
          </cell>
          <cell r="U1602">
            <v>20.607462999999999</v>
          </cell>
          <cell r="V1602">
            <v>0.119252873563218</v>
          </cell>
        </row>
        <row r="1603">
          <cell r="A1603" t="str">
            <v>109202</v>
          </cell>
          <cell r="B1603">
            <v>27</v>
          </cell>
          <cell r="C1603">
            <v>104.418026</v>
          </cell>
          <cell r="D1603">
            <v>1.55555555555555</v>
          </cell>
          <cell r="E1603">
            <v>104.418026</v>
          </cell>
          <cell r="F1603">
            <v>1.55555555555555</v>
          </cell>
          <cell r="G1603">
            <v>0</v>
          </cell>
          <cell r="H1603">
            <v>0</v>
          </cell>
          <cell r="I1603">
            <v>0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8.3549380000000006</v>
          </cell>
          <cell r="P1603">
            <v>3.7037037037037E-2</v>
          </cell>
          <cell r="Q1603">
            <v>8.3549380000000006</v>
          </cell>
          <cell r="R1603">
            <v>3.7037037037037E-2</v>
          </cell>
          <cell r="S1603">
            <v>0</v>
          </cell>
          <cell r="T1603">
            <v>0</v>
          </cell>
          <cell r="U1603">
            <v>0</v>
          </cell>
          <cell r="V1603">
            <v>0</v>
          </cell>
        </row>
        <row r="1604">
          <cell r="A1604" t="str">
            <v>109301</v>
          </cell>
          <cell r="B1604">
            <v>157.375</v>
          </cell>
          <cell r="C1604">
            <v>39.615699999999997</v>
          </cell>
          <cell r="D1604">
            <v>0.14374999999999999</v>
          </cell>
          <cell r="E1604">
            <v>39.615699999999997</v>
          </cell>
          <cell r="F1604">
            <v>0.14374999999999999</v>
          </cell>
          <cell r="G1604">
            <v>827.24045599999999</v>
          </cell>
          <cell r="H1604">
            <v>2.58598726114649</v>
          </cell>
          <cell r="I1604">
            <v>827.24045599999999</v>
          </cell>
          <cell r="J1604">
            <v>2.58598726114649</v>
          </cell>
          <cell r="K1604">
            <v>1747.343881</v>
          </cell>
          <cell r="L1604">
            <v>7.6772151898734098</v>
          </cell>
          <cell r="M1604">
            <v>935.56360700000005</v>
          </cell>
          <cell r="N1604">
            <v>3.36075949367088</v>
          </cell>
          <cell r="O1604">
            <v>321.00021199999998</v>
          </cell>
          <cell r="P1604">
            <v>1.2484076433121001</v>
          </cell>
          <cell r="Q1604">
            <v>308.40339699999998</v>
          </cell>
          <cell r="R1604">
            <v>1.22292993630573</v>
          </cell>
          <cell r="S1604">
            <v>25.332370999999998</v>
          </cell>
          <cell r="T1604">
            <v>7.0512820512820498E-2</v>
          </cell>
          <cell r="U1604">
            <v>24.639742999999999</v>
          </cell>
          <cell r="V1604">
            <v>6.4102564102564097E-2</v>
          </cell>
        </row>
        <row r="1605">
          <cell r="A1605" t="str">
            <v>109302</v>
          </cell>
          <cell r="B1605">
            <v>533.625</v>
          </cell>
          <cell r="C1605">
            <v>8.1076979999999992</v>
          </cell>
          <cell r="D1605">
            <v>2.7726432532347502E-2</v>
          </cell>
          <cell r="E1605">
            <v>7.1291609999999999</v>
          </cell>
          <cell r="F1605">
            <v>2.4029574861367801E-2</v>
          </cell>
          <cell r="G1605">
            <v>434.86606</v>
          </cell>
          <cell r="H1605">
            <v>2.3895131086142301</v>
          </cell>
          <cell r="I1605">
            <v>434.86606</v>
          </cell>
          <cell r="J1605">
            <v>2.3895131086142301</v>
          </cell>
          <cell r="K1605">
            <v>1190.8945269999999</v>
          </cell>
          <cell r="L1605">
            <v>5.4296435272045001</v>
          </cell>
          <cell r="M1605">
            <v>626.33658500000001</v>
          </cell>
          <cell r="N1605">
            <v>2.3095684803001801</v>
          </cell>
          <cell r="O1605">
            <v>373.81660299999999</v>
          </cell>
          <cell r="P1605">
            <v>1.36723163841807</v>
          </cell>
          <cell r="Q1605">
            <v>373.53964200000001</v>
          </cell>
          <cell r="R1605">
            <v>1.3653483992466999</v>
          </cell>
          <cell r="S1605">
            <v>111.64250699999999</v>
          </cell>
          <cell r="T1605">
            <v>1.0895238095238</v>
          </cell>
          <cell r="U1605">
            <v>111.64250699999999</v>
          </cell>
          <cell r="V1605">
            <v>1.0895238095238</v>
          </cell>
        </row>
        <row r="1606">
          <cell r="A1606" t="str">
            <v>109501</v>
          </cell>
          <cell r="B1606">
            <v>989.4</v>
          </cell>
          <cell r="C1606">
            <v>401.79295999999999</v>
          </cell>
          <cell r="D1606">
            <v>0.38810483870967699</v>
          </cell>
          <cell r="E1606">
            <v>103.44974499999999</v>
          </cell>
          <cell r="F1606">
            <v>0.29939516129032201</v>
          </cell>
          <cell r="G1606">
            <v>801.49978599999997</v>
          </cell>
          <cell r="H1606">
            <v>2.5202020202020199</v>
          </cell>
          <cell r="I1606">
            <v>491.83329300000003</v>
          </cell>
          <cell r="J1606">
            <v>2.3313131313131299</v>
          </cell>
          <cell r="K1606">
            <v>359.52408200000002</v>
          </cell>
          <cell r="L1606">
            <v>1.61453077699293</v>
          </cell>
          <cell r="M1606">
            <v>132.44483600000001</v>
          </cell>
          <cell r="N1606">
            <v>0.51765893037335997</v>
          </cell>
          <cell r="O1606">
            <v>135.381293</v>
          </cell>
          <cell r="P1606">
            <v>0.42568250758341702</v>
          </cell>
          <cell r="Q1606">
            <v>46.572631999999999</v>
          </cell>
          <cell r="R1606">
            <v>0.36400404448938301</v>
          </cell>
          <cell r="S1606">
            <v>355.25617499999998</v>
          </cell>
          <cell r="T1606">
            <v>0.49035532994923797</v>
          </cell>
          <cell r="U1606">
            <v>104.137343</v>
          </cell>
          <cell r="V1606">
            <v>0.33401015228426301</v>
          </cell>
        </row>
        <row r="1607">
          <cell r="A1607" t="str">
            <v>109502</v>
          </cell>
          <cell r="B1607">
            <v>1198.2</v>
          </cell>
          <cell r="C1607">
            <v>280.66255799999999</v>
          </cell>
          <cell r="D1607">
            <v>0.59745425616547299</v>
          </cell>
          <cell r="E1607">
            <v>141.77130299999999</v>
          </cell>
          <cell r="F1607">
            <v>0.54892601431980903</v>
          </cell>
          <cell r="G1607">
            <v>443.55784699999998</v>
          </cell>
          <cell r="H1607">
            <v>0.81574675324675305</v>
          </cell>
          <cell r="I1607">
            <v>157.801424</v>
          </cell>
          <cell r="J1607">
            <v>0.54545454545454497</v>
          </cell>
          <cell r="K1607">
            <v>281.20578699999999</v>
          </cell>
          <cell r="L1607">
            <v>1.2307046979865699</v>
          </cell>
          <cell r="M1607">
            <v>35.425223000000003</v>
          </cell>
          <cell r="N1607">
            <v>0.20553691275167699</v>
          </cell>
          <cell r="O1607">
            <v>164.46419800000001</v>
          </cell>
          <cell r="P1607">
            <v>0.49523809523809498</v>
          </cell>
          <cell r="Q1607">
            <v>16.397373000000002</v>
          </cell>
          <cell r="R1607">
            <v>5.8874458874458802E-2</v>
          </cell>
          <cell r="S1607">
            <v>50.097791000000001</v>
          </cell>
          <cell r="T1607">
            <v>0.32294372294372198</v>
          </cell>
          <cell r="U1607">
            <v>20.786117999999998</v>
          </cell>
          <cell r="V1607">
            <v>8.9177489177489105E-2</v>
          </cell>
        </row>
        <row r="1608">
          <cell r="A1608" t="str">
            <v>109801</v>
          </cell>
          <cell r="B1608">
            <v>1211.5555549999999</v>
          </cell>
          <cell r="C1608">
            <v>432.36659600000002</v>
          </cell>
          <cell r="D1608">
            <v>2.8469551282051202</v>
          </cell>
          <cell r="E1608">
            <v>432.36659600000002</v>
          </cell>
          <cell r="F1608">
            <v>2.8469551282051202</v>
          </cell>
          <cell r="G1608">
            <v>772.57872999999995</v>
          </cell>
          <cell r="H1608">
            <v>3.2565146579804498</v>
          </cell>
          <cell r="I1608">
            <v>483.777333</v>
          </cell>
          <cell r="J1608">
            <v>3.00488599348534</v>
          </cell>
          <cell r="K1608">
            <v>1550.005609</v>
          </cell>
          <cell r="L1608">
            <v>5.8118811881188099</v>
          </cell>
          <cell r="M1608">
            <v>490.22649799999999</v>
          </cell>
          <cell r="N1608">
            <v>2.7079207920792001</v>
          </cell>
          <cell r="O1608">
            <v>1556.853787</v>
          </cell>
          <cell r="P1608">
            <v>3.09075770191507</v>
          </cell>
          <cell r="Q1608">
            <v>252.363585</v>
          </cell>
          <cell r="R1608">
            <v>1.2031640299750199</v>
          </cell>
          <cell r="S1608">
            <v>823.29529500000001</v>
          </cell>
          <cell r="T1608">
            <v>1.83487784330244</v>
          </cell>
          <cell r="U1608">
            <v>232.35610700000001</v>
          </cell>
          <cell r="V1608">
            <v>1.25358045492839</v>
          </cell>
        </row>
        <row r="1609">
          <cell r="A1609" t="str">
            <v>109802</v>
          </cell>
          <cell r="B1609">
            <v>1023.8</v>
          </cell>
          <cell r="C1609">
            <v>30.191787999999999</v>
          </cell>
          <cell r="D1609">
            <v>0.16459330143540599</v>
          </cell>
          <cell r="E1609">
            <v>16.312249000000001</v>
          </cell>
          <cell r="F1609">
            <v>9.1866028708133901E-2</v>
          </cell>
          <cell r="G1609">
            <v>89.178731999999997</v>
          </cell>
          <cell r="H1609">
            <v>0.30754352030947701</v>
          </cell>
          <cell r="I1609">
            <v>72.572806</v>
          </cell>
          <cell r="J1609">
            <v>0.29787234042553101</v>
          </cell>
          <cell r="K1609">
            <v>624.40749600000004</v>
          </cell>
          <cell r="L1609">
            <v>1.9931840311587099</v>
          </cell>
          <cell r="M1609">
            <v>103.93613999999999</v>
          </cell>
          <cell r="N1609">
            <v>0.87828627069133303</v>
          </cell>
          <cell r="O1609">
            <v>705.66791499999999</v>
          </cell>
          <cell r="P1609">
            <v>1.7692307692307601</v>
          </cell>
          <cell r="Q1609">
            <v>153.127038</v>
          </cell>
          <cell r="R1609">
            <v>1.0424063116370801</v>
          </cell>
          <cell r="S1609">
            <v>1517.322905</v>
          </cell>
          <cell r="T1609">
            <v>4.0780780780780699</v>
          </cell>
          <cell r="U1609">
            <v>881.77956200000006</v>
          </cell>
          <cell r="V1609">
            <v>3.4874874874874799</v>
          </cell>
        </row>
        <row r="1610">
          <cell r="A1610" t="str">
            <v>110401</v>
          </cell>
          <cell r="B1610">
            <v>834.6</v>
          </cell>
          <cell r="C1610">
            <v>1081.0650840000001</v>
          </cell>
          <cell r="D1610">
            <v>1.6193317422434299</v>
          </cell>
          <cell r="E1610">
            <v>109.766136</v>
          </cell>
          <cell r="F1610">
            <v>1.1563245823388999</v>
          </cell>
          <cell r="G1610">
            <v>352.538659</v>
          </cell>
          <cell r="H1610">
            <v>1.20574162679425</v>
          </cell>
          <cell r="I1610">
            <v>129.07231899999999</v>
          </cell>
          <cell r="J1610">
            <v>0.96650717703349198</v>
          </cell>
          <cell r="K1610">
            <v>273.80039799999997</v>
          </cell>
          <cell r="L1610">
            <v>1.2930622009569299</v>
          </cell>
          <cell r="M1610">
            <v>117.46602799999999</v>
          </cell>
          <cell r="N1610">
            <v>1.1698564593301399</v>
          </cell>
          <cell r="O1610">
            <v>5459.7148669999997</v>
          </cell>
          <cell r="P1610">
            <v>5.2470023980815297</v>
          </cell>
          <cell r="Q1610">
            <v>859.14458400000001</v>
          </cell>
          <cell r="R1610">
            <v>3.7014388489208598</v>
          </cell>
          <cell r="S1610">
            <v>1496.743786</v>
          </cell>
          <cell r="T1610">
            <v>3.94089264173703</v>
          </cell>
          <cell r="U1610">
            <v>493.30283400000002</v>
          </cell>
          <cell r="V1610">
            <v>3.11218335343787</v>
          </cell>
        </row>
        <row r="1611">
          <cell r="A1611" t="str">
            <v>110402</v>
          </cell>
          <cell r="B1611">
            <v>1342</v>
          </cell>
          <cell r="C1611">
            <v>810.82877099999996</v>
          </cell>
          <cell r="D1611">
            <v>1.1183035714285701</v>
          </cell>
          <cell r="E1611">
            <v>78.155232999999996</v>
          </cell>
          <cell r="F1611">
            <v>0.46875</v>
          </cell>
          <cell r="G1611">
            <v>481.694704</v>
          </cell>
          <cell r="H1611">
            <v>0.47622585438335802</v>
          </cell>
          <cell r="I1611">
            <v>106.45784</v>
          </cell>
          <cell r="J1611">
            <v>0.332095096582466</v>
          </cell>
          <cell r="K1611">
            <v>214.66115099999999</v>
          </cell>
          <cell r="L1611">
            <v>0.76059479553903298</v>
          </cell>
          <cell r="M1611">
            <v>100.86686400000001</v>
          </cell>
          <cell r="N1611">
            <v>0.63866171003717398</v>
          </cell>
          <cell r="O1611">
            <v>3078.4229359999999</v>
          </cell>
          <cell r="P1611">
            <v>2.7412639405204402</v>
          </cell>
          <cell r="Q1611">
            <v>424.78833900000001</v>
          </cell>
          <cell r="R1611">
            <v>1.6223048327137499</v>
          </cell>
          <cell r="S1611">
            <v>709.84524999999996</v>
          </cell>
          <cell r="T1611">
            <v>2.58496240601503</v>
          </cell>
          <cell r="U1611">
            <v>621.48437300000001</v>
          </cell>
          <cell r="V1611">
            <v>2.3120300751879599</v>
          </cell>
        </row>
        <row r="1612">
          <cell r="A1612" t="str">
            <v>110801</v>
          </cell>
          <cell r="B1612">
            <v>1036.2</v>
          </cell>
          <cell r="C1612">
            <v>582.00103200000001</v>
          </cell>
          <cell r="D1612">
            <v>1.05555555555555</v>
          </cell>
          <cell r="E1612">
            <v>126.591959</v>
          </cell>
          <cell r="F1612">
            <v>0.64080459770114895</v>
          </cell>
          <cell r="G1612">
            <v>576.47527600000001</v>
          </cell>
          <cell r="H1612">
            <v>1.64038461538461</v>
          </cell>
          <cell r="I1612">
            <v>186.729401</v>
          </cell>
          <cell r="J1612">
            <v>0.96634615384615297</v>
          </cell>
          <cell r="K1612">
            <v>716.80981599999996</v>
          </cell>
          <cell r="L1612">
            <v>0.54956689124157798</v>
          </cell>
          <cell r="M1612">
            <v>44.719248999999998</v>
          </cell>
          <cell r="N1612">
            <v>0.31376323387872901</v>
          </cell>
          <cell r="O1612">
            <v>417.91111000000001</v>
          </cell>
          <cell r="P1612">
            <v>1.6153100775193701</v>
          </cell>
          <cell r="Q1612">
            <v>395.87222200000002</v>
          </cell>
          <cell r="R1612">
            <v>1.4544573643410801</v>
          </cell>
          <cell r="S1612">
            <v>448.96195499999999</v>
          </cell>
          <cell r="T1612">
            <v>1.4980506822612001</v>
          </cell>
          <cell r="U1612">
            <v>145.05121800000001</v>
          </cell>
          <cell r="V1612">
            <v>1.2543859649122799</v>
          </cell>
        </row>
        <row r="1613">
          <cell r="A1613" t="str">
            <v>110802</v>
          </cell>
          <cell r="B1613">
            <v>603.5</v>
          </cell>
          <cell r="C1613">
            <v>34.164853000000001</v>
          </cell>
          <cell r="D1613">
            <v>0.12828947368421001</v>
          </cell>
          <cell r="E1613">
            <v>34.164853000000001</v>
          </cell>
          <cell r="F1613">
            <v>0.12828947368421001</v>
          </cell>
          <cell r="G1613">
            <v>443.61147099999999</v>
          </cell>
          <cell r="H1613">
            <v>1.18270799347471</v>
          </cell>
          <cell r="I1613">
            <v>96.076100999999994</v>
          </cell>
          <cell r="J1613">
            <v>1.0114192495921599</v>
          </cell>
          <cell r="K1613">
            <v>136.18044499999999</v>
          </cell>
          <cell r="L1613">
            <v>1.0247524752475199</v>
          </cell>
          <cell r="M1613">
            <v>135.46166099999999</v>
          </cell>
          <cell r="N1613">
            <v>1.0231023102310199</v>
          </cell>
          <cell r="O1613">
            <v>17.138794999999998</v>
          </cell>
          <cell r="P1613">
            <v>0.106418918918918</v>
          </cell>
          <cell r="Q1613">
            <v>5.6117679999999996</v>
          </cell>
          <cell r="R1613">
            <v>5.2364864864864802E-2</v>
          </cell>
          <cell r="S1613">
            <v>9.4711250000000007</v>
          </cell>
          <cell r="T1613">
            <v>0.108695652173913</v>
          </cell>
          <cell r="U1613">
            <v>9.4711250000000007</v>
          </cell>
          <cell r="V1613">
            <v>0.108695652173913</v>
          </cell>
        </row>
        <row r="1614">
          <cell r="A1614" t="str">
            <v>110803</v>
          </cell>
          <cell r="B1614">
            <v>564.20000000000005</v>
          </cell>
          <cell r="C1614">
            <v>910.19534699999997</v>
          </cell>
          <cell r="D1614">
            <v>1.11130742049469</v>
          </cell>
          <cell r="E1614">
            <v>135.651342</v>
          </cell>
          <cell r="F1614">
            <v>0.708480565371024</v>
          </cell>
          <cell r="G1614">
            <v>528.36503400000004</v>
          </cell>
          <cell r="H1614">
            <v>1.4619469026548599</v>
          </cell>
          <cell r="I1614">
            <v>96.497660999999994</v>
          </cell>
          <cell r="J1614">
            <v>0.62654867256637103</v>
          </cell>
          <cell r="K1614">
            <v>607.08465100000001</v>
          </cell>
          <cell r="L1614">
            <v>0.88752196836555297</v>
          </cell>
          <cell r="M1614">
            <v>199.398213</v>
          </cell>
          <cell r="N1614">
            <v>0.75571177504393605</v>
          </cell>
          <cell r="O1614">
            <v>116.08394699999999</v>
          </cell>
          <cell r="P1614">
            <v>0.35500878734622099</v>
          </cell>
          <cell r="Q1614">
            <v>27.200761</v>
          </cell>
          <cell r="R1614">
            <v>0.205623901581722</v>
          </cell>
          <cell r="S1614">
            <v>508.13073500000002</v>
          </cell>
          <cell r="T1614">
            <v>3.2971014492753601</v>
          </cell>
          <cell r="U1614">
            <v>222.949365</v>
          </cell>
          <cell r="V1614">
            <v>1.8695652173913</v>
          </cell>
        </row>
        <row r="1615">
          <cell r="A1615" t="str">
            <v>111202</v>
          </cell>
          <cell r="B1615">
            <v>1590.2</v>
          </cell>
          <cell r="C1615">
            <v>2077.6643530000001</v>
          </cell>
          <cell r="D1615">
            <v>0.60161591050341801</v>
          </cell>
          <cell r="E1615">
            <v>26.291063000000001</v>
          </cell>
          <cell r="F1615">
            <v>0.17091361093847099</v>
          </cell>
          <cell r="G1615">
            <v>74.084962000000004</v>
          </cell>
          <cell r="H1615">
            <v>0.45109034267912701</v>
          </cell>
          <cell r="I1615">
            <v>63.997736000000003</v>
          </cell>
          <cell r="J1615">
            <v>0.44299065420560702</v>
          </cell>
          <cell r="K1615">
            <v>397.57487900000001</v>
          </cell>
          <cell r="L1615">
            <v>1.6811048336472001</v>
          </cell>
          <cell r="M1615">
            <v>213.28826100000001</v>
          </cell>
          <cell r="N1615">
            <v>1.29880728185812</v>
          </cell>
          <cell r="O1615">
            <v>122.869382</v>
          </cell>
          <cell r="P1615">
            <v>0.42387871130764299</v>
          </cell>
          <cell r="Q1615">
            <v>44.359475000000003</v>
          </cell>
          <cell r="R1615">
            <v>0.380922299431459</v>
          </cell>
          <cell r="S1615">
            <v>67.896315999999999</v>
          </cell>
          <cell r="T1615">
            <v>3.9077514413837201E-2</v>
          </cell>
          <cell r="U1615">
            <v>4.638757</v>
          </cell>
          <cell r="V1615">
            <v>1.6015374759769298E-2</v>
          </cell>
        </row>
        <row r="1616">
          <cell r="A1616" t="str">
            <v>111203</v>
          </cell>
          <cell r="B1616">
            <v>1290</v>
          </cell>
          <cell r="C1616">
            <v>1503.2068079999999</v>
          </cell>
          <cell r="D1616">
            <v>1.73719676549865</v>
          </cell>
          <cell r="E1616">
            <v>47.115026</v>
          </cell>
          <cell r="F1616">
            <v>0.30862533692722299</v>
          </cell>
          <cell r="G1616">
            <v>73.883595999999997</v>
          </cell>
          <cell r="H1616">
            <v>0.32123287671232797</v>
          </cell>
          <cell r="I1616">
            <v>73.790229999999994</v>
          </cell>
          <cell r="J1616">
            <v>0.32054794520547902</v>
          </cell>
          <cell r="K1616">
            <v>669.29222900000002</v>
          </cell>
          <cell r="L1616">
            <v>2.5641379310344798</v>
          </cell>
          <cell r="M1616">
            <v>264.04674699999998</v>
          </cell>
          <cell r="N1616">
            <v>1.3303448275862</v>
          </cell>
          <cell r="O1616">
            <v>380.91780899999998</v>
          </cell>
          <cell r="P1616">
            <v>3.0623700623700598</v>
          </cell>
          <cell r="Q1616">
            <v>308.03267399999999</v>
          </cell>
          <cell r="R1616">
            <v>2.83922383922383</v>
          </cell>
          <cell r="S1616">
            <v>139.36611500000001</v>
          </cell>
          <cell r="T1616">
            <v>1.2373239436619701</v>
          </cell>
          <cell r="U1616">
            <v>139.36611500000001</v>
          </cell>
          <cell r="V1616">
            <v>1.2373239436619701</v>
          </cell>
        </row>
        <row r="1617">
          <cell r="A1617" t="str">
            <v>111205</v>
          </cell>
          <cell r="B1617">
            <v>221</v>
          </cell>
          <cell r="C1617">
            <v>4.5598960000000002</v>
          </cell>
          <cell r="D1617">
            <v>1.27388535031847E-2</v>
          </cell>
          <cell r="E1617">
            <v>0</v>
          </cell>
          <cell r="F1617">
            <v>0</v>
          </cell>
          <cell r="G1617">
            <v>204.779991</v>
          </cell>
          <cell r="H1617">
            <v>1.12903225806451</v>
          </cell>
          <cell r="I1617">
            <v>199.091939</v>
          </cell>
          <cell r="J1617">
            <v>1.1225806451612901</v>
          </cell>
          <cell r="K1617">
            <v>736.85952299999997</v>
          </cell>
          <cell r="L1617">
            <v>2.1554621848739401</v>
          </cell>
          <cell r="M1617">
            <v>736.85952299999997</v>
          </cell>
          <cell r="N1617">
            <v>2.1554621848739401</v>
          </cell>
          <cell r="O1617">
            <v>24.636129</v>
          </cell>
          <cell r="P1617">
            <v>1.04838709677419</v>
          </cell>
          <cell r="Q1617">
            <v>24.636129</v>
          </cell>
          <cell r="R1617">
            <v>1.04838709677419</v>
          </cell>
          <cell r="S1617">
            <v>181.041586</v>
          </cell>
          <cell r="T1617">
            <v>1.0385852090032099</v>
          </cell>
          <cell r="U1617">
            <v>181.041586</v>
          </cell>
          <cell r="V1617">
            <v>1.0385852090032099</v>
          </cell>
        </row>
        <row r="1618">
          <cell r="A1618" t="str">
            <v>111206</v>
          </cell>
          <cell r="B1618">
            <v>310.39999999999998</v>
          </cell>
          <cell r="C1618">
            <v>149.657859</v>
          </cell>
          <cell r="D1618">
            <v>1.0129032258064501</v>
          </cell>
          <cell r="E1618">
            <v>149.657859</v>
          </cell>
          <cell r="F1618">
            <v>1.0129032258064501</v>
          </cell>
          <cell r="G1618">
            <v>128.11653899999999</v>
          </cell>
          <cell r="H1618">
            <v>0.92282958199356901</v>
          </cell>
          <cell r="I1618">
            <v>128.11653899999999</v>
          </cell>
          <cell r="J1618">
            <v>0.92282958199356901</v>
          </cell>
          <cell r="K1618">
            <v>292.58795600000002</v>
          </cell>
          <cell r="L1618">
            <v>1.9870967741935399</v>
          </cell>
          <cell r="M1618">
            <v>292.58795600000002</v>
          </cell>
          <cell r="N1618">
            <v>1.9870967741935399</v>
          </cell>
          <cell r="O1618">
            <v>6.9038040000000001</v>
          </cell>
          <cell r="P1618">
            <v>6.1093247588424403E-2</v>
          </cell>
          <cell r="Q1618">
            <v>6.9038040000000001</v>
          </cell>
          <cell r="R1618">
            <v>6.1093247588424403E-2</v>
          </cell>
          <cell r="S1618">
            <v>1.7251609999999999</v>
          </cell>
          <cell r="T1618">
            <v>4.8387096774193498E-2</v>
          </cell>
          <cell r="U1618">
            <v>1.7251609999999999</v>
          </cell>
          <cell r="V1618">
            <v>4.8387096774193498E-2</v>
          </cell>
        </row>
        <row r="1619">
          <cell r="A1619" t="str">
            <v>111301</v>
          </cell>
          <cell r="B1619">
            <v>333</v>
          </cell>
          <cell r="C1619">
            <v>158.54128</v>
          </cell>
          <cell r="D1619">
            <v>0.50295857988165604</v>
          </cell>
          <cell r="E1619">
            <v>145.01724400000001</v>
          </cell>
          <cell r="F1619">
            <v>0.45562130177514698</v>
          </cell>
          <cell r="G1619">
            <v>1349.4219639999999</v>
          </cell>
          <cell r="H1619">
            <v>1.73731343283582</v>
          </cell>
          <cell r="I1619">
            <v>612.80754999999999</v>
          </cell>
          <cell r="J1619">
            <v>1.4537313432835799</v>
          </cell>
          <cell r="K1619">
            <v>1842.1138129999999</v>
          </cell>
          <cell r="L1619">
            <v>2.0150150150150101</v>
          </cell>
          <cell r="M1619">
            <v>136.94654600000001</v>
          </cell>
          <cell r="N1619">
            <v>0.68168168168168097</v>
          </cell>
          <cell r="O1619">
            <v>860.910302</v>
          </cell>
          <cell r="P1619">
            <v>1.22727272727272</v>
          </cell>
          <cell r="Q1619">
            <v>349.31883800000003</v>
          </cell>
          <cell r="R1619">
            <v>0.98787878787878702</v>
          </cell>
          <cell r="S1619">
            <v>851.28095099999996</v>
          </cell>
          <cell r="T1619">
            <v>2.6048632218844898</v>
          </cell>
          <cell r="U1619">
            <v>598.95060699999999</v>
          </cell>
          <cell r="V1619">
            <v>2.24316109422492</v>
          </cell>
        </row>
        <row r="1620">
          <cell r="A1620" t="str">
            <v>111601</v>
          </cell>
          <cell r="B1620">
            <v>1</v>
          </cell>
          <cell r="C1620">
            <v>0</v>
          </cell>
          <cell r="D1620">
            <v>0</v>
          </cell>
          <cell r="E1620">
            <v>0</v>
          </cell>
          <cell r="F1620">
            <v>0</v>
          </cell>
          <cell r="G1620">
            <v>0</v>
          </cell>
          <cell r="H1620">
            <v>0</v>
          </cell>
          <cell r="I1620">
            <v>0</v>
          </cell>
          <cell r="J1620">
            <v>0</v>
          </cell>
          <cell r="K1620">
            <v>986.31666600000005</v>
          </cell>
          <cell r="L1620">
            <v>1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  <cell r="S1620">
            <v>327.9</v>
          </cell>
          <cell r="T1620">
            <v>1</v>
          </cell>
          <cell r="U1620">
            <v>327.9</v>
          </cell>
          <cell r="V1620">
            <v>1</v>
          </cell>
        </row>
        <row r="1621">
          <cell r="A1621" t="str">
            <v>111801</v>
          </cell>
          <cell r="B1621">
            <v>113.66666600000001</v>
          </cell>
          <cell r="C1621">
            <v>207.42874900000001</v>
          </cell>
          <cell r="D1621">
            <v>0.45161290322580599</v>
          </cell>
          <cell r="E1621">
            <v>207.42874900000001</v>
          </cell>
          <cell r="F1621">
            <v>0.45161290322580599</v>
          </cell>
          <cell r="G1621">
            <v>50.196753000000001</v>
          </cell>
          <cell r="H1621">
            <v>0.26548672566371601</v>
          </cell>
          <cell r="I1621">
            <v>50.196753000000001</v>
          </cell>
          <cell r="J1621">
            <v>0.26548672566371601</v>
          </cell>
          <cell r="K1621">
            <v>249.87852799999999</v>
          </cell>
          <cell r="L1621">
            <v>1.63063063063063</v>
          </cell>
          <cell r="M1621">
            <v>212.495195</v>
          </cell>
          <cell r="N1621">
            <v>0.63063063063062996</v>
          </cell>
          <cell r="O1621">
            <v>134.42597499999999</v>
          </cell>
          <cell r="P1621">
            <v>1.0360360360360299</v>
          </cell>
          <cell r="Q1621">
            <v>134.42597499999999</v>
          </cell>
          <cell r="R1621">
            <v>1.0360360360360299</v>
          </cell>
          <cell r="S1621">
            <v>275.07723199999998</v>
          </cell>
          <cell r="T1621">
            <v>3.7678571428571401</v>
          </cell>
          <cell r="U1621">
            <v>275.07723199999998</v>
          </cell>
          <cell r="V1621">
            <v>3.7678571428571401</v>
          </cell>
        </row>
        <row r="1622">
          <cell r="A1622" t="str">
            <v>111802</v>
          </cell>
          <cell r="B1622">
            <v>804.16666599999996</v>
          </cell>
          <cell r="C1622">
            <v>82.048141000000001</v>
          </cell>
          <cell r="D1622">
            <v>0.12858926342072399</v>
          </cell>
          <cell r="E1622">
            <v>82.048141000000001</v>
          </cell>
          <cell r="F1622">
            <v>0.12858926342072399</v>
          </cell>
          <cell r="G1622">
            <v>113.716736</v>
          </cell>
          <cell r="H1622">
            <v>0.19254658385093101</v>
          </cell>
          <cell r="I1622">
            <v>113.716736</v>
          </cell>
          <cell r="J1622">
            <v>0.19254658385093101</v>
          </cell>
          <cell r="K1622">
            <v>38.253726</v>
          </cell>
          <cell r="L1622">
            <v>1.0049689440993701</v>
          </cell>
          <cell r="M1622">
            <v>0.80726699999999996</v>
          </cell>
          <cell r="N1622">
            <v>3.7267080745341601E-3</v>
          </cell>
          <cell r="O1622">
            <v>504.60562399999998</v>
          </cell>
          <cell r="P1622">
            <v>2.8729763387297602</v>
          </cell>
          <cell r="Q1622">
            <v>504.60562399999998</v>
          </cell>
          <cell r="R1622">
            <v>2.8729763387297602</v>
          </cell>
          <cell r="S1622">
            <v>6.5784940000000001</v>
          </cell>
          <cell r="T1622">
            <v>3.1017369727047099E-2</v>
          </cell>
          <cell r="U1622">
            <v>6.5784940000000001</v>
          </cell>
          <cell r="V1622">
            <v>3.1017369727047099E-2</v>
          </cell>
        </row>
        <row r="1623">
          <cell r="A1623" t="str">
            <v>111803</v>
          </cell>
          <cell r="B1623">
            <v>112</v>
          </cell>
          <cell r="C1623">
            <v>470.80023699999998</v>
          </cell>
          <cell r="D1623">
            <v>1.71028037383177</v>
          </cell>
          <cell r="E1623">
            <v>470.80023699999998</v>
          </cell>
          <cell r="F1623">
            <v>1.71028037383177</v>
          </cell>
          <cell r="G1623">
            <v>61.193486</v>
          </cell>
          <cell r="H1623">
            <v>0.16666666666666599</v>
          </cell>
          <cell r="I1623">
            <v>61.193486</v>
          </cell>
          <cell r="J1623">
            <v>0.16666666666666599</v>
          </cell>
          <cell r="K1623">
            <v>3885.6114480000001</v>
          </cell>
          <cell r="L1623">
            <v>5.9739130434782597</v>
          </cell>
          <cell r="M1623">
            <v>967.20637599999998</v>
          </cell>
          <cell r="N1623">
            <v>3.4086956521739098</v>
          </cell>
          <cell r="O1623">
            <v>270.19736799999998</v>
          </cell>
          <cell r="P1623">
            <v>2.9157894736842098</v>
          </cell>
          <cell r="Q1623">
            <v>270.19736799999998</v>
          </cell>
          <cell r="R1623">
            <v>2.9157894736842098</v>
          </cell>
          <cell r="S1623">
            <v>3.214181</v>
          </cell>
          <cell r="T1623">
            <v>1.7543859649122799E-2</v>
          </cell>
          <cell r="U1623">
            <v>3.214181</v>
          </cell>
          <cell r="V1623">
            <v>1.7543859649122799E-2</v>
          </cell>
        </row>
        <row r="1624">
          <cell r="A1624" t="str">
            <v>111804</v>
          </cell>
          <cell r="B1624">
            <v>423.875</v>
          </cell>
          <cell r="C1624">
            <v>626.238023</v>
          </cell>
          <cell r="D1624">
            <v>2.52009456264775</v>
          </cell>
          <cell r="E1624">
            <v>617.38188400000001</v>
          </cell>
          <cell r="F1624">
            <v>2.47517730496453</v>
          </cell>
          <cell r="G1624">
            <v>66.301955000000007</v>
          </cell>
          <cell r="H1624">
            <v>0.483333333333333</v>
          </cell>
          <cell r="I1624">
            <v>66.301955000000007</v>
          </cell>
          <cell r="J1624">
            <v>0.483333333333333</v>
          </cell>
          <cell r="K1624">
            <v>677.92890399999999</v>
          </cell>
          <cell r="L1624">
            <v>1.9650349650349599</v>
          </cell>
          <cell r="M1624">
            <v>354.15489500000001</v>
          </cell>
          <cell r="N1624">
            <v>1.3846153846153799</v>
          </cell>
          <cell r="O1624">
            <v>341.99793</v>
          </cell>
          <cell r="P1624">
            <v>1.2183908045977001</v>
          </cell>
          <cell r="Q1624">
            <v>102.06126399999999</v>
          </cell>
          <cell r="R1624">
            <v>0.99310344827586206</v>
          </cell>
          <cell r="S1624">
            <v>221.92317299999999</v>
          </cell>
          <cell r="T1624">
            <v>0.87909319899244298</v>
          </cell>
          <cell r="U1624">
            <v>221.92317299999999</v>
          </cell>
          <cell r="V1624">
            <v>0.87909319899244298</v>
          </cell>
        </row>
        <row r="1625">
          <cell r="A1625" t="str">
            <v>111901</v>
          </cell>
          <cell r="B1625">
            <v>888.77777700000001</v>
          </cell>
          <cell r="C1625">
            <v>1782.7031589999999</v>
          </cell>
          <cell r="D1625">
            <v>4.8451443569553803</v>
          </cell>
          <cell r="E1625">
            <v>449.19278200000002</v>
          </cell>
          <cell r="F1625">
            <v>1.6762904636920299</v>
          </cell>
          <cell r="G1625">
            <v>388.38789500000001</v>
          </cell>
          <cell r="H1625">
            <v>0.73583180987202901</v>
          </cell>
          <cell r="I1625">
            <v>108.34080899999999</v>
          </cell>
          <cell r="J1625">
            <v>0.44058500914076698</v>
          </cell>
          <cell r="K1625">
            <v>1179.8321840000001</v>
          </cell>
          <cell r="L1625">
            <v>2.7134071340713399</v>
          </cell>
          <cell r="M1625">
            <v>274.47863799999999</v>
          </cell>
          <cell r="N1625">
            <v>1.6150061500615001</v>
          </cell>
          <cell r="O1625">
            <v>3037.9571380000002</v>
          </cell>
          <cell r="P1625">
            <v>1.83464566929133</v>
          </cell>
          <cell r="Q1625">
            <v>156.04816199999999</v>
          </cell>
          <cell r="R1625">
            <v>0.64251968503936996</v>
          </cell>
          <cell r="S1625">
            <v>89.291494</v>
          </cell>
          <cell r="T1625">
            <v>0.24483306836248001</v>
          </cell>
          <cell r="U1625">
            <v>89.291494</v>
          </cell>
          <cell r="V1625">
            <v>0.24483306836248001</v>
          </cell>
        </row>
        <row r="1626">
          <cell r="A1626" t="str">
            <v>111902</v>
          </cell>
          <cell r="B1626">
            <v>1275.5999999999999</v>
          </cell>
          <cell r="C1626">
            <v>2002.865918</v>
          </cell>
          <cell r="D1626">
            <v>3.49749582637729</v>
          </cell>
          <cell r="E1626">
            <v>232.53024099999999</v>
          </cell>
          <cell r="F1626">
            <v>2.46410684474123</v>
          </cell>
          <cell r="G1626">
            <v>417.11123600000002</v>
          </cell>
          <cell r="H1626">
            <v>0.68220338983050799</v>
          </cell>
          <cell r="I1626">
            <v>200.946293</v>
          </cell>
          <cell r="J1626">
            <v>0.41016949152542298</v>
          </cell>
          <cell r="K1626">
            <v>1212.0713129999999</v>
          </cell>
          <cell r="L1626">
            <v>4.2033542976939202</v>
          </cell>
          <cell r="M1626">
            <v>662.34836900000005</v>
          </cell>
          <cell r="N1626">
            <v>3.8860936408106199</v>
          </cell>
          <cell r="O1626">
            <v>421.31833899999998</v>
          </cell>
          <cell r="P1626">
            <v>0.30366161616161602</v>
          </cell>
          <cell r="Q1626">
            <v>22.201440999999999</v>
          </cell>
          <cell r="R1626">
            <v>8.7121212121212099E-2</v>
          </cell>
          <cell r="S1626">
            <v>176.81347700000001</v>
          </cell>
          <cell r="T1626">
            <v>0.56944444444444398</v>
          </cell>
          <cell r="U1626">
            <v>139.28505799999999</v>
          </cell>
          <cell r="V1626">
            <v>0.54924242424242398</v>
          </cell>
        </row>
        <row r="1627">
          <cell r="A1627" t="str">
            <v>112001</v>
          </cell>
          <cell r="B1627">
            <v>1603.1666660000001</v>
          </cell>
          <cell r="C1627">
            <v>28.091608000000001</v>
          </cell>
          <cell r="D1627">
            <v>0.23574144486692</v>
          </cell>
          <cell r="E1627">
            <v>25.886433</v>
          </cell>
          <cell r="F1627">
            <v>0.234790874524714</v>
          </cell>
          <cell r="G1627">
            <v>0.62772600000000001</v>
          </cell>
          <cell r="H1627">
            <v>5.0864699898270599E-4</v>
          </cell>
          <cell r="I1627">
            <v>0</v>
          </cell>
          <cell r="J1627">
            <v>0</v>
          </cell>
          <cell r="K1627">
            <v>569.94564500000001</v>
          </cell>
          <cell r="L1627">
            <v>1.00616016427104</v>
          </cell>
          <cell r="M1627">
            <v>569.94564500000001</v>
          </cell>
          <cell r="N1627">
            <v>1.00616016427104</v>
          </cell>
          <cell r="O1627">
            <v>9.6588189999999994</v>
          </cell>
          <cell r="P1627">
            <v>2.9189189189189099E-2</v>
          </cell>
          <cell r="Q1627">
            <v>9.6588189999999994</v>
          </cell>
          <cell r="R1627">
            <v>2.9189189189189099E-2</v>
          </cell>
          <cell r="S1627">
            <v>19.835007999999998</v>
          </cell>
          <cell r="T1627">
            <v>0.167904054825813</v>
          </cell>
          <cell r="U1627">
            <v>19.835007999999998</v>
          </cell>
          <cell r="V1627">
            <v>0.167904054825813</v>
          </cell>
        </row>
        <row r="1628">
          <cell r="A1628" t="str">
            <v>112002</v>
          </cell>
          <cell r="B1628">
            <v>1407.2</v>
          </cell>
          <cell r="C1628">
            <v>576.976271</v>
          </cell>
          <cell r="D1628">
            <v>0.360597439544807</v>
          </cell>
          <cell r="E1628">
            <v>7.4346699999999997</v>
          </cell>
          <cell r="F1628">
            <v>5.3342816500711203E-2</v>
          </cell>
          <cell r="G1628">
            <v>88.394825999999995</v>
          </cell>
          <cell r="H1628">
            <v>0.29716312056737498</v>
          </cell>
          <cell r="I1628">
            <v>65.216683000000003</v>
          </cell>
          <cell r="J1628">
            <v>0.280141843971631</v>
          </cell>
          <cell r="K1628">
            <v>175.22106299999999</v>
          </cell>
          <cell r="L1628">
            <v>1.08368794326241</v>
          </cell>
          <cell r="M1628">
            <v>148.244326</v>
          </cell>
          <cell r="N1628">
            <v>1.0617021276595699</v>
          </cell>
          <cell r="O1628">
            <v>49.812117000000001</v>
          </cell>
          <cell r="P1628">
            <v>0.368869936034115</v>
          </cell>
          <cell r="Q1628">
            <v>47.357557</v>
          </cell>
          <cell r="R1628">
            <v>0.36744847192608299</v>
          </cell>
          <cell r="S1628">
            <v>95.20993</v>
          </cell>
          <cell r="T1628">
            <v>0.134711332858161</v>
          </cell>
          <cell r="U1628">
            <v>93.412329999999997</v>
          </cell>
          <cell r="V1628">
            <v>0.13399857448325</v>
          </cell>
        </row>
        <row r="1629">
          <cell r="A1629" t="str">
            <v>112003</v>
          </cell>
          <cell r="B1629">
            <v>2092.888888</v>
          </cell>
          <cell r="C1629">
            <v>1160.696999</v>
          </cell>
          <cell r="D1629">
            <v>1.3246887966804901</v>
          </cell>
          <cell r="E1629">
            <v>555.76598000000001</v>
          </cell>
          <cell r="F1629">
            <v>1.09595435684647</v>
          </cell>
          <cell r="G1629">
            <v>82.495247000000006</v>
          </cell>
          <cell r="H1629">
            <v>0.43014705882352899</v>
          </cell>
          <cell r="I1629">
            <v>37.339095</v>
          </cell>
          <cell r="J1629">
            <v>0.41806722689075598</v>
          </cell>
          <cell r="K1629">
            <v>61.340111999999998</v>
          </cell>
          <cell r="L1629">
            <v>0.5048828125</v>
          </cell>
          <cell r="M1629">
            <v>61.340111999999998</v>
          </cell>
          <cell r="N1629">
            <v>0.5048828125</v>
          </cell>
          <cell r="O1629">
            <v>14.850934000000001</v>
          </cell>
          <cell r="P1629">
            <v>4.6427129592248602E-2</v>
          </cell>
          <cell r="Q1629">
            <v>13.829921000000001</v>
          </cell>
          <cell r="R1629">
            <v>4.0775131207105297E-2</v>
          </cell>
          <cell r="S1629">
            <v>242.98945499999999</v>
          </cell>
          <cell r="T1629">
            <v>0.95587529976019103</v>
          </cell>
          <cell r="U1629">
            <v>242.908784</v>
          </cell>
          <cell r="V1629">
            <v>0.95491606714628197</v>
          </cell>
        </row>
        <row r="1630">
          <cell r="A1630" t="str">
            <v>112004</v>
          </cell>
          <cell r="B1630">
            <v>800.83333300000004</v>
          </cell>
          <cell r="C1630">
            <v>3.938869</v>
          </cell>
          <cell r="D1630">
            <v>1.7970401691331898E-2</v>
          </cell>
          <cell r="E1630">
            <v>3.938869</v>
          </cell>
          <cell r="F1630">
            <v>1.7970401691331898E-2</v>
          </cell>
          <cell r="G1630">
            <v>422.15774900000002</v>
          </cell>
          <cell r="H1630">
            <v>3.0094339622641502</v>
          </cell>
          <cell r="I1630">
            <v>114.437029</v>
          </cell>
          <cell r="J1630">
            <v>1.00733752620545</v>
          </cell>
          <cell r="K1630">
            <v>144.63390699999999</v>
          </cell>
          <cell r="L1630">
            <v>1.1808118081180801</v>
          </cell>
          <cell r="M1630">
            <v>144.63390699999999</v>
          </cell>
          <cell r="N1630">
            <v>1.1808118081180801</v>
          </cell>
          <cell r="O1630">
            <v>2.0804459999999998</v>
          </cell>
          <cell r="P1630">
            <v>6.7039106145251298E-2</v>
          </cell>
          <cell r="Q1630">
            <v>2.0804459999999998</v>
          </cell>
          <cell r="R1630">
            <v>6.7039106145251298E-2</v>
          </cell>
          <cell r="S1630">
            <v>6.2170509999999997</v>
          </cell>
          <cell r="T1630">
            <v>3.3333333333333298E-2</v>
          </cell>
          <cell r="U1630">
            <v>6.2170509999999997</v>
          </cell>
          <cell r="V1630">
            <v>3.3333333333333298E-2</v>
          </cell>
        </row>
        <row r="1631">
          <cell r="A1631" t="str">
            <v>112101</v>
          </cell>
          <cell r="B1631">
            <v>1661.4</v>
          </cell>
          <cell r="C1631">
            <v>294.27711399999998</v>
          </cell>
          <cell r="D1631">
            <v>1.51263537906137</v>
          </cell>
          <cell r="E1631">
            <v>284.04787199999998</v>
          </cell>
          <cell r="F1631">
            <v>1.41696750902527</v>
          </cell>
          <cell r="G1631">
            <v>1861.7000230000001</v>
          </cell>
          <cell r="H1631">
            <v>2.4255702280912299</v>
          </cell>
          <cell r="I1631">
            <v>250.50598099999999</v>
          </cell>
          <cell r="J1631">
            <v>1.3283313325330099</v>
          </cell>
          <cell r="K1631">
            <v>3264.8040080000001</v>
          </cell>
          <cell r="L1631">
            <v>5.3429776974080703</v>
          </cell>
          <cell r="M1631">
            <v>480.49767900000001</v>
          </cell>
          <cell r="N1631">
            <v>2.4279686558167501</v>
          </cell>
          <cell r="O1631">
            <v>1226.262833</v>
          </cell>
          <cell r="P1631">
            <v>1.8199879590607999</v>
          </cell>
          <cell r="Q1631">
            <v>259.31626499999999</v>
          </cell>
          <cell r="R1631">
            <v>0.78266104756170896</v>
          </cell>
          <cell r="S1631">
            <v>1183.2061880000001</v>
          </cell>
          <cell r="T1631">
            <v>3.1181434599156099</v>
          </cell>
          <cell r="U1631">
            <v>1108.3770239999999</v>
          </cell>
          <cell r="V1631">
            <v>3.0530440024110899</v>
          </cell>
        </row>
        <row r="1632">
          <cell r="A1632" t="str">
            <v>112102</v>
          </cell>
          <cell r="B1632">
            <v>1198.8</v>
          </cell>
          <cell r="C1632">
            <v>101.71557799999999</v>
          </cell>
          <cell r="D1632">
            <v>0.29988331388564698</v>
          </cell>
          <cell r="E1632">
            <v>53.944282999999999</v>
          </cell>
          <cell r="F1632">
            <v>0.13418903150524999</v>
          </cell>
          <cell r="G1632">
            <v>276.33477199999999</v>
          </cell>
          <cell r="H1632">
            <v>0.64296754250386301</v>
          </cell>
          <cell r="I1632">
            <v>90.883624999999995</v>
          </cell>
          <cell r="J1632">
            <v>0.46367851622874801</v>
          </cell>
          <cell r="K1632">
            <v>152.72570300000001</v>
          </cell>
          <cell r="L1632">
            <v>0.45933384972889202</v>
          </cell>
          <cell r="M1632">
            <v>77.992834999999999</v>
          </cell>
          <cell r="N1632">
            <v>0.38342370255615799</v>
          </cell>
          <cell r="O1632">
            <v>233.83963900000001</v>
          </cell>
          <cell r="P1632">
            <v>1.0023455824863099</v>
          </cell>
          <cell r="Q1632">
            <v>150.42183900000001</v>
          </cell>
          <cell r="R1632">
            <v>0.85379202501954599</v>
          </cell>
          <cell r="S1632">
            <v>823.71023700000001</v>
          </cell>
          <cell r="T1632">
            <v>2.2733699921445401</v>
          </cell>
          <cell r="U1632">
            <v>527.09857199999999</v>
          </cell>
          <cell r="V1632">
            <v>1.9371563236449301</v>
          </cell>
        </row>
        <row r="1633">
          <cell r="A1633" t="str">
            <v>112103</v>
          </cell>
          <cell r="B1633">
            <v>725.33333300000004</v>
          </cell>
          <cell r="C1633">
            <v>301.45245499999999</v>
          </cell>
          <cell r="D1633">
            <v>2.6507936507936498</v>
          </cell>
          <cell r="E1633">
            <v>301.45245499999999</v>
          </cell>
          <cell r="F1633">
            <v>2.6507936507936498</v>
          </cell>
          <cell r="G1633">
            <v>864.39092200000005</v>
          </cell>
          <cell r="H1633">
            <v>3.82010582010582</v>
          </cell>
          <cell r="I1633">
            <v>335.51302199999998</v>
          </cell>
          <cell r="J1633">
            <v>3.4232804232804201</v>
          </cell>
          <cell r="K1633">
            <v>3345.3402289999999</v>
          </cell>
          <cell r="L1633">
            <v>4.4801061007957497</v>
          </cell>
          <cell r="M1633">
            <v>760.14126799999997</v>
          </cell>
          <cell r="N1633">
            <v>2.8275862068965498</v>
          </cell>
          <cell r="O1633">
            <v>2283.709112</v>
          </cell>
          <cell r="P1633">
            <v>8.1978609625668408</v>
          </cell>
          <cell r="Q1633">
            <v>1705.4698969999999</v>
          </cell>
          <cell r="R1633">
            <v>7.2272727272727204</v>
          </cell>
          <cell r="S1633">
            <v>3084.3730089999999</v>
          </cell>
          <cell r="T1633">
            <v>3.9615384615384599</v>
          </cell>
          <cell r="U1633">
            <v>1160.8469930000001</v>
          </cell>
          <cell r="V1633">
            <v>2.5344827586206802</v>
          </cell>
        </row>
        <row r="1634">
          <cell r="A1634" t="str">
            <v>112201</v>
          </cell>
          <cell r="B1634">
            <v>1388.4</v>
          </cell>
          <cell r="C1634">
            <v>201.43366</v>
          </cell>
          <cell r="D1634">
            <v>0.95116772823779105</v>
          </cell>
          <cell r="E1634">
            <v>138.14743999999999</v>
          </cell>
          <cell r="F1634">
            <v>0.91295116772823703</v>
          </cell>
          <cell r="G1634">
            <v>116.61267599999999</v>
          </cell>
          <cell r="H1634">
            <v>0.321302193913658</v>
          </cell>
          <cell r="I1634">
            <v>113.621537</v>
          </cell>
          <cell r="J1634">
            <v>0.31776362349610698</v>
          </cell>
          <cell r="K1634">
            <v>1307.2530409999999</v>
          </cell>
          <cell r="L1634">
            <v>3.8747315676449499</v>
          </cell>
          <cell r="M1634">
            <v>554.16051000000004</v>
          </cell>
          <cell r="N1634">
            <v>2.7680744452397898</v>
          </cell>
          <cell r="O1634">
            <v>575.061733</v>
          </cell>
          <cell r="P1634">
            <v>1.6311953352769599</v>
          </cell>
          <cell r="Q1634">
            <v>340.913386</v>
          </cell>
          <cell r="R1634">
            <v>1.4701166180758001</v>
          </cell>
          <cell r="S1634">
            <v>1159.066814</v>
          </cell>
          <cell r="T1634">
            <v>2.0230141054194499</v>
          </cell>
          <cell r="U1634">
            <v>159.20079100000001</v>
          </cell>
          <cell r="V1634">
            <v>0.55011135857461002</v>
          </cell>
        </row>
        <row r="1635">
          <cell r="A1635" t="str">
            <v>112202</v>
          </cell>
          <cell r="B1635">
            <v>1748.4</v>
          </cell>
          <cell r="C1635">
            <v>1017.116552</v>
          </cell>
          <cell r="D1635">
            <v>3.8623315758640802</v>
          </cell>
          <cell r="E1635">
            <v>509.85870499999999</v>
          </cell>
          <cell r="F1635">
            <v>3.1528998242530699</v>
          </cell>
          <cell r="G1635">
            <v>784.07167900000002</v>
          </cell>
          <cell r="H1635">
            <v>3.01493394600804</v>
          </cell>
          <cell r="I1635">
            <v>269.40723200000002</v>
          </cell>
          <cell r="J1635">
            <v>1.8087306145893101</v>
          </cell>
          <cell r="K1635">
            <v>1461.1580530000001</v>
          </cell>
          <cell r="L1635">
            <v>3.9551900170164398</v>
          </cell>
          <cell r="M1635">
            <v>277.88005199999998</v>
          </cell>
          <cell r="N1635">
            <v>1.3085649461145701</v>
          </cell>
          <cell r="O1635">
            <v>3117.3571299999999</v>
          </cell>
          <cell r="P1635">
            <v>3.0808534531162199</v>
          </cell>
          <cell r="Q1635">
            <v>217.94494599999999</v>
          </cell>
          <cell r="R1635">
            <v>0.86524424480628803</v>
          </cell>
          <cell r="S1635">
            <v>1167.8655799999999</v>
          </cell>
          <cell r="T1635">
            <v>1.8331428571428501</v>
          </cell>
          <cell r="U1635">
            <v>196.33272299999999</v>
          </cell>
          <cell r="V1635">
            <v>0.57428571428571396</v>
          </cell>
        </row>
        <row r="1636">
          <cell r="A1636" t="str">
            <v>112501</v>
          </cell>
          <cell r="B1636">
            <v>0</v>
          </cell>
          <cell r="C1636">
            <v>0</v>
          </cell>
          <cell r="D1636">
            <v>0</v>
          </cell>
          <cell r="E1636">
            <v>0</v>
          </cell>
          <cell r="F1636">
            <v>0</v>
          </cell>
          <cell r="G1636">
            <v>0</v>
          </cell>
          <cell r="H1636">
            <v>0</v>
          </cell>
          <cell r="I1636">
            <v>0</v>
          </cell>
          <cell r="J1636">
            <v>0</v>
          </cell>
          <cell r="K1636" t="str">
            <v>NULL</v>
          </cell>
          <cell r="L1636" t="str">
            <v>NULL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</row>
        <row r="1637">
          <cell r="A1637" t="str">
            <v>112502</v>
          </cell>
          <cell r="B1637">
            <v>644.5</v>
          </cell>
          <cell r="C1637">
            <v>831.5915</v>
          </cell>
          <cell r="D1637">
            <v>1.1037151702786301</v>
          </cell>
          <cell r="E1637">
            <v>103.969306</v>
          </cell>
          <cell r="F1637">
            <v>0.40402476780185698</v>
          </cell>
          <cell r="G1637">
            <v>48.439937</v>
          </cell>
          <cell r="H1637">
            <v>0.262015503875968</v>
          </cell>
          <cell r="I1637">
            <v>48.439937</v>
          </cell>
          <cell r="J1637">
            <v>0.262015503875968</v>
          </cell>
          <cell r="K1637">
            <v>436.69073100000003</v>
          </cell>
          <cell r="L1637">
            <v>2.4688473520249201</v>
          </cell>
          <cell r="M1637">
            <v>435.393483</v>
          </cell>
          <cell r="N1637">
            <v>2.4657320872274102</v>
          </cell>
          <cell r="O1637">
            <v>114.356557</v>
          </cell>
          <cell r="P1637">
            <v>0.70762052877138404</v>
          </cell>
          <cell r="Q1637">
            <v>114.356557</v>
          </cell>
          <cell r="R1637">
            <v>0.70762052877138404</v>
          </cell>
          <cell r="S1637">
            <v>173.53521499999999</v>
          </cell>
          <cell r="T1637">
            <v>1.25232198142414</v>
          </cell>
          <cell r="U1637">
            <v>172.974896</v>
          </cell>
          <cell r="V1637">
            <v>1.25077399380804</v>
          </cell>
        </row>
        <row r="1638">
          <cell r="A1638" t="str">
            <v>112503</v>
          </cell>
          <cell r="B1638">
            <v>1502</v>
          </cell>
          <cell r="C1638">
            <v>8842.3103169999995</v>
          </cell>
          <cell r="D1638">
            <v>2.08880308880308</v>
          </cell>
          <cell r="E1638">
            <v>103.46669900000001</v>
          </cell>
          <cell r="F1638">
            <v>0.20926640926640899</v>
          </cell>
          <cell r="G1638">
            <v>176.74537599999999</v>
          </cell>
          <cell r="H1638">
            <v>0.594473007712082</v>
          </cell>
          <cell r="I1638">
            <v>148.263983</v>
          </cell>
          <cell r="J1638">
            <v>0.58290488431876597</v>
          </cell>
          <cell r="K1638">
            <v>375.93443400000001</v>
          </cell>
          <cell r="L1638">
            <v>2.56290115532734</v>
          </cell>
          <cell r="M1638">
            <v>352.171245</v>
          </cell>
          <cell r="N1638">
            <v>2.5154043645699602</v>
          </cell>
          <cell r="O1638">
            <v>130.126734</v>
          </cell>
          <cell r="P1638">
            <v>1.26542416452442</v>
          </cell>
          <cell r="Q1638">
            <v>123.26537</v>
          </cell>
          <cell r="R1638">
            <v>1.24164524421593</v>
          </cell>
          <cell r="S1638">
            <v>394.81788399999999</v>
          </cell>
          <cell r="T1638">
            <v>2.8181229773462699</v>
          </cell>
          <cell r="U1638">
            <v>333.91990199999998</v>
          </cell>
          <cell r="V1638">
            <v>2.6724919093851098</v>
          </cell>
        </row>
        <row r="1639">
          <cell r="A1639" t="str">
            <v>112504</v>
          </cell>
          <cell r="B1639">
            <v>916.44444399999998</v>
          </cell>
          <cell r="C1639">
            <v>3359.3608170000002</v>
          </cell>
          <cell r="D1639">
            <v>1.7257889009793199</v>
          </cell>
          <cell r="E1639">
            <v>215.99963099999999</v>
          </cell>
          <cell r="F1639">
            <v>0.86180631120783402</v>
          </cell>
          <cell r="G1639">
            <v>55.947417999999999</v>
          </cell>
          <cell r="H1639">
            <v>0.184782608695652</v>
          </cell>
          <cell r="I1639">
            <v>55.947417999999999</v>
          </cell>
          <cell r="J1639">
            <v>0.184782608695652</v>
          </cell>
          <cell r="K1639">
            <v>315.39367399999998</v>
          </cell>
          <cell r="L1639">
            <v>2.4056706652126398</v>
          </cell>
          <cell r="M1639">
            <v>310.90185300000002</v>
          </cell>
          <cell r="N1639">
            <v>2.4045801526717501</v>
          </cell>
          <cell r="O1639">
            <v>66.348089000000002</v>
          </cell>
          <cell r="P1639">
            <v>0.21943231441048</v>
          </cell>
          <cell r="Q1639">
            <v>20.176164</v>
          </cell>
          <cell r="R1639">
            <v>0.179039301310043</v>
          </cell>
          <cell r="S1639">
            <v>526.30645000000004</v>
          </cell>
          <cell r="T1639">
            <v>3.4758771929824501</v>
          </cell>
          <cell r="U1639">
            <v>520.279989</v>
          </cell>
          <cell r="V1639">
            <v>3.4692982456140302</v>
          </cell>
        </row>
        <row r="1640">
          <cell r="A1640" t="str">
            <v>112601</v>
          </cell>
          <cell r="B1640">
            <v>1334.444444</v>
          </cell>
          <cell r="C1640">
            <v>243.148911</v>
          </cell>
          <cell r="D1640">
            <v>2.5403141361256498</v>
          </cell>
          <cell r="E1640">
            <v>204.77296200000001</v>
          </cell>
          <cell r="F1640">
            <v>2.5089005235602002</v>
          </cell>
          <cell r="G1640">
            <v>589.43749400000002</v>
          </cell>
          <cell r="H1640">
            <v>3.7431318681318602</v>
          </cell>
          <cell r="I1640">
            <v>514.39683500000001</v>
          </cell>
          <cell r="J1640">
            <v>3.6325549450549399</v>
          </cell>
          <cell r="K1640">
            <v>1052.6868890000001</v>
          </cell>
          <cell r="L1640">
            <v>3.0856353591160199</v>
          </cell>
          <cell r="M1640">
            <v>270.536429</v>
          </cell>
          <cell r="N1640">
            <v>2.55662983425414</v>
          </cell>
          <cell r="O1640">
            <v>108.41882200000001</v>
          </cell>
          <cell r="P1640">
            <v>0.637691237830319</v>
          </cell>
          <cell r="Q1640">
            <v>108.41882200000001</v>
          </cell>
          <cell r="R1640">
            <v>0.637691237830319</v>
          </cell>
          <cell r="S1640">
            <v>2380.0666540000002</v>
          </cell>
          <cell r="T1640">
            <v>6.5620182200420398</v>
          </cell>
          <cell r="U1640">
            <v>528.04535099999998</v>
          </cell>
          <cell r="V1640">
            <v>3.2992291520672699</v>
          </cell>
        </row>
        <row r="1641">
          <cell r="A1641" t="str">
            <v>112602</v>
          </cell>
          <cell r="B1641">
            <v>1239.8</v>
          </cell>
          <cell r="C1641">
            <v>1030.4742610000001</v>
          </cell>
          <cell r="D1641">
            <v>0.60322580645161195</v>
          </cell>
          <cell r="E1641">
            <v>38.749116999999998</v>
          </cell>
          <cell r="F1641">
            <v>0.266129032258064</v>
          </cell>
          <cell r="G1641">
            <v>65.863434999999996</v>
          </cell>
          <cell r="H1641">
            <v>1.1181672025723399</v>
          </cell>
          <cell r="I1641">
            <v>61.574818999999998</v>
          </cell>
          <cell r="J1641">
            <v>1.1133440514469399</v>
          </cell>
          <cell r="K1641">
            <v>71.696897000000007</v>
          </cell>
          <cell r="L1641">
            <v>0.41659951651893601</v>
          </cell>
          <cell r="M1641">
            <v>64.098575999999994</v>
          </cell>
          <cell r="N1641">
            <v>0.40290088638194999</v>
          </cell>
          <cell r="O1641">
            <v>7.7697079999999996</v>
          </cell>
          <cell r="P1641">
            <v>7.1082390953150207E-2</v>
          </cell>
          <cell r="Q1641">
            <v>7.5212700000000003</v>
          </cell>
          <cell r="R1641">
            <v>6.9466882067851302E-2</v>
          </cell>
          <cell r="S1641">
            <v>1095.7269409999999</v>
          </cell>
          <cell r="T1641">
            <v>2.05501618122977</v>
          </cell>
          <cell r="U1641">
            <v>184.16662600000001</v>
          </cell>
          <cell r="V1641">
            <v>0.65453074433656899</v>
          </cell>
        </row>
        <row r="1642">
          <cell r="A1642" t="str">
            <v>112603</v>
          </cell>
          <cell r="B1642">
            <v>1431.4</v>
          </cell>
          <cell r="C1642">
            <v>1484.2475440000001</v>
          </cell>
          <cell r="D1642">
            <v>1.5107415107415101</v>
          </cell>
          <cell r="E1642">
            <v>224.89054300000001</v>
          </cell>
          <cell r="F1642">
            <v>0.88981288981288897</v>
          </cell>
          <cell r="G1642">
            <v>82.511741000000001</v>
          </cell>
          <cell r="H1642">
            <v>0.25416666666666599</v>
          </cell>
          <cell r="I1642">
            <v>36.289358999999997</v>
          </cell>
          <cell r="J1642">
            <v>0.16805555555555499</v>
          </cell>
          <cell r="K1642">
            <v>653.22709499999996</v>
          </cell>
          <cell r="L1642">
            <v>1.00278745644599</v>
          </cell>
          <cell r="M1642">
            <v>113.54130000000001</v>
          </cell>
          <cell r="N1642">
            <v>0.65923344947735096</v>
          </cell>
          <cell r="O1642">
            <v>128.54567399999999</v>
          </cell>
          <cell r="P1642">
            <v>1.08625525946704</v>
          </cell>
          <cell r="Q1642">
            <v>19.389596999999998</v>
          </cell>
          <cell r="R1642">
            <v>8.5553997194950895E-2</v>
          </cell>
          <cell r="S1642">
            <v>2687.8219260000001</v>
          </cell>
          <cell r="T1642">
            <v>3.31139419674451</v>
          </cell>
          <cell r="U1642">
            <v>275.93027799999999</v>
          </cell>
          <cell r="V1642">
            <v>1.7636234961075701</v>
          </cell>
        </row>
        <row r="1643">
          <cell r="A1643" t="str">
            <v>112604</v>
          </cell>
          <cell r="B1643">
            <v>590</v>
          </cell>
          <cell r="C1643">
            <v>12.325619</v>
          </cell>
          <cell r="D1643">
            <v>3.8851351351351301E-2</v>
          </cell>
          <cell r="E1643">
            <v>12.325619</v>
          </cell>
          <cell r="F1643">
            <v>3.8851351351351301E-2</v>
          </cell>
          <cell r="G1643">
            <v>2.0636079999999999</v>
          </cell>
          <cell r="H1643">
            <v>8.4889643463497404E-3</v>
          </cell>
          <cell r="I1643">
            <v>2.0636079999999999</v>
          </cell>
          <cell r="J1643">
            <v>8.4889643463497404E-3</v>
          </cell>
          <cell r="K1643">
            <v>62.696598999999999</v>
          </cell>
          <cell r="L1643">
            <v>0.30522765598650903</v>
          </cell>
          <cell r="M1643">
            <v>62.696598999999999</v>
          </cell>
          <cell r="N1643">
            <v>0.30522765598650903</v>
          </cell>
          <cell r="O1643">
            <v>0</v>
          </cell>
          <cell r="P1643">
            <v>0</v>
          </cell>
          <cell r="Q1643">
            <v>0</v>
          </cell>
          <cell r="R1643">
            <v>0</v>
          </cell>
          <cell r="S1643">
            <v>179.512754</v>
          </cell>
          <cell r="T1643">
            <v>1.0408163265306101</v>
          </cell>
          <cell r="U1643">
            <v>12.056207000000001</v>
          </cell>
          <cell r="V1643">
            <v>6.8027210884353706E-2</v>
          </cell>
        </row>
        <row r="1644">
          <cell r="A1644" t="str">
            <v>112801</v>
          </cell>
          <cell r="B1644">
            <v>995.6</v>
          </cell>
          <cell r="C1644">
            <v>2423.6034359999999</v>
          </cell>
          <cell r="D1644">
            <v>4.1457925636007804</v>
          </cell>
          <cell r="E1644">
            <v>475.28563300000002</v>
          </cell>
          <cell r="F1644">
            <v>3.21037181996086</v>
          </cell>
          <cell r="G1644">
            <v>249.03168299999999</v>
          </cell>
          <cell r="H1644">
            <v>0.42239685658153198</v>
          </cell>
          <cell r="I1644">
            <v>32.078442000000003</v>
          </cell>
          <cell r="J1644">
            <v>0.30648330058939</v>
          </cell>
          <cell r="K1644">
            <v>805.22945600000003</v>
          </cell>
          <cell r="L1644">
            <v>1.8200795228628199</v>
          </cell>
          <cell r="M1644">
            <v>296.07352500000002</v>
          </cell>
          <cell r="N1644">
            <v>1.19980119284294</v>
          </cell>
          <cell r="O1644">
            <v>290.637609</v>
          </cell>
          <cell r="P1644">
            <v>0.62576064908722095</v>
          </cell>
          <cell r="Q1644">
            <v>140.37070600000001</v>
          </cell>
          <cell r="R1644">
            <v>0.46754563894523299</v>
          </cell>
          <cell r="S1644">
            <v>758.43505900000002</v>
          </cell>
          <cell r="T1644">
            <v>1.36046511627906</v>
          </cell>
          <cell r="U1644">
            <v>92.005250000000004</v>
          </cell>
          <cell r="V1644">
            <v>0.625792811839323</v>
          </cell>
        </row>
        <row r="1645">
          <cell r="A1645" t="str">
            <v>112802</v>
          </cell>
          <cell r="B1645">
            <v>974.8</v>
          </cell>
          <cell r="C1645">
            <v>3331.973422</v>
          </cell>
          <cell r="D1645">
            <v>4.4730417090539101</v>
          </cell>
          <cell r="E1645">
            <v>733.39120000000003</v>
          </cell>
          <cell r="F1645">
            <v>3.29501525940996</v>
          </cell>
          <cell r="G1645">
            <v>858.41862100000003</v>
          </cell>
          <cell r="H1645">
            <v>1.2778345250255301</v>
          </cell>
          <cell r="I1645">
            <v>207.86946699999999</v>
          </cell>
          <cell r="J1645">
            <v>0.931562819203268</v>
          </cell>
          <cell r="K1645">
            <v>2945.9587510000001</v>
          </cell>
          <cell r="L1645">
            <v>2.2297435897435798</v>
          </cell>
          <cell r="M1645">
            <v>291.79644400000001</v>
          </cell>
          <cell r="N1645">
            <v>1.3897435897435799</v>
          </cell>
          <cell r="O1645">
            <v>981.45463099999995</v>
          </cell>
          <cell r="P1645">
            <v>2.0246153846153798</v>
          </cell>
          <cell r="Q1645">
            <v>880.09215300000005</v>
          </cell>
          <cell r="R1645">
            <v>1.8953846153846099</v>
          </cell>
          <cell r="S1645">
            <v>445.91713299999998</v>
          </cell>
          <cell r="T1645">
            <v>1.3014553014553001</v>
          </cell>
          <cell r="U1645">
            <v>348.32706100000001</v>
          </cell>
          <cell r="V1645">
            <v>1.1735966735966701</v>
          </cell>
        </row>
        <row r="1646">
          <cell r="A1646" t="str">
            <v>113401</v>
          </cell>
          <cell r="B1646">
            <v>97.2</v>
          </cell>
          <cell r="C1646">
            <v>0</v>
          </cell>
          <cell r="D1646">
            <v>0</v>
          </cell>
          <cell r="E1646">
            <v>0</v>
          </cell>
          <cell r="F1646">
            <v>0</v>
          </cell>
          <cell r="G1646">
            <v>20.720364</v>
          </cell>
          <cell r="H1646">
            <v>0.123711340206185</v>
          </cell>
          <cell r="I1646">
            <v>13.636918</v>
          </cell>
          <cell r="J1646">
            <v>0.11340206185567001</v>
          </cell>
          <cell r="K1646">
            <v>1974.6030920000001</v>
          </cell>
          <cell r="L1646">
            <v>1.0103092783505101</v>
          </cell>
          <cell r="M1646">
            <v>1.2785219999999999</v>
          </cell>
          <cell r="N1646">
            <v>1.03092783505154E-2</v>
          </cell>
          <cell r="O1646">
            <v>729.88163199999997</v>
          </cell>
          <cell r="P1646">
            <v>1.6734693877550999</v>
          </cell>
          <cell r="Q1646">
            <v>729.88163199999997</v>
          </cell>
          <cell r="R1646">
            <v>1.6734693877550999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</row>
        <row r="1647">
          <cell r="A1647" t="str">
            <v>113402</v>
          </cell>
          <cell r="B1647">
            <v>467.57142800000003</v>
          </cell>
          <cell r="C1647">
            <v>14.264474</v>
          </cell>
          <cell r="D1647">
            <v>0.12997903563941199</v>
          </cell>
          <cell r="E1647">
            <v>14.264474</v>
          </cell>
          <cell r="F1647">
            <v>0.12997903563941199</v>
          </cell>
          <cell r="G1647">
            <v>22.940909999999999</v>
          </cell>
          <cell r="H1647">
            <v>0.22033898305084701</v>
          </cell>
          <cell r="I1647">
            <v>22.940909999999999</v>
          </cell>
          <cell r="J1647">
            <v>0.22033898305084701</v>
          </cell>
          <cell r="K1647">
            <v>2210.7599279999999</v>
          </cell>
          <cell r="L1647">
            <v>2.24042553191489</v>
          </cell>
          <cell r="M1647">
            <v>192.80776499999999</v>
          </cell>
          <cell r="N1647">
            <v>1.0808510638297799</v>
          </cell>
          <cell r="O1647">
            <v>187.17635200000001</v>
          </cell>
          <cell r="P1647">
            <v>1.0747863247863201</v>
          </cell>
          <cell r="Q1647">
            <v>117.450925</v>
          </cell>
          <cell r="R1647">
            <v>1.0277777777777699</v>
          </cell>
          <cell r="S1647">
            <v>33.967522000000002</v>
          </cell>
          <cell r="T1647">
            <v>0.42857142857142799</v>
          </cell>
          <cell r="U1647">
            <v>33.967522000000002</v>
          </cell>
          <cell r="V1647">
            <v>0.42857142857142799</v>
          </cell>
        </row>
        <row r="1648">
          <cell r="A1648" t="str">
            <v>113403</v>
          </cell>
          <cell r="B1648">
            <v>50.8</v>
          </cell>
          <cell r="C1648">
            <v>116.17716</v>
          </cell>
          <cell r="D1648">
            <v>1.0392156862744999</v>
          </cell>
          <cell r="E1648">
            <v>116.17716</v>
          </cell>
          <cell r="F1648">
            <v>1.0392156862744999</v>
          </cell>
          <cell r="G1648">
            <v>215.76045500000001</v>
          </cell>
          <cell r="H1648">
            <v>1.0384615384615301</v>
          </cell>
          <cell r="I1648">
            <v>215.76045500000001</v>
          </cell>
          <cell r="J1648">
            <v>1.0384615384615301</v>
          </cell>
          <cell r="K1648">
            <v>4.4075160000000002</v>
          </cell>
          <cell r="L1648">
            <v>1.9607843137254902E-2</v>
          </cell>
          <cell r="M1648">
            <v>4.4075160000000002</v>
          </cell>
          <cell r="N1648">
            <v>1.9607843137254902E-2</v>
          </cell>
          <cell r="O1648">
            <v>116.25</v>
          </cell>
          <cell r="P1648">
            <v>1</v>
          </cell>
          <cell r="Q1648">
            <v>116.25</v>
          </cell>
          <cell r="R1648">
            <v>1</v>
          </cell>
          <cell r="S1648">
            <v>350.26666599999999</v>
          </cell>
          <cell r="T1648">
            <v>1.4285714285714199</v>
          </cell>
          <cell r="U1648">
            <v>350.26666599999999</v>
          </cell>
          <cell r="V1648">
            <v>1.4285714285714199</v>
          </cell>
        </row>
        <row r="1649">
          <cell r="A1649" t="str">
            <v>113404</v>
          </cell>
          <cell r="B1649">
            <v>164.2</v>
          </cell>
          <cell r="C1649">
            <v>78.186000000000007</v>
          </cell>
          <cell r="D1649">
            <v>1.01840490797546</v>
          </cell>
          <cell r="E1649">
            <v>78.186000000000007</v>
          </cell>
          <cell r="F1649">
            <v>1.01840490797546</v>
          </cell>
          <cell r="G1649">
            <v>6.3989669999999998</v>
          </cell>
          <cell r="H1649">
            <v>5.4216867469879498E-2</v>
          </cell>
          <cell r="I1649">
            <v>6.3989669999999998</v>
          </cell>
          <cell r="J1649">
            <v>5.4216867469879498E-2</v>
          </cell>
          <cell r="K1649">
            <v>33.025756999999999</v>
          </cell>
          <cell r="L1649">
            <v>0.248484848484848</v>
          </cell>
          <cell r="M1649">
            <v>33.025756999999999</v>
          </cell>
          <cell r="N1649">
            <v>0.248484848484848</v>
          </cell>
          <cell r="O1649">
            <v>145.90162599999999</v>
          </cell>
          <cell r="P1649">
            <v>1.90853658536585</v>
          </cell>
          <cell r="Q1649">
            <v>145.90162599999999</v>
          </cell>
          <cell r="R1649">
            <v>1.90853658536585</v>
          </cell>
          <cell r="S1649">
            <v>138.29652300000001</v>
          </cell>
          <cell r="T1649">
            <v>0.85889570552147199</v>
          </cell>
          <cell r="U1649">
            <v>138.29652300000001</v>
          </cell>
          <cell r="V1649">
            <v>0.85889570552147199</v>
          </cell>
        </row>
        <row r="1650">
          <cell r="A1650" t="str">
            <v>113601</v>
          </cell>
          <cell r="B1650">
            <v>1710</v>
          </cell>
          <cell r="C1650">
            <v>1659.296214</v>
          </cell>
          <cell r="D1650">
            <v>1.2282036278525399</v>
          </cell>
          <cell r="E1650">
            <v>14.761649999999999</v>
          </cell>
          <cell r="F1650">
            <v>9.7132826214160306E-2</v>
          </cell>
          <cell r="G1650">
            <v>1397.333856</v>
          </cell>
          <cell r="H1650">
            <v>6.1288810779144596</v>
          </cell>
          <cell r="I1650">
            <v>341.33225700000003</v>
          </cell>
          <cell r="J1650">
            <v>3.1124780316344398</v>
          </cell>
          <cell r="K1650">
            <v>386.86760500000003</v>
          </cell>
          <cell r="L1650">
            <v>0.72401644157369305</v>
          </cell>
          <cell r="M1650">
            <v>35.304560000000002</v>
          </cell>
          <cell r="N1650">
            <v>0.333529066353493</v>
          </cell>
          <cell r="O1650">
            <v>100.050059</v>
          </cell>
          <cell r="P1650">
            <v>1.2202776101388</v>
          </cell>
          <cell r="Q1650">
            <v>83.205984000000001</v>
          </cell>
          <cell r="R1650">
            <v>1.19915509957754</v>
          </cell>
          <cell r="S1650">
            <v>1559.77964</v>
          </cell>
          <cell r="T1650">
            <v>3.4949267192784599</v>
          </cell>
          <cell r="U1650">
            <v>1517.586057</v>
          </cell>
          <cell r="V1650">
            <v>3.0287485907553502</v>
          </cell>
        </row>
        <row r="1651">
          <cell r="A1651" t="str">
            <v>113602</v>
          </cell>
          <cell r="B1651">
            <v>531</v>
          </cell>
          <cell r="C1651">
            <v>2675.7870039999998</v>
          </cell>
          <cell r="D1651">
            <v>1.1059701492537299</v>
          </cell>
          <cell r="E1651">
            <v>12.986052000000001</v>
          </cell>
          <cell r="F1651">
            <v>0.101492537313432</v>
          </cell>
          <cell r="G1651">
            <v>1834.7742940000001</v>
          </cell>
          <cell r="H1651">
            <v>2.35037593984962</v>
          </cell>
          <cell r="I1651">
            <v>216.10683800000001</v>
          </cell>
          <cell r="J1651">
            <v>1.0781954887217999</v>
          </cell>
          <cell r="K1651">
            <v>77.635445000000004</v>
          </cell>
          <cell r="L1651">
            <v>0.244239631336405</v>
          </cell>
          <cell r="M1651">
            <v>21.234831</v>
          </cell>
          <cell r="N1651">
            <v>0.211981566820276</v>
          </cell>
          <cell r="O1651">
            <v>74.535454999999999</v>
          </cell>
          <cell r="P1651">
            <v>1.1770186335403701</v>
          </cell>
          <cell r="Q1651">
            <v>74.535454999999999</v>
          </cell>
          <cell r="R1651">
            <v>1.1770186335403701</v>
          </cell>
          <cell r="S1651">
            <v>29.470146</v>
          </cell>
          <cell r="T1651">
            <v>0.47938144329896898</v>
          </cell>
          <cell r="U1651">
            <v>29.470146</v>
          </cell>
          <cell r="V1651">
            <v>0.47938144329896898</v>
          </cell>
        </row>
        <row r="1652">
          <cell r="A1652" t="str">
            <v>113603</v>
          </cell>
          <cell r="B1652">
            <v>5.5</v>
          </cell>
          <cell r="C1652">
            <v>0</v>
          </cell>
          <cell r="D1652">
            <v>0</v>
          </cell>
          <cell r="E1652">
            <v>0</v>
          </cell>
          <cell r="F1652">
            <v>0</v>
          </cell>
          <cell r="G1652">
            <v>0</v>
          </cell>
          <cell r="H1652">
            <v>0</v>
          </cell>
          <cell r="I1652">
            <v>0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63.25</v>
          </cell>
          <cell r="P1652">
            <v>1</v>
          </cell>
          <cell r="Q1652">
            <v>63.25</v>
          </cell>
          <cell r="R1652">
            <v>1</v>
          </cell>
          <cell r="S1652">
            <v>969.02</v>
          </cell>
          <cell r="T1652">
            <v>1.2</v>
          </cell>
          <cell r="U1652">
            <v>969.02</v>
          </cell>
          <cell r="V1652">
            <v>1.2</v>
          </cell>
        </row>
        <row r="1653">
          <cell r="A1653" t="str">
            <v>113604</v>
          </cell>
          <cell r="B1653">
            <v>11.5</v>
          </cell>
          <cell r="C1653">
            <v>2438.8595329999998</v>
          </cell>
          <cell r="D1653">
            <v>1</v>
          </cell>
          <cell r="E1653">
            <v>0</v>
          </cell>
          <cell r="F1653">
            <v>0</v>
          </cell>
          <cell r="G1653">
            <v>1464.4506160000001</v>
          </cell>
          <cell r="H1653">
            <v>3</v>
          </cell>
          <cell r="I1653">
            <v>216.94248300000001</v>
          </cell>
          <cell r="J1653">
            <v>2</v>
          </cell>
          <cell r="K1653">
            <v>0</v>
          </cell>
          <cell r="L1653">
            <v>0</v>
          </cell>
          <cell r="M1653">
            <v>0</v>
          </cell>
          <cell r="N1653">
            <v>0</v>
          </cell>
          <cell r="O1653">
            <v>54.366666000000002</v>
          </cell>
          <cell r="P1653">
            <v>1</v>
          </cell>
          <cell r="Q1653">
            <v>54.366666000000002</v>
          </cell>
          <cell r="R1653">
            <v>1</v>
          </cell>
          <cell r="S1653">
            <v>1999.072435</v>
          </cell>
          <cell r="T1653">
            <v>2.1538461538461502</v>
          </cell>
          <cell r="U1653">
            <v>190.51858899999999</v>
          </cell>
          <cell r="V1653">
            <v>1.2307692307692299</v>
          </cell>
        </row>
        <row r="1654">
          <cell r="A1654" t="str">
            <v>114201</v>
          </cell>
          <cell r="B1654">
            <v>242.22222199999999</v>
          </cell>
          <cell r="C1654">
            <v>351.23583200000002</v>
          </cell>
          <cell r="D1654">
            <v>1.39035087719298</v>
          </cell>
          <cell r="E1654">
            <v>274.37633699999998</v>
          </cell>
          <cell r="F1654">
            <v>1.29824561403508</v>
          </cell>
          <cell r="G1654">
            <v>537.55447600000002</v>
          </cell>
          <cell r="H1654">
            <v>1.3755102040816301</v>
          </cell>
          <cell r="I1654">
            <v>382.41826400000002</v>
          </cell>
          <cell r="J1654">
            <v>1.18367346938775</v>
          </cell>
          <cell r="K1654">
            <v>23.795138000000001</v>
          </cell>
          <cell r="L1654">
            <v>4.9999999999999899E-2</v>
          </cell>
          <cell r="M1654">
            <v>19.706458000000001</v>
          </cell>
          <cell r="N1654">
            <v>4.5833333333333302E-2</v>
          </cell>
          <cell r="O1654">
            <v>75.820109000000002</v>
          </cell>
          <cell r="P1654">
            <v>5.7851239669421399E-2</v>
          </cell>
          <cell r="Q1654">
            <v>4.3789939999999996</v>
          </cell>
          <cell r="R1654">
            <v>2.0661157024793299E-2</v>
          </cell>
          <cell r="S1654">
            <v>138.24290099999999</v>
          </cell>
          <cell r="T1654">
            <v>1.3962962962962899</v>
          </cell>
          <cell r="U1654">
            <v>0</v>
          </cell>
          <cell r="V1654">
            <v>0</v>
          </cell>
        </row>
        <row r="1655">
          <cell r="A1655" t="str">
            <v>114202</v>
          </cell>
          <cell r="B1655">
            <v>1477.4</v>
          </cell>
          <cell r="C1655">
            <v>176.62046900000001</v>
          </cell>
          <cell r="D1655">
            <v>0.21895861148197501</v>
          </cell>
          <cell r="E1655">
            <v>26.307537</v>
          </cell>
          <cell r="F1655">
            <v>9.6128170894525994E-2</v>
          </cell>
          <cell r="G1655">
            <v>361.36719399999998</v>
          </cell>
          <cell r="H1655">
            <v>1.3999999999999899</v>
          </cell>
          <cell r="I1655">
            <v>113.871441</v>
          </cell>
          <cell r="J1655">
            <v>1.1422818791946301</v>
          </cell>
          <cell r="K1655">
            <v>7.1068619999999996</v>
          </cell>
          <cell r="L1655">
            <v>1.2170385395537499E-2</v>
          </cell>
          <cell r="M1655">
            <v>6.8244420000000003</v>
          </cell>
          <cell r="N1655">
            <v>1.1494252873563199E-2</v>
          </cell>
          <cell r="O1655">
            <v>229.90058999999999</v>
          </cell>
          <cell r="P1655">
            <v>0.37014314928425301</v>
          </cell>
          <cell r="Q1655">
            <v>43.908475000000003</v>
          </cell>
          <cell r="R1655">
            <v>0.256987048398091</v>
          </cell>
          <cell r="S1655">
            <v>65.412857000000002</v>
          </cell>
          <cell r="T1655">
            <v>1.24225739848589</v>
          </cell>
          <cell r="U1655">
            <v>23.962789000000001</v>
          </cell>
          <cell r="V1655">
            <v>0.22161046111493399</v>
          </cell>
        </row>
        <row r="1656">
          <cell r="A1656" t="str">
            <v>114203</v>
          </cell>
          <cell r="B1656">
            <v>1414.4</v>
          </cell>
          <cell r="C1656">
            <v>2310.5216700000001</v>
          </cell>
          <cell r="D1656">
            <v>1.7815699658702999</v>
          </cell>
          <cell r="E1656">
            <v>25.302257999999998</v>
          </cell>
          <cell r="F1656">
            <v>0.191808873720136</v>
          </cell>
          <cell r="G1656">
            <v>597.225594</v>
          </cell>
          <cell r="H1656">
            <v>0.95714285714285696</v>
          </cell>
          <cell r="I1656">
            <v>28.205068000000001</v>
          </cell>
          <cell r="J1656">
            <v>0.209523809523809</v>
          </cell>
          <cell r="K1656">
            <v>85.148385000000005</v>
          </cell>
          <cell r="L1656">
            <v>0.240109140518417</v>
          </cell>
          <cell r="M1656">
            <v>84.989801999999997</v>
          </cell>
          <cell r="N1656">
            <v>0.23942701227830801</v>
          </cell>
          <cell r="O1656">
            <v>345.66354799999999</v>
          </cell>
          <cell r="P1656">
            <v>1.4208367514356</v>
          </cell>
          <cell r="Q1656">
            <v>344.91629699999999</v>
          </cell>
          <cell r="R1656">
            <v>1.42001640689089</v>
          </cell>
          <cell r="S1656">
            <v>1528.429568</v>
          </cell>
          <cell r="T1656">
            <v>2.0268595041322301</v>
          </cell>
          <cell r="U1656">
            <v>4.0531220000000001</v>
          </cell>
          <cell r="V1656">
            <v>2.27272727272727E-2</v>
          </cell>
        </row>
        <row r="1657">
          <cell r="A1657" t="str">
            <v>114301</v>
          </cell>
          <cell r="B1657">
            <v>967.44444399999998</v>
          </cell>
          <cell r="C1657">
            <v>208.715046</v>
          </cell>
          <cell r="D1657">
            <v>1.14464099895941</v>
          </cell>
          <cell r="E1657">
            <v>208.715046</v>
          </cell>
          <cell r="F1657">
            <v>1.14464099895941</v>
          </cell>
          <cell r="G1657">
            <v>889.71364700000004</v>
          </cell>
          <cell r="H1657">
            <v>2.4396728016359899</v>
          </cell>
          <cell r="I1657">
            <v>262.45530100000002</v>
          </cell>
          <cell r="J1657">
            <v>1.29141104294478</v>
          </cell>
          <cell r="K1657">
            <v>2076.2811660000002</v>
          </cell>
          <cell r="L1657">
            <v>1.7584442169907799</v>
          </cell>
          <cell r="M1657">
            <v>74.790087999999997</v>
          </cell>
          <cell r="N1657">
            <v>0.41658137154554697</v>
          </cell>
          <cell r="O1657">
            <v>1068.963064</v>
          </cell>
          <cell r="P1657">
            <v>4.0164609053497902</v>
          </cell>
          <cell r="Q1657">
            <v>505.05383999999998</v>
          </cell>
          <cell r="R1657">
            <v>3.55555555555555</v>
          </cell>
          <cell r="S1657">
            <v>408.726496</v>
          </cell>
          <cell r="T1657">
            <v>2.1078224101479899</v>
          </cell>
          <cell r="U1657">
            <v>292.84252900000001</v>
          </cell>
          <cell r="V1657">
            <v>1.7917547568710299</v>
          </cell>
        </row>
        <row r="1658">
          <cell r="A1658" t="str">
            <v>114302</v>
          </cell>
          <cell r="B1658">
            <v>1354.25</v>
          </cell>
          <cell r="C1658">
            <v>6.0921859999999999</v>
          </cell>
          <cell r="D1658">
            <v>4.7128129602356399E-2</v>
          </cell>
          <cell r="E1658">
            <v>6.0921859999999999</v>
          </cell>
          <cell r="F1658">
            <v>4.7128129602356399E-2</v>
          </cell>
          <cell r="G1658">
            <v>113.003496</v>
          </cell>
          <cell r="H1658">
            <v>0.407759882869692</v>
          </cell>
          <cell r="I1658">
            <v>20.338654999999999</v>
          </cell>
          <cell r="J1658">
            <v>0.13762811127379199</v>
          </cell>
          <cell r="K1658">
            <v>742.92064200000004</v>
          </cell>
          <cell r="L1658">
            <v>1.8428781204111599</v>
          </cell>
          <cell r="M1658">
            <v>195.70917700000001</v>
          </cell>
          <cell r="N1658">
            <v>1.24963289280469</v>
          </cell>
          <cell r="O1658">
            <v>316.30912699999999</v>
          </cell>
          <cell r="P1658">
            <v>1.2002956393200199</v>
          </cell>
          <cell r="Q1658">
            <v>243.216272</v>
          </cell>
          <cell r="R1658">
            <v>1.1411677753141101</v>
          </cell>
          <cell r="S1658">
            <v>32.746155999999999</v>
          </cell>
          <cell r="T1658">
            <v>0.31430745814307398</v>
          </cell>
          <cell r="U1658">
            <v>32.746155999999999</v>
          </cell>
          <cell r="V1658">
            <v>0.31430745814307398</v>
          </cell>
        </row>
        <row r="1659">
          <cell r="A1659" t="str">
            <v>114403</v>
          </cell>
          <cell r="B1659">
            <v>253.2</v>
          </cell>
          <cell r="C1659">
            <v>3616.0054</v>
          </cell>
          <cell r="D1659">
            <v>1.85314685314685</v>
          </cell>
          <cell r="E1659">
            <v>103.479302</v>
          </cell>
          <cell r="F1659">
            <v>1.0209790209790199</v>
          </cell>
          <cell r="G1659">
            <v>916.24152600000002</v>
          </cell>
          <cell r="H1659">
            <v>2.2288732394366102</v>
          </cell>
          <cell r="I1659">
            <v>301.370273</v>
          </cell>
          <cell r="J1659">
            <v>1.21830985915492</v>
          </cell>
          <cell r="K1659">
            <v>692.20335599999999</v>
          </cell>
          <cell r="L1659">
            <v>3.3498233215547701</v>
          </cell>
          <cell r="M1659">
            <v>419.54699599999998</v>
          </cell>
          <cell r="N1659">
            <v>3.1554770318021199</v>
          </cell>
          <cell r="O1659">
            <v>17.689807999999999</v>
          </cell>
          <cell r="P1659">
            <v>0.35251798561150999</v>
          </cell>
          <cell r="Q1659">
            <v>16.181175</v>
          </cell>
          <cell r="R1659">
            <v>0.32014388489208601</v>
          </cell>
          <cell r="S1659">
            <v>166.64460299999999</v>
          </cell>
          <cell r="T1659">
            <v>1.1007194244604299</v>
          </cell>
          <cell r="U1659">
            <v>14.190827000000001</v>
          </cell>
          <cell r="V1659">
            <v>9.7122302158273305E-2</v>
          </cell>
        </row>
        <row r="1660">
          <cell r="A1660" t="str">
            <v>114501</v>
          </cell>
          <cell r="B1660">
            <v>1026.25</v>
          </cell>
          <cell r="C1660">
            <v>882.30895299999997</v>
          </cell>
          <cell r="D1660">
            <v>1.8285714285714201</v>
          </cell>
          <cell r="E1660">
            <v>23.477184000000001</v>
          </cell>
          <cell r="F1660">
            <v>0.18809523809523801</v>
          </cell>
          <cell r="G1660">
            <v>4.6676880000000001</v>
          </cell>
          <cell r="H1660">
            <v>4.7789725209080001E-2</v>
          </cell>
          <cell r="I1660">
            <v>4.6676880000000001</v>
          </cell>
          <cell r="J1660">
            <v>4.7789725209080001E-2</v>
          </cell>
          <cell r="K1660">
            <v>226.67125200000001</v>
          </cell>
          <cell r="L1660">
            <v>1.6145454545454501</v>
          </cell>
          <cell r="M1660">
            <v>226.67125200000001</v>
          </cell>
          <cell r="N1660">
            <v>1.6145454545454501</v>
          </cell>
          <cell r="O1660">
            <v>103.11121900000001</v>
          </cell>
          <cell r="P1660">
            <v>0.85694249649368803</v>
          </cell>
          <cell r="Q1660">
            <v>102.684934</v>
          </cell>
          <cell r="R1660">
            <v>0.85203366058906005</v>
          </cell>
          <cell r="S1660">
            <v>16.458943999999999</v>
          </cell>
          <cell r="T1660">
            <v>0.18849206349206299</v>
          </cell>
          <cell r="U1660">
            <v>15.481579999999999</v>
          </cell>
          <cell r="V1660">
            <v>0.17956349206349201</v>
          </cell>
        </row>
        <row r="1661">
          <cell r="A1661" t="str">
            <v>114502</v>
          </cell>
          <cell r="B1661">
            <v>1305.444444</v>
          </cell>
          <cell r="C1661">
            <v>717.09756100000004</v>
          </cell>
          <cell r="D1661">
            <v>1.20323325635103</v>
          </cell>
          <cell r="E1661">
            <v>17.765007000000001</v>
          </cell>
          <cell r="F1661">
            <v>0.100076982294072</v>
          </cell>
          <cell r="G1661">
            <v>78.532454000000001</v>
          </cell>
          <cell r="H1661">
            <v>0.29166666666666602</v>
          </cell>
          <cell r="I1661">
            <v>75.726540999999997</v>
          </cell>
          <cell r="J1661">
            <v>0.282407407407407</v>
          </cell>
          <cell r="K1661">
            <v>1414.394822</v>
          </cell>
          <cell r="L1661">
            <v>2.3098159509202398</v>
          </cell>
          <cell r="M1661">
            <v>326.51560499999999</v>
          </cell>
          <cell r="N1661">
            <v>1.3090490797545999</v>
          </cell>
          <cell r="O1661">
            <v>37.798077999999997</v>
          </cell>
          <cell r="P1661">
            <v>7.2118959107806593E-2</v>
          </cell>
          <cell r="Q1661">
            <v>4.3594169999999997</v>
          </cell>
          <cell r="R1661">
            <v>5.1301115241635602E-2</v>
          </cell>
          <cell r="S1661">
            <v>15.538395</v>
          </cell>
          <cell r="T1661">
            <v>6.7406819984139499E-2</v>
          </cell>
          <cell r="U1661">
            <v>15.538395</v>
          </cell>
          <cell r="V1661">
            <v>6.7406819984139499E-2</v>
          </cell>
        </row>
        <row r="1662">
          <cell r="A1662" t="str">
            <v>114601</v>
          </cell>
          <cell r="B1662">
            <v>410.375</v>
          </cell>
          <cell r="C1662">
            <v>1695.972583</v>
          </cell>
          <cell r="D1662">
            <v>1.27184466019417</v>
          </cell>
          <cell r="E1662">
            <v>249.51250300000001</v>
          </cell>
          <cell r="F1662">
            <v>1.0242718446601899</v>
          </cell>
          <cell r="G1662">
            <v>12.442598</v>
          </cell>
          <cell r="H1662">
            <v>0.14769975786924899</v>
          </cell>
          <cell r="I1662">
            <v>12.442598</v>
          </cell>
          <cell r="J1662">
            <v>0.14769975786924899</v>
          </cell>
          <cell r="K1662">
            <v>1100.8221129999999</v>
          </cell>
          <cell r="L1662">
            <v>3.0073170731707299</v>
          </cell>
          <cell r="M1662">
            <v>259.23235699999998</v>
          </cell>
          <cell r="N1662">
            <v>2.0073170731707299</v>
          </cell>
          <cell r="O1662">
            <v>88.601950000000002</v>
          </cell>
          <cell r="P1662">
            <v>1.0365853658536499</v>
          </cell>
          <cell r="Q1662">
            <v>86.194674000000006</v>
          </cell>
          <cell r="R1662">
            <v>1.03414634146341</v>
          </cell>
          <cell r="S1662">
            <v>18.261042</v>
          </cell>
          <cell r="T1662">
            <v>0.34729064039408802</v>
          </cell>
          <cell r="U1662">
            <v>18.261042</v>
          </cell>
          <cell r="V1662">
            <v>0.34729064039408802</v>
          </cell>
        </row>
        <row r="1663">
          <cell r="A1663" t="str">
            <v>114602</v>
          </cell>
          <cell r="B1663">
            <v>701.16666599999996</v>
          </cell>
          <cell r="C1663">
            <v>2540.5306949999999</v>
          </cell>
          <cell r="D1663">
            <v>2.0056737588652398</v>
          </cell>
          <cell r="E1663">
            <v>243.405224</v>
          </cell>
          <cell r="F1663">
            <v>1.0028368794326199</v>
          </cell>
          <cell r="G1663">
            <v>50.372945000000001</v>
          </cell>
          <cell r="H1663">
            <v>0.57510729613733902</v>
          </cell>
          <cell r="I1663">
            <v>50.372945000000001</v>
          </cell>
          <cell r="J1663">
            <v>0.57510729613733902</v>
          </cell>
          <cell r="K1663">
            <v>641.31752200000005</v>
          </cell>
          <cell r="L1663">
            <v>0.680456490727532</v>
          </cell>
          <cell r="M1663">
            <v>2.3316210000000002</v>
          </cell>
          <cell r="N1663">
            <v>2.8530670470756001E-2</v>
          </cell>
          <cell r="O1663">
            <v>0</v>
          </cell>
          <cell r="P1663">
            <v>0</v>
          </cell>
          <cell r="Q1663">
            <v>0</v>
          </cell>
          <cell r="R1663">
            <v>0</v>
          </cell>
          <cell r="S1663">
            <v>4.7127150000000002</v>
          </cell>
          <cell r="T1663">
            <v>5.3160919540229799E-2</v>
          </cell>
          <cell r="U1663">
            <v>4.7127150000000002</v>
          </cell>
          <cell r="V1663">
            <v>5.3160919540229799E-2</v>
          </cell>
        </row>
        <row r="1664">
          <cell r="A1664" t="str">
            <v>114603</v>
          </cell>
          <cell r="B1664">
            <v>6</v>
          </cell>
          <cell r="C1664">
            <v>0</v>
          </cell>
          <cell r="D1664">
            <v>0</v>
          </cell>
          <cell r="E1664">
            <v>0</v>
          </cell>
          <cell r="F1664">
            <v>0</v>
          </cell>
          <cell r="G1664">
            <v>0</v>
          </cell>
          <cell r="H1664">
            <v>0</v>
          </cell>
          <cell r="I1664">
            <v>0</v>
          </cell>
          <cell r="J1664">
            <v>0</v>
          </cell>
          <cell r="K1664">
            <v>273.93888800000002</v>
          </cell>
          <cell r="L1664">
            <v>1.1666666666666601</v>
          </cell>
          <cell r="M1664">
            <v>273.93888800000002</v>
          </cell>
          <cell r="N1664">
            <v>1.1666666666666601</v>
          </cell>
          <cell r="O1664">
            <v>0</v>
          </cell>
          <cell r="P1664">
            <v>0</v>
          </cell>
          <cell r="Q1664">
            <v>0</v>
          </cell>
          <cell r="R1664">
            <v>0</v>
          </cell>
          <cell r="S1664">
            <v>0</v>
          </cell>
          <cell r="T1664">
            <v>0</v>
          </cell>
          <cell r="U1664">
            <v>0</v>
          </cell>
          <cell r="V1664">
            <v>0</v>
          </cell>
        </row>
        <row r="1665">
          <cell r="A1665" t="str">
            <v>114701</v>
          </cell>
          <cell r="B1665">
            <v>451.55555500000003</v>
          </cell>
          <cell r="C1665">
            <v>202.21515600000001</v>
          </cell>
          <cell r="D1665">
            <v>1.7101769911504401</v>
          </cell>
          <cell r="E1665">
            <v>117.661395</v>
          </cell>
          <cell r="F1665">
            <v>1.00663716814159</v>
          </cell>
          <cell r="G1665">
            <v>714.585465</v>
          </cell>
          <cell r="H1665">
            <v>1.06858407079646</v>
          </cell>
          <cell r="I1665">
            <v>189.46822599999999</v>
          </cell>
          <cell r="J1665">
            <v>0.62831858407079599</v>
          </cell>
          <cell r="K1665">
            <v>88.713244000000003</v>
          </cell>
          <cell r="L1665">
            <v>0.231788079470198</v>
          </cell>
          <cell r="M1665">
            <v>7.6787340000000004</v>
          </cell>
          <cell r="N1665">
            <v>3.9735099337748297E-2</v>
          </cell>
          <cell r="O1665">
            <v>579.32101599999999</v>
          </cell>
          <cell r="P1665">
            <v>0.712389380530973</v>
          </cell>
          <cell r="Q1665">
            <v>1.821828</v>
          </cell>
          <cell r="R1665">
            <v>1.7699115044247701E-2</v>
          </cell>
          <cell r="S1665">
            <v>93.486472000000006</v>
          </cell>
          <cell r="T1665">
            <v>1.01121076233183</v>
          </cell>
          <cell r="U1665">
            <v>93.486472000000006</v>
          </cell>
          <cell r="V1665">
            <v>1.01121076233183</v>
          </cell>
        </row>
        <row r="1666">
          <cell r="A1666" t="str">
            <v>114702</v>
          </cell>
          <cell r="B1666">
            <v>734.55555500000003</v>
          </cell>
          <cell r="C1666">
            <v>48.343760000000003</v>
          </cell>
          <cell r="D1666">
            <v>0.486284289276807</v>
          </cell>
          <cell r="E1666">
            <v>48.343760000000003</v>
          </cell>
          <cell r="F1666">
            <v>0.486284289276807</v>
          </cell>
          <cell r="G1666">
            <v>1265.5470190000001</v>
          </cell>
          <cell r="H1666">
            <v>1.56555269922879</v>
          </cell>
          <cell r="I1666">
            <v>56.472059999999999</v>
          </cell>
          <cell r="J1666">
            <v>1.0886889460154201</v>
          </cell>
          <cell r="K1666">
            <v>49.332197000000001</v>
          </cell>
          <cell r="L1666">
            <v>0.25064267352184999</v>
          </cell>
          <cell r="M1666">
            <v>25.028984000000001</v>
          </cell>
          <cell r="N1666">
            <v>0.236503856041131</v>
          </cell>
          <cell r="O1666">
            <v>274.31608499999999</v>
          </cell>
          <cell r="P1666">
            <v>0.51999999999999902</v>
          </cell>
          <cell r="Q1666">
            <v>41.866731000000001</v>
          </cell>
          <cell r="R1666">
            <v>0.45806451612903198</v>
          </cell>
          <cell r="S1666">
            <v>177.61132499999999</v>
          </cell>
          <cell r="T1666">
            <v>1.7558139534883701</v>
          </cell>
          <cell r="U1666">
            <v>169.44155799999999</v>
          </cell>
          <cell r="V1666">
            <v>1.75193798449612</v>
          </cell>
        </row>
        <row r="1667">
          <cell r="A1667" t="str">
            <v>115002</v>
          </cell>
          <cell r="B1667">
            <v>994.25</v>
          </cell>
          <cell r="C1667">
            <v>473.33185200000003</v>
          </cell>
          <cell r="D1667">
            <v>2.0849673202614301</v>
          </cell>
          <cell r="E1667">
            <v>84.998176000000001</v>
          </cell>
          <cell r="F1667">
            <v>2.0098039215686199</v>
          </cell>
          <cell r="G1667">
            <v>20.498094999999999</v>
          </cell>
          <cell r="H1667">
            <v>7.4290484140233704E-2</v>
          </cell>
          <cell r="I1667">
            <v>20.498094999999999</v>
          </cell>
          <cell r="J1667">
            <v>7.4290484140233704E-2</v>
          </cell>
          <cell r="K1667">
            <v>302.87544000000003</v>
          </cell>
          <cell r="L1667">
            <v>1.3111858704793899</v>
          </cell>
          <cell r="M1667">
            <v>291.05550799999997</v>
          </cell>
          <cell r="N1667">
            <v>1.27586206896551</v>
          </cell>
          <cell r="O1667">
            <v>75.742439000000005</v>
          </cell>
          <cell r="P1667">
            <v>0.25788497217068601</v>
          </cell>
          <cell r="Q1667">
            <v>65.338635999999994</v>
          </cell>
          <cell r="R1667">
            <v>0.25231910946196601</v>
          </cell>
          <cell r="S1667">
            <v>108.937725</v>
          </cell>
          <cell r="T1667">
            <v>0.205410821643286</v>
          </cell>
          <cell r="U1667">
            <v>108.937725</v>
          </cell>
          <cell r="V1667">
            <v>0.205410821643286</v>
          </cell>
        </row>
        <row r="1668">
          <cell r="A1668" t="str">
            <v>115004</v>
          </cell>
          <cell r="B1668">
            <v>1305.6666660000001</v>
          </cell>
          <cell r="C1668">
            <v>14.482869000000001</v>
          </cell>
          <cell r="D1668">
            <v>9.3880972338641996E-2</v>
          </cell>
          <cell r="E1668">
            <v>14.482869000000001</v>
          </cell>
          <cell r="F1668">
            <v>9.3880972338641996E-2</v>
          </cell>
          <cell r="G1668">
            <v>148.93080399999999</v>
          </cell>
          <cell r="H1668">
            <v>2.20405101275318</v>
          </cell>
          <cell r="I1668">
            <v>115.34181599999999</v>
          </cell>
          <cell r="J1668">
            <v>2.0787696924231001</v>
          </cell>
          <cell r="K1668">
            <v>60.177092000000002</v>
          </cell>
          <cell r="L1668">
            <v>0.62481203007518704</v>
          </cell>
          <cell r="M1668">
            <v>60.177092000000002</v>
          </cell>
          <cell r="N1668">
            <v>0.62481203007518704</v>
          </cell>
          <cell r="O1668">
            <v>11.303709</v>
          </cell>
          <cell r="P1668">
            <v>6.13171839515518E-2</v>
          </cell>
          <cell r="Q1668">
            <v>11.303709</v>
          </cell>
          <cell r="R1668">
            <v>6.13171839515518E-2</v>
          </cell>
          <cell r="S1668">
            <v>335.09052100000002</v>
          </cell>
          <cell r="T1668">
            <v>1.31948640483383</v>
          </cell>
          <cell r="U1668">
            <v>335.09052100000002</v>
          </cell>
          <cell r="V1668">
            <v>1.31948640483383</v>
          </cell>
        </row>
        <row r="1669">
          <cell r="A1669" t="str">
            <v>115101</v>
          </cell>
          <cell r="B1669">
            <v>1014.75</v>
          </cell>
          <cell r="C1669">
            <v>82.518613999999999</v>
          </cell>
          <cell r="D1669">
            <v>0.32261116367076598</v>
          </cell>
          <cell r="E1669">
            <v>82.518613999999999</v>
          </cell>
          <cell r="F1669">
            <v>0.32261116367076598</v>
          </cell>
          <cell r="G1669">
            <v>160.23594700000001</v>
          </cell>
          <cell r="H1669">
            <v>1.1157024793388399</v>
          </cell>
          <cell r="I1669">
            <v>160.23594700000001</v>
          </cell>
          <cell r="J1669">
            <v>1.1157024793388399</v>
          </cell>
          <cell r="K1669">
            <v>270.493514</v>
          </cell>
          <cell r="L1669">
            <v>2.1625939849623999</v>
          </cell>
          <cell r="M1669">
            <v>131.750595</v>
          </cell>
          <cell r="N1669">
            <v>1.1325187969924799</v>
          </cell>
          <cell r="O1669">
            <v>256.26482499999997</v>
          </cell>
          <cell r="P1669">
            <v>0.29718875502008002</v>
          </cell>
          <cell r="Q1669">
            <v>30.865696</v>
          </cell>
          <cell r="R1669">
            <v>0.17971887550200799</v>
          </cell>
          <cell r="S1669">
            <v>341.62550299999998</v>
          </cell>
          <cell r="T1669">
            <v>0.499999999999999</v>
          </cell>
          <cell r="U1669">
            <v>35.972822000000001</v>
          </cell>
          <cell r="V1669">
            <v>0.22786177105831501</v>
          </cell>
        </row>
        <row r="1670">
          <cell r="A1670" t="str">
            <v>115102</v>
          </cell>
          <cell r="B1670">
            <v>955</v>
          </cell>
          <cell r="C1670">
            <v>47.341227000000003</v>
          </cell>
          <cell r="D1670">
            <v>0.30616509926854701</v>
          </cell>
          <cell r="E1670">
            <v>47.341227000000003</v>
          </cell>
          <cell r="F1670">
            <v>0.30616509926854701</v>
          </cell>
          <cell r="G1670">
            <v>119.37912799999999</v>
          </cell>
          <cell r="H1670">
            <v>1.51727748691099</v>
          </cell>
          <cell r="I1670">
            <v>119.37912799999999</v>
          </cell>
          <cell r="J1670">
            <v>1.51727748691099</v>
          </cell>
          <cell r="K1670">
            <v>203.833943</v>
          </cell>
          <cell r="L1670">
            <v>1.4397905759162299</v>
          </cell>
          <cell r="M1670">
            <v>155.70247800000001</v>
          </cell>
          <cell r="N1670">
            <v>1.2649214659685799</v>
          </cell>
          <cell r="O1670">
            <v>1221.353333</v>
          </cell>
          <cell r="P1670">
            <v>0.48042328042327997</v>
          </cell>
          <cell r="Q1670">
            <v>7.6310580000000003</v>
          </cell>
          <cell r="R1670">
            <v>9.41798941798941E-2</v>
          </cell>
          <cell r="S1670">
            <v>279.07971900000001</v>
          </cell>
          <cell r="T1670">
            <v>0.322614107883817</v>
          </cell>
          <cell r="U1670">
            <v>35.945712</v>
          </cell>
          <cell r="V1670">
            <v>0.105809128630705</v>
          </cell>
        </row>
        <row r="1671">
          <cell r="A1671" t="str">
            <v>115301</v>
          </cell>
          <cell r="B1671">
            <v>1006.4</v>
          </cell>
          <cell r="C1671">
            <v>308.20961699999998</v>
          </cell>
          <cell r="D1671">
            <v>2.0506993006993</v>
          </cell>
          <cell r="E1671">
            <v>262.18868300000003</v>
          </cell>
          <cell r="F1671">
            <v>1.9458041958041901</v>
          </cell>
          <cell r="G1671">
            <v>897.88627299999996</v>
          </cell>
          <cell r="H1671">
            <v>1.11889973380656</v>
          </cell>
          <cell r="I1671">
            <v>250.87872899999999</v>
          </cell>
          <cell r="J1671">
            <v>0.77196095829636202</v>
          </cell>
          <cell r="K1671">
            <v>1585.6007709999999</v>
          </cell>
          <cell r="L1671">
            <v>5.7780748663101598</v>
          </cell>
          <cell r="M1671">
            <v>462.24524600000001</v>
          </cell>
          <cell r="N1671">
            <v>2.9839572192513302</v>
          </cell>
          <cell r="O1671">
            <v>1895.991008</v>
          </cell>
          <cell r="P1671">
            <v>2.0591397849462298</v>
          </cell>
          <cell r="Q1671">
            <v>1825.051164</v>
          </cell>
          <cell r="R1671">
            <v>1.4587813620071599</v>
          </cell>
          <cell r="S1671">
            <v>1058.924139</v>
          </cell>
          <cell r="T1671">
            <v>1.74520547945205</v>
          </cell>
          <cell r="U1671">
            <v>233.01951199999999</v>
          </cell>
          <cell r="V1671">
            <v>1.1022831050228299</v>
          </cell>
        </row>
        <row r="1672">
          <cell r="A1672" t="str">
            <v>115302</v>
          </cell>
          <cell r="B1672">
            <v>441</v>
          </cell>
          <cell r="C1672">
            <v>1200.0402389999999</v>
          </cell>
          <cell r="D1672">
            <v>2.7359813084112101</v>
          </cell>
          <cell r="E1672">
            <v>382.79397</v>
          </cell>
          <cell r="F1672">
            <v>2.1658878504672798</v>
          </cell>
          <cell r="G1672">
            <v>2126.2929049999998</v>
          </cell>
          <cell r="H1672">
            <v>2.4618834080717402</v>
          </cell>
          <cell r="I1672">
            <v>420.054327</v>
          </cell>
          <cell r="J1672">
            <v>1.6636771300448401</v>
          </cell>
          <cell r="K1672">
            <v>488.465283</v>
          </cell>
          <cell r="L1672">
            <v>1.5605381165919201</v>
          </cell>
          <cell r="M1672">
            <v>217.121487</v>
          </cell>
          <cell r="N1672">
            <v>0.70627802690582897</v>
          </cell>
          <cell r="O1672">
            <v>2287.083408</v>
          </cell>
          <cell r="P1672">
            <v>4.0723981900452397</v>
          </cell>
          <cell r="Q1672">
            <v>2277.0647429999999</v>
          </cell>
          <cell r="R1672">
            <v>4.0339366515837103</v>
          </cell>
          <cell r="S1672">
            <v>1323.8942420000001</v>
          </cell>
          <cell r="T1672">
            <v>2.9255079006772</v>
          </cell>
          <cell r="U1672">
            <v>219.50270800000001</v>
          </cell>
          <cell r="V1672">
            <v>1.4808126410835201</v>
          </cell>
        </row>
        <row r="1673">
          <cell r="A1673" t="str">
            <v>115501</v>
          </cell>
          <cell r="B1673">
            <v>1191.777777</v>
          </cell>
          <cell r="C1673">
            <v>267.65078299999999</v>
          </cell>
          <cell r="D1673">
            <v>1.4031830238726699</v>
          </cell>
          <cell r="E1673">
            <v>267.65078299999999</v>
          </cell>
          <cell r="F1673">
            <v>1.4031830238726699</v>
          </cell>
          <cell r="G1673">
            <v>1181.5958519999999</v>
          </cell>
          <cell r="H1673">
            <v>3.4218487394957902</v>
          </cell>
          <cell r="I1673">
            <v>1061.655305</v>
          </cell>
          <cell r="J1673">
            <v>3.22521008403361</v>
          </cell>
          <cell r="K1673">
            <v>596.65376900000001</v>
          </cell>
          <cell r="L1673">
            <v>2.0116189000774498</v>
          </cell>
          <cell r="M1673">
            <v>278.09922499999999</v>
          </cell>
          <cell r="N1673">
            <v>1.7714949651432901</v>
          </cell>
          <cell r="O1673">
            <v>1767.2539859999999</v>
          </cell>
          <cell r="P1673">
            <v>3.9850980392156798</v>
          </cell>
          <cell r="Q1673">
            <v>530.57172500000001</v>
          </cell>
          <cell r="R1673">
            <v>2.8705882352941101</v>
          </cell>
          <cell r="S1673">
            <v>400.22329200000001</v>
          </cell>
          <cell r="T1673">
            <v>1.2878048780487801</v>
          </cell>
          <cell r="U1673">
            <v>267.73571800000002</v>
          </cell>
          <cell r="V1673">
            <v>1.1406504065040599</v>
          </cell>
        </row>
        <row r="1674">
          <cell r="A1674" t="str">
            <v>115502</v>
          </cell>
          <cell r="B1674">
            <v>822.33333300000004</v>
          </cell>
          <cell r="C1674">
            <v>491.681331</v>
          </cell>
          <cell r="D1674">
            <v>2.5889145496535702</v>
          </cell>
          <cell r="E1674">
            <v>491.681331</v>
          </cell>
          <cell r="F1674">
            <v>2.5889145496535702</v>
          </cell>
          <cell r="G1674">
            <v>1106.8850339999999</v>
          </cell>
          <cell r="H1674">
            <v>2.7853828306264501</v>
          </cell>
          <cell r="I1674">
            <v>872.57767799999999</v>
          </cell>
          <cell r="J1674">
            <v>2.6380510440835199</v>
          </cell>
          <cell r="K1674">
            <v>6971.5495940000001</v>
          </cell>
          <cell r="L1674">
            <v>13.2914979757085</v>
          </cell>
          <cell r="M1674">
            <v>2231.1213670000002</v>
          </cell>
          <cell r="N1674">
            <v>10.742240215924401</v>
          </cell>
          <cell r="O1674">
            <v>1889.6385969999999</v>
          </cell>
          <cell r="P1674">
            <v>6.0262068965517201</v>
          </cell>
          <cell r="Q1674">
            <v>1023.267264</v>
          </cell>
          <cell r="R1674">
            <v>4.8082758620689603</v>
          </cell>
          <cell r="S1674">
            <v>739.43390899999997</v>
          </cell>
          <cell r="T1674">
            <v>4.2710926694329103</v>
          </cell>
          <cell r="U1674">
            <v>690.77134599999999</v>
          </cell>
          <cell r="V1674">
            <v>4.1037344398340201</v>
          </cell>
        </row>
        <row r="1675">
          <cell r="A1675" t="str">
            <v>115601</v>
          </cell>
          <cell r="B1675">
            <v>1</v>
          </cell>
          <cell r="C1675">
            <v>341</v>
          </cell>
          <cell r="D1675">
            <v>1</v>
          </cell>
          <cell r="E1675">
            <v>341</v>
          </cell>
          <cell r="F1675">
            <v>1</v>
          </cell>
          <cell r="G1675">
            <v>0</v>
          </cell>
          <cell r="H1675">
            <v>0</v>
          </cell>
          <cell r="I1675">
            <v>0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  <cell r="Q1675">
            <v>0</v>
          </cell>
          <cell r="R1675">
            <v>0</v>
          </cell>
          <cell r="S1675">
            <v>0</v>
          </cell>
          <cell r="T1675">
            <v>0</v>
          </cell>
          <cell r="U1675">
            <v>0</v>
          </cell>
          <cell r="V1675">
            <v>0</v>
          </cell>
        </row>
        <row r="1676">
          <cell r="A1676" t="str">
            <v>115701</v>
          </cell>
          <cell r="B1676">
            <v>1505.4</v>
          </cell>
          <cell r="C1676">
            <v>90.948642000000007</v>
          </cell>
          <cell r="D1676">
            <v>8.1329561527581307E-2</v>
          </cell>
          <cell r="E1676">
            <v>4.2369149999999998</v>
          </cell>
          <cell r="F1676">
            <v>4.4554455445544497E-2</v>
          </cell>
          <cell r="G1676">
            <v>22.628285999999999</v>
          </cell>
          <cell r="H1676">
            <v>0.11064129668780801</v>
          </cell>
          <cell r="I1676">
            <v>21.498286</v>
          </cell>
          <cell r="J1676">
            <v>9.4432699083861801E-2</v>
          </cell>
          <cell r="K1676">
            <v>56.264809</v>
          </cell>
          <cell r="L1676">
            <v>0.23388581952117801</v>
          </cell>
          <cell r="M1676">
            <v>33.932411999999999</v>
          </cell>
          <cell r="N1676">
            <v>0.198895027624309</v>
          </cell>
          <cell r="O1676">
            <v>32.318635</v>
          </cell>
          <cell r="P1676">
            <v>0.20042949176807401</v>
          </cell>
          <cell r="Q1676">
            <v>32.231329000000002</v>
          </cell>
          <cell r="R1676">
            <v>0.19971367215461699</v>
          </cell>
          <cell r="S1676">
            <v>54.476419</v>
          </cell>
          <cell r="T1676">
            <v>0.48756218905472598</v>
          </cell>
          <cell r="U1676">
            <v>52.265926999999998</v>
          </cell>
          <cell r="V1676">
            <v>0.48213478064224302</v>
          </cell>
        </row>
        <row r="1677">
          <cell r="A1677" t="str">
            <v>115702</v>
          </cell>
          <cell r="B1677">
            <v>505.88888800000001</v>
          </cell>
          <cell r="C1677">
            <v>327.28177399999998</v>
          </cell>
          <cell r="D1677">
            <v>1.61576354679802</v>
          </cell>
          <cell r="E1677">
            <v>287.96445</v>
          </cell>
          <cell r="F1677">
            <v>1.59605911330049</v>
          </cell>
          <cell r="G1677">
            <v>64.297211000000004</v>
          </cell>
          <cell r="H1677">
            <v>0.224455611390284</v>
          </cell>
          <cell r="I1677">
            <v>64.297211000000004</v>
          </cell>
          <cell r="J1677">
            <v>0.224455611390284</v>
          </cell>
          <cell r="K1677">
            <v>85.335069000000004</v>
          </cell>
          <cell r="L1677">
            <v>0.184873949579831</v>
          </cell>
          <cell r="M1677">
            <v>15.856862</v>
          </cell>
          <cell r="N1677">
            <v>0.14453781512604999</v>
          </cell>
          <cell r="O1677">
            <v>58.446694000000001</v>
          </cell>
          <cell r="P1677">
            <v>0.215254237288135</v>
          </cell>
          <cell r="Q1677">
            <v>55.505648999999998</v>
          </cell>
          <cell r="R1677">
            <v>0.21355932203389799</v>
          </cell>
          <cell r="S1677">
            <v>203.007654</v>
          </cell>
          <cell r="T1677">
            <v>0.408474576271186</v>
          </cell>
          <cell r="U1677">
            <v>86.587823999999998</v>
          </cell>
          <cell r="V1677">
            <v>0.215254237288135</v>
          </cell>
        </row>
        <row r="1678">
          <cell r="A1678" t="str">
            <v>115703</v>
          </cell>
          <cell r="B1678">
            <v>380.66666600000002</v>
          </cell>
          <cell r="C1678">
            <v>3.2119909999999998</v>
          </cell>
          <cell r="D1678">
            <v>3.4682080924855398E-2</v>
          </cell>
          <cell r="E1678">
            <v>3.2119909999999998</v>
          </cell>
          <cell r="F1678">
            <v>3.4682080924855398E-2</v>
          </cell>
          <cell r="G1678">
            <v>4.0826969999999996</v>
          </cell>
          <cell r="H1678">
            <v>1.4534883720930199E-2</v>
          </cell>
          <cell r="I1678">
            <v>2.364039</v>
          </cell>
          <cell r="J1678">
            <v>1.1627906976744099E-2</v>
          </cell>
          <cell r="K1678">
            <v>8.3670539999999995</v>
          </cell>
          <cell r="L1678">
            <v>9.3023255813953404E-2</v>
          </cell>
          <cell r="M1678">
            <v>8.3670539999999995</v>
          </cell>
          <cell r="N1678">
            <v>9.3023255813953404E-2</v>
          </cell>
          <cell r="O1678">
            <v>140.88382899999999</v>
          </cell>
          <cell r="P1678">
            <v>1.03571428571428</v>
          </cell>
          <cell r="Q1678">
            <v>140.88382899999999</v>
          </cell>
          <cell r="R1678">
            <v>1.03571428571428</v>
          </cell>
          <cell r="S1678">
            <v>6.2319290000000001</v>
          </cell>
          <cell r="T1678">
            <v>8.2456140350877102E-2</v>
          </cell>
          <cell r="U1678">
            <v>6.2319290000000001</v>
          </cell>
          <cell r="V1678">
            <v>8.2456140350877102E-2</v>
          </cell>
        </row>
        <row r="1679">
          <cell r="A1679" t="str">
            <v>115901</v>
          </cell>
          <cell r="B1679">
            <v>1810.875</v>
          </cell>
          <cell r="C1679">
            <v>729.88451699999996</v>
          </cell>
          <cell r="D1679">
            <v>0.93798052280881505</v>
          </cell>
          <cell r="E1679">
            <v>18.335521</v>
          </cell>
          <cell r="F1679">
            <v>5.0743208610968697E-2</v>
          </cell>
          <cell r="G1679">
            <v>13.248189999999999</v>
          </cell>
          <cell r="H1679">
            <v>0.10136452241715301</v>
          </cell>
          <cell r="I1679">
            <v>12.38926</v>
          </cell>
          <cell r="J1679">
            <v>0.100714749837556</v>
          </cell>
          <cell r="K1679">
            <v>142.37143399999999</v>
          </cell>
          <cell r="L1679">
            <v>0.31631057842626298</v>
          </cell>
          <cell r="M1679">
            <v>136.86499900000001</v>
          </cell>
          <cell r="N1679">
            <v>0.30745179781136001</v>
          </cell>
          <cell r="O1679">
            <v>267.367684</v>
          </cell>
          <cell r="P1679">
            <v>0.77122153209109701</v>
          </cell>
          <cell r="Q1679">
            <v>267.367684</v>
          </cell>
          <cell r="R1679">
            <v>0.77122153209109701</v>
          </cell>
          <cell r="S1679">
            <v>274.57879400000002</v>
          </cell>
          <cell r="T1679">
            <v>0.54058721934369602</v>
          </cell>
          <cell r="U1679">
            <v>274.57879400000002</v>
          </cell>
          <cell r="V1679">
            <v>0.54058721934369602</v>
          </cell>
        </row>
        <row r="1680">
          <cell r="A1680" t="str">
            <v>115902</v>
          </cell>
          <cell r="B1680">
            <v>981.6</v>
          </cell>
          <cell r="C1680">
            <v>388.61618900000002</v>
          </cell>
          <cell r="D1680">
            <v>2.21766561514195</v>
          </cell>
          <cell r="E1680">
            <v>322.52865400000002</v>
          </cell>
          <cell r="F1680">
            <v>2.19453207150368</v>
          </cell>
          <cell r="G1680">
            <v>178.002791</v>
          </cell>
          <cell r="H1680">
            <v>0.32526315789473598</v>
          </cell>
          <cell r="I1680">
            <v>112.89332400000001</v>
          </cell>
          <cell r="J1680">
            <v>0.27578947368420997</v>
          </cell>
          <cell r="K1680">
            <v>220.110029</v>
          </cell>
          <cell r="L1680">
            <v>0.72983870967741904</v>
          </cell>
          <cell r="M1680">
            <v>68.167876000000007</v>
          </cell>
          <cell r="N1680">
            <v>0.32661290322580599</v>
          </cell>
          <cell r="O1680">
            <v>68.234649000000005</v>
          </cell>
          <cell r="P1680">
            <v>0.21463414634146299</v>
          </cell>
          <cell r="Q1680">
            <v>57.966357000000002</v>
          </cell>
          <cell r="R1680">
            <v>0.19512195121951201</v>
          </cell>
          <cell r="S1680">
            <v>71.103853999999998</v>
          </cell>
          <cell r="T1680">
            <v>0.30202020202020202</v>
          </cell>
          <cell r="U1680">
            <v>27.511683000000001</v>
          </cell>
          <cell r="V1680">
            <v>0.175757575757575</v>
          </cell>
        </row>
        <row r="1681">
          <cell r="A1681" t="str">
            <v>115903</v>
          </cell>
          <cell r="B1681">
            <v>1913.8</v>
          </cell>
          <cell r="C1681">
            <v>73.632633999999996</v>
          </cell>
          <cell r="D1681">
            <v>0.28301886792452802</v>
          </cell>
          <cell r="E1681">
            <v>70.586792000000003</v>
          </cell>
          <cell r="F1681">
            <v>0.27568134171907699</v>
          </cell>
          <cell r="G1681">
            <v>84.796969000000004</v>
          </cell>
          <cell r="H1681">
            <v>0.237402597402597</v>
          </cell>
          <cell r="I1681">
            <v>27.375238</v>
          </cell>
          <cell r="J1681">
            <v>0.17714285714285699</v>
          </cell>
          <cell r="K1681">
            <v>125.346813</v>
          </cell>
          <cell r="L1681">
            <v>0.41822916666666599</v>
          </cell>
          <cell r="M1681">
            <v>66.081648999999999</v>
          </cell>
          <cell r="N1681">
            <v>0.36354166666666599</v>
          </cell>
          <cell r="O1681">
            <v>227.852925</v>
          </cell>
          <cell r="P1681">
            <v>0.49684542586750702</v>
          </cell>
          <cell r="Q1681">
            <v>133.55388099999999</v>
          </cell>
          <cell r="R1681">
            <v>0.41377497371188199</v>
          </cell>
          <cell r="S1681">
            <v>38.539836999999999</v>
          </cell>
          <cell r="T1681">
            <v>0.21525600835945599</v>
          </cell>
          <cell r="U1681">
            <v>35.918120000000002</v>
          </cell>
          <cell r="V1681">
            <v>0.205329153605015</v>
          </cell>
        </row>
        <row r="1682">
          <cell r="A1682" t="str">
            <v>115904</v>
          </cell>
          <cell r="B1682">
            <v>48.25</v>
          </cell>
          <cell r="C1682">
            <v>0</v>
          </cell>
          <cell r="D1682">
            <v>0</v>
          </cell>
          <cell r="E1682">
            <v>0</v>
          </cell>
          <cell r="F1682">
            <v>0</v>
          </cell>
          <cell r="G1682">
            <v>53.860880000000002</v>
          </cell>
          <cell r="H1682">
            <v>0.19148936170212699</v>
          </cell>
          <cell r="I1682">
            <v>0</v>
          </cell>
          <cell r="J1682">
            <v>0</v>
          </cell>
          <cell r="K1682">
            <v>52.584443999999998</v>
          </cell>
          <cell r="L1682">
            <v>0.97777777777777697</v>
          </cell>
          <cell r="M1682">
            <v>52.584443999999998</v>
          </cell>
          <cell r="N1682">
            <v>0.97777777777777697</v>
          </cell>
          <cell r="O1682">
            <v>209.23742100000001</v>
          </cell>
          <cell r="P1682">
            <v>1.5471698113207499</v>
          </cell>
          <cell r="Q1682">
            <v>209.23742100000001</v>
          </cell>
          <cell r="R1682">
            <v>1.5471698113207499</v>
          </cell>
          <cell r="S1682">
            <v>1.2451380000000001</v>
          </cell>
          <cell r="T1682">
            <v>2.0833333333333301E-2</v>
          </cell>
          <cell r="U1682">
            <v>1.2451380000000001</v>
          </cell>
          <cell r="V1682">
            <v>2.0833333333333301E-2</v>
          </cell>
        </row>
        <row r="1683">
          <cell r="A1683" t="str">
            <v>116501</v>
          </cell>
          <cell r="B1683">
            <v>841.6</v>
          </cell>
          <cell r="C1683">
            <v>2173.2157769999999</v>
          </cell>
          <cell r="D1683">
            <v>3.00941176470588</v>
          </cell>
          <cell r="E1683">
            <v>222.34659400000001</v>
          </cell>
          <cell r="F1683">
            <v>1.6423529411764699</v>
          </cell>
          <cell r="G1683">
            <v>1038.81501</v>
          </cell>
          <cell r="H1683">
            <v>2.0791962174940801</v>
          </cell>
          <cell r="I1683">
            <v>151.00007400000001</v>
          </cell>
          <cell r="J1683">
            <v>0.67021276595744605</v>
          </cell>
          <cell r="K1683">
            <v>1138.9658750000001</v>
          </cell>
          <cell r="L1683">
            <v>2.5160142348754402</v>
          </cell>
          <cell r="M1683">
            <v>373.98291799999998</v>
          </cell>
          <cell r="N1683">
            <v>2.1281138790035499</v>
          </cell>
          <cell r="O1683">
            <v>727.67797499999995</v>
          </cell>
          <cell r="P1683">
            <v>1.4826762246117</v>
          </cell>
          <cell r="Q1683">
            <v>124.527737</v>
          </cell>
          <cell r="R1683">
            <v>0.82676224611708404</v>
          </cell>
          <cell r="S1683">
            <v>809.43187</v>
          </cell>
          <cell r="T1683">
            <v>1.8653846153846101</v>
          </cell>
          <cell r="U1683">
            <v>163.78725900000001</v>
          </cell>
          <cell r="V1683">
            <v>1.2872596153846101</v>
          </cell>
        </row>
        <row r="1684">
          <cell r="A1684" t="str">
            <v>116502</v>
          </cell>
          <cell r="B1684">
            <v>162.19999999999999</v>
          </cell>
          <cell r="C1684">
            <v>140.60583299999999</v>
          </cell>
          <cell r="D1684">
            <v>0.53801169590643205</v>
          </cell>
          <cell r="E1684">
            <v>125.39681899999999</v>
          </cell>
          <cell r="F1684">
            <v>0.45029239766081802</v>
          </cell>
          <cell r="G1684">
            <v>1948.9216329999999</v>
          </cell>
          <cell r="H1684">
            <v>1.5714285714285701</v>
          </cell>
          <cell r="I1684">
            <v>350.56252499999999</v>
          </cell>
          <cell r="J1684">
            <v>0.97619047619047605</v>
          </cell>
          <cell r="K1684">
            <v>1610.7994000000001</v>
          </cell>
          <cell r="L1684">
            <v>2.2994011976047899</v>
          </cell>
          <cell r="M1684">
            <v>973.61736499999995</v>
          </cell>
          <cell r="N1684">
            <v>2.20359281437125</v>
          </cell>
          <cell r="O1684">
            <v>109.72983499999999</v>
          </cell>
          <cell r="P1684">
            <v>0.35802469135802401</v>
          </cell>
          <cell r="Q1684">
            <v>81.252469000000005</v>
          </cell>
          <cell r="R1684">
            <v>0.34567901234567899</v>
          </cell>
          <cell r="S1684">
            <v>33.759788999999998</v>
          </cell>
          <cell r="T1684">
            <v>0.17482517482517401</v>
          </cell>
          <cell r="U1684">
            <v>11.981934000000001</v>
          </cell>
          <cell r="V1684">
            <v>0.16783216783216701</v>
          </cell>
        </row>
        <row r="1685">
          <cell r="A1685" t="str">
            <v>116701</v>
          </cell>
          <cell r="B1685">
            <v>1</v>
          </cell>
          <cell r="C1685">
            <v>0</v>
          </cell>
          <cell r="D1685">
            <v>0</v>
          </cell>
          <cell r="E1685">
            <v>0</v>
          </cell>
          <cell r="F1685">
            <v>0</v>
          </cell>
          <cell r="G1685">
            <v>0</v>
          </cell>
          <cell r="H1685">
            <v>0</v>
          </cell>
          <cell r="I1685">
            <v>0</v>
          </cell>
          <cell r="J1685">
            <v>0</v>
          </cell>
          <cell r="K1685">
            <v>883.98333300000002</v>
          </cell>
          <cell r="L1685">
            <v>1</v>
          </cell>
          <cell r="M1685">
            <v>883.98333300000002</v>
          </cell>
          <cell r="N1685">
            <v>1</v>
          </cell>
          <cell r="O1685">
            <v>0</v>
          </cell>
          <cell r="P1685">
            <v>0</v>
          </cell>
          <cell r="Q1685">
            <v>0</v>
          </cell>
          <cell r="R1685">
            <v>0</v>
          </cell>
          <cell r="S1685">
            <v>56</v>
          </cell>
          <cell r="T1685">
            <v>1</v>
          </cell>
          <cell r="U1685">
            <v>56</v>
          </cell>
          <cell r="V1685">
            <v>1</v>
          </cell>
        </row>
        <row r="1686">
          <cell r="A1686" t="str">
            <v>116801</v>
          </cell>
          <cell r="B1686">
            <v>368.2</v>
          </cell>
          <cell r="C1686">
            <v>3086.0674519999998</v>
          </cell>
          <cell r="D1686">
            <v>1.9854368932038799</v>
          </cell>
          <cell r="E1686">
            <v>78.850085000000007</v>
          </cell>
          <cell r="F1686">
            <v>0.39805825242718401</v>
          </cell>
          <cell r="G1686">
            <v>466.48809</v>
          </cell>
          <cell r="H1686">
            <v>0.79024390243902398</v>
          </cell>
          <cell r="I1686">
            <v>62.117024000000001</v>
          </cell>
          <cell r="J1686">
            <v>0.56097560975609695</v>
          </cell>
          <cell r="K1686">
            <v>2038.7600150000001</v>
          </cell>
          <cell r="L1686">
            <v>3.2700729927007202</v>
          </cell>
          <cell r="M1686">
            <v>517.38799600000004</v>
          </cell>
          <cell r="N1686">
            <v>2.1435523114355202</v>
          </cell>
          <cell r="O1686">
            <v>2501.12745</v>
          </cell>
          <cell r="P1686">
            <v>2.7426470588235201</v>
          </cell>
          <cell r="Q1686">
            <v>223.54023599999999</v>
          </cell>
          <cell r="R1686">
            <v>1.1004901960784299</v>
          </cell>
          <cell r="S1686">
            <v>297.37815999999998</v>
          </cell>
          <cell r="T1686">
            <v>0.999999999999999</v>
          </cell>
          <cell r="U1686">
            <v>148.09252799999999</v>
          </cell>
          <cell r="V1686">
            <v>0.85467980295566504</v>
          </cell>
        </row>
        <row r="1687">
          <cell r="A1687" t="str">
            <v>116802</v>
          </cell>
          <cell r="B1687">
            <v>1</v>
          </cell>
          <cell r="C1687">
            <v>0</v>
          </cell>
          <cell r="D1687">
            <v>0</v>
          </cell>
          <cell r="E1687">
            <v>0</v>
          </cell>
          <cell r="F1687">
            <v>0</v>
          </cell>
          <cell r="G1687">
            <v>0</v>
          </cell>
          <cell r="H1687">
            <v>0</v>
          </cell>
          <cell r="I1687">
            <v>0</v>
          </cell>
          <cell r="J1687">
            <v>0</v>
          </cell>
          <cell r="K1687">
            <v>0</v>
          </cell>
          <cell r="L1687">
            <v>0</v>
          </cell>
          <cell r="M1687">
            <v>0</v>
          </cell>
          <cell r="N1687">
            <v>0</v>
          </cell>
          <cell r="O1687">
            <v>564.73333300000002</v>
          </cell>
          <cell r="P1687">
            <v>1</v>
          </cell>
          <cell r="Q1687">
            <v>0</v>
          </cell>
          <cell r="R1687">
            <v>0</v>
          </cell>
          <cell r="S1687">
            <v>0</v>
          </cell>
          <cell r="T1687">
            <v>0</v>
          </cell>
          <cell r="U1687">
            <v>0</v>
          </cell>
          <cell r="V1687">
            <v>0</v>
          </cell>
        </row>
        <row r="1688">
          <cell r="A1688" t="str">
            <v>117401</v>
          </cell>
          <cell r="B1688">
            <v>1</v>
          </cell>
          <cell r="C1688">
            <v>0</v>
          </cell>
          <cell r="D1688">
            <v>0</v>
          </cell>
          <cell r="E1688">
            <v>0</v>
          </cell>
          <cell r="F1688">
            <v>0</v>
          </cell>
          <cell r="G1688">
            <v>0</v>
          </cell>
          <cell r="H1688">
            <v>0</v>
          </cell>
          <cell r="I1688">
            <v>0</v>
          </cell>
          <cell r="J1688">
            <v>0</v>
          </cell>
          <cell r="K1688">
            <v>0</v>
          </cell>
          <cell r="L1688">
            <v>0</v>
          </cell>
          <cell r="M1688">
            <v>0</v>
          </cell>
          <cell r="N1688">
            <v>0</v>
          </cell>
          <cell r="O1688">
            <v>174</v>
          </cell>
          <cell r="P1688">
            <v>1</v>
          </cell>
          <cell r="Q1688">
            <v>0</v>
          </cell>
          <cell r="R1688">
            <v>0</v>
          </cell>
          <cell r="S1688">
            <v>0</v>
          </cell>
          <cell r="T1688">
            <v>0</v>
          </cell>
          <cell r="U1688">
            <v>0</v>
          </cell>
          <cell r="V1688">
            <v>0</v>
          </cell>
        </row>
        <row r="1689">
          <cell r="A1689" t="str">
            <v>117701</v>
          </cell>
          <cell r="B1689">
            <v>1</v>
          </cell>
          <cell r="C1689">
            <v>1061</v>
          </cell>
          <cell r="D1689">
            <v>2</v>
          </cell>
          <cell r="E1689">
            <v>1061</v>
          </cell>
          <cell r="F1689">
            <v>2</v>
          </cell>
          <cell r="G1689">
            <v>0</v>
          </cell>
          <cell r="H1689">
            <v>0</v>
          </cell>
          <cell r="I1689">
            <v>0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0</v>
          </cell>
        </row>
        <row r="1690">
          <cell r="A1690" t="str">
            <v>117901</v>
          </cell>
          <cell r="B1690">
            <v>1382.142857</v>
          </cell>
          <cell r="C1690">
            <v>1.0232049999999999</v>
          </cell>
          <cell r="D1690">
            <v>1.4503263234227699E-3</v>
          </cell>
          <cell r="E1690">
            <v>1.0232049999999999</v>
          </cell>
          <cell r="F1690">
            <v>1.4503263234227699E-3</v>
          </cell>
          <cell r="G1690">
            <v>136.41887800000001</v>
          </cell>
          <cell r="H1690">
            <v>0.21227436823104601</v>
          </cell>
          <cell r="I1690">
            <v>136.41887800000001</v>
          </cell>
          <cell r="J1690">
            <v>0.21227436823104601</v>
          </cell>
          <cell r="K1690">
            <v>126.689221</v>
          </cell>
          <cell r="L1690">
            <v>0.665462427745664</v>
          </cell>
          <cell r="M1690">
            <v>97.888029000000003</v>
          </cell>
          <cell r="N1690">
            <v>0.65245664739884301</v>
          </cell>
          <cell r="O1690">
            <v>243.14515800000001</v>
          </cell>
          <cell r="P1690">
            <v>3.4819364161849702</v>
          </cell>
          <cell r="Q1690">
            <v>243.117401</v>
          </cell>
          <cell r="R1690">
            <v>3.4812138728323601</v>
          </cell>
          <cell r="S1690">
            <v>397.20319899999998</v>
          </cell>
          <cell r="T1690">
            <v>1.64</v>
          </cell>
          <cell r="U1690">
            <v>397.20319899999998</v>
          </cell>
          <cell r="V1690">
            <v>1.64</v>
          </cell>
        </row>
        <row r="1691">
          <cell r="A1691" t="str">
            <v>117902</v>
          </cell>
          <cell r="B1691">
            <v>1452.375</v>
          </cell>
          <cell r="C1691">
            <v>299.597084</v>
          </cell>
          <cell r="D1691">
            <v>0.60312657589510799</v>
          </cell>
          <cell r="E1691">
            <v>106.17213</v>
          </cell>
          <cell r="F1691">
            <v>0.47806354009077101</v>
          </cell>
          <cell r="G1691">
            <v>296.94212199999998</v>
          </cell>
          <cell r="H1691">
            <v>1.5615577889447201</v>
          </cell>
          <cell r="I1691">
            <v>296.94212199999998</v>
          </cell>
          <cell r="J1691">
            <v>1.5615577889447201</v>
          </cell>
          <cell r="K1691">
            <v>1603.6162019999999</v>
          </cell>
          <cell r="L1691">
            <v>4.0949263502454896</v>
          </cell>
          <cell r="M1691">
            <v>1599.103818</v>
          </cell>
          <cell r="N1691">
            <v>4.0900163666121099</v>
          </cell>
          <cell r="O1691">
            <v>72.648776999999995</v>
          </cell>
          <cell r="P1691">
            <v>2.5137474541751499</v>
          </cell>
          <cell r="Q1691">
            <v>71.900169000000005</v>
          </cell>
          <cell r="R1691">
            <v>2.5132382892057001</v>
          </cell>
          <cell r="S1691">
            <v>26.856892999999999</v>
          </cell>
          <cell r="T1691">
            <v>8.0257762155828902E-2</v>
          </cell>
          <cell r="U1691">
            <v>26.856892999999999</v>
          </cell>
          <cell r="V1691">
            <v>8.0257762155828902E-2</v>
          </cell>
        </row>
        <row r="1692">
          <cell r="A1692" t="str">
            <v>117903</v>
          </cell>
          <cell r="B1692">
            <v>1101.777777</v>
          </cell>
          <cell r="C1692">
            <v>251.50980000000001</v>
          </cell>
          <cell r="D1692">
            <v>0.29066265060240898</v>
          </cell>
          <cell r="E1692">
            <v>64.221312999999995</v>
          </cell>
          <cell r="F1692">
            <v>0.13855421686746899</v>
          </cell>
          <cell r="G1692">
            <v>1371.2297679999999</v>
          </cell>
          <cell r="H1692">
            <v>2.8153846153846098</v>
          </cell>
          <cell r="I1692">
            <v>109.150955</v>
          </cell>
          <cell r="J1692">
            <v>0.234615384615384</v>
          </cell>
          <cell r="K1692">
            <v>705.711862</v>
          </cell>
          <cell r="L1692">
            <v>5.00255102040816</v>
          </cell>
          <cell r="M1692">
            <v>705.711862</v>
          </cell>
          <cell r="N1692">
            <v>5.00255102040816</v>
          </cell>
          <cell r="O1692">
            <v>24.877817</v>
          </cell>
          <cell r="P1692">
            <v>1.1320604614160701</v>
          </cell>
          <cell r="Q1692">
            <v>19.374117999999999</v>
          </cell>
          <cell r="R1692">
            <v>1.1217183770882999</v>
          </cell>
          <cell r="S1692">
            <v>44.927196000000002</v>
          </cell>
          <cell r="T1692">
            <v>0.75980687990343898</v>
          </cell>
          <cell r="U1692">
            <v>44.754807</v>
          </cell>
          <cell r="V1692">
            <v>0.758599879299939</v>
          </cell>
        </row>
        <row r="1693">
          <cell r="A1693" t="str">
            <v>117904</v>
          </cell>
          <cell r="B1693">
            <v>920.125</v>
          </cell>
          <cell r="C1693">
            <v>21.718796000000001</v>
          </cell>
          <cell r="D1693">
            <v>0.166322314049586</v>
          </cell>
          <cell r="E1693">
            <v>20.514866000000001</v>
          </cell>
          <cell r="F1693">
            <v>0.164256198347107</v>
          </cell>
          <cell r="G1693">
            <v>3.0767769999999999</v>
          </cell>
          <cell r="H1693">
            <v>6.2695924764890202E-3</v>
          </cell>
          <cell r="I1693">
            <v>3.0767769999999999</v>
          </cell>
          <cell r="J1693">
            <v>6.2695924764890202E-3</v>
          </cell>
          <cell r="K1693">
            <v>165.01010500000001</v>
          </cell>
          <cell r="L1693">
            <v>0.28253968253968198</v>
          </cell>
          <cell r="M1693">
            <v>162.01298</v>
          </cell>
          <cell r="N1693">
            <v>0.26878306878306801</v>
          </cell>
          <cell r="O1693">
            <v>49.852384999999998</v>
          </cell>
          <cell r="P1693">
            <v>1.0629067245119299</v>
          </cell>
          <cell r="Q1693">
            <v>47.559815</v>
          </cell>
          <cell r="R1693">
            <v>1.05965292841648</v>
          </cell>
          <cell r="S1693">
            <v>50.322206999999999</v>
          </cell>
          <cell r="T1693">
            <v>0.96457765667574902</v>
          </cell>
          <cell r="U1693">
            <v>50.322206999999999</v>
          </cell>
          <cell r="V1693">
            <v>0.96457765667574902</v>
          </cell>
        </row>
        <row r="1694">
          <cell r="A1694" t="str">
            <v>117905</v>
          </cell>
          <cell r="B1694">
            <v>1924.2</v>
          </cell>
          <cell r="C1694">
            <v>21.254006</v>
          </cell>
          <cell r="D1694">
            <v>7.3811931243680406E-2</v>
          </cell>
          <cell r="E1694">
            <v>9.2349840000000007</v>
          </cell>
          <cell r="F1694">
            <v>6.9261880687563102E-2</v>
          </cell>
          <cell r="G1694">
            <v>53.785241999999997</v>
          </cell>
          <cell r="H1694">
            <v>0.18730964467005001</v>
          </cell>
          <cell r="I1694">
            <v>51.156989000000003</v>
          </cell>
          <cell r="J1694">
            <v>0.185786802030456</v>
          </cell>
          <cell r="K1694">
            <v>732.06530799999996</v>
          </cell>
          <cell r="L1694">
            <v>1.24236252545824</v>
          </cell>
          <cell r="M1694">
            <v>567.86989900000003</v>
          </cell>
          <cell r="N1694">
            <v>1.1466395112016201</v>
          </cell>
          <cell r="O1694">
            <v>186.33916600000001</v>
          </cell>
          <cell r="P1694">
            <v>1.3254982115482801</v>
          </cell>
          <cell r="Q1694">
            <v>173.515278</v>
          </cell>
          <cell r="R1694">
            <v>1.2892181911088401</v>
          </cell>
          <cell r="S1694">
            <v>46.410947999999998</v>
          </cell>
          <cell r="T1694">
            <v>0.60388127853881202</v>
          </cell>
          <cell r="U1694">
            <v>46.371023000000001</v>
          </cell>
          <cell r="V1694">
            <v>0.602739726027397</v>
          </cell>
        </row>
        <row r="1695">
          <cell r="A1695" t="str">
            <v>118301</v>
          </cell>
          <cell r="B1695">
            <v>227.8</v>
          </cell>
          <cell r="C1695">
            <v>7156.7560089999997</v>
          </cell>
          <cell r="D1695">
            <v>1.90243902439024</v>
          </cell>
          <cell r="E1695">
            <v>129.25033199999999</v>
          </cell>
          <cell r="F1695">
            <v>0.89430894308942999</v>
          </cell>
          <cell r="G1695">
            <v>121.510897</v>
          </cell>
          <cell r="H1695">
            <v>2.86693548387096</v>
          </cell>
          <cell r="I1695">
            <v>117.030975</v>
          </cell>
          <cell r="J1695">
            <v>2.8588709677419302</v>
          </cell>
          <cell r="K1695">
            <v>157.552235</v>
          </cell>
          <cell r="L1695">
            <v>0.99593495934959297</v>
          </cell>
          <cell r="M1695">
            <v>122.193292</v>
          </cell>
          <cell r="N1695">
            <v>0.94308943089430797</v>
          </cell>
          <cell r="O1695">
            <v>39.568655</v>
          </cell>
          <cell r="P1695">
            <v>5.3497942386831199E-2</v>
          </cell>
          <cell r="Q1695">
            <v>29.667694999999998</v>
          </cell>
          <cell r="R1695">
            <v>4.9382716049382699E-2</v>
          </cell>
          <cell r="S1695">
            <v>392.612392</v>
          </cell>
          <cell r="T1695">
            <v>0.93589743589743501</v>
          </cell>
          <cell r="U1695">
            <v>379.44412299999999</v>
          </cell>
          <cell r="V1695">
            <v>0.87820512820512797</v>
          </cell>
        </row>
        <row r="1696">
          <cell r="A1696" t="str">
            <v>118302</v>
          </cell>
          <cell r="B1696">
            <v>601.22222199999999</v>
          </cell>
          <cell r="C1696">
            <v>1559.273508</v>
          </cell>
          <cell r="D1696">
            <v>0.42944785276073599</v>
          </cell>
          <cell r="E1696">
            <v>46.988791999999997</v>
          </cell>
          <cell r="F1696">
            <v>7.5153374233128803E-2</v>
          </cell>
          <cell r="G1696">
            <v>127.18738399999999</v>
          </cell>
          <cell r="H1696">
            <v>1.4370257966616</v>
          </cell>
          <cell r="I1696">
            <v>119.466646</v>
          </cell>
          <cell r="J1696">
            <v>1.42943854324734</v>
          </cell>
          <cell r="K1696">
            <v>63.105960000000003</v>
          </cell>
          <cell r="L1696">
            <v>0.187214611872146</v>
          </cell>
          <cell r="M1696">
            <v>3.8675030000000001</v>
          </cell>
          <cell r="N1696">
            <v>6.0882800608828003E-2</v>
          </cell>
          <cell r="O1696">
            <v>19.314534999999999</v>
          </cell>
          <cell r="P1696">
            <v>0.187981510015408</v>
          </cell>
          <cell r="Q1696">
            <v>19.314534999999999</v>
          </cell>
          <cell r="R1696">
            <v>0.187981510015408</v>
          </cell>
          <cell r="S1696">
            <v>4397.9908789999999</v>
          </cell>
          <cell r="T1696">
            <v>2.2590799031476898</v>
          </cell>
          <cell r="U1696">
            <v>232.415052</v>
          </cell>
          <cell r="V1696">
            <v>0.72154963680387396</v>
          </cell>
        </row>
        <row r="1697">
          <cell r="A1697" t="str">
            <v>118401</v>
          </cell>
          <cell r="B1697">
            <v>692</v>
          </cell>
          <cell r="C1697">
            <v>2156.1029680000001</v>
          </cell>
          <cell r="D1697">
            <v>5.9526542324246696</v>
          </cell>
          <cell r="E1697">
            <v>1127.0152499999999</v>
          </cell>
          <cell r="F1697">
            <v>5.2883787661405997</v>
          </cell>
          <cell r="G1697">
            <v>990.91023700000005</v>
          </cell>
          <cell r="H1697">
            <v>4.09668109668109</v>
          </cell>
          <cell r="I1697">
            <v>299.351046</v>
          </cell>
          <cell r="J1697">
            <v>2.4242424242424199</v>
          </cell>
          <cell r="K1697">
            <v>123.093529</v>
          </cell>
          <cell r="L1697">
            <v>1.35353535353535</v>
          </cell>
          <cell r="M1697">
            <v>84.557551000000004</v>
          </cell>
          <cell r="N1697">
            <v>1.2352092352092301</v>
          </cell>
          <cell r="O1697">
            <v>368.426424</v>
          </cell>
          <cell r="P1697">
            <v>1.90869565217391</v>
          </cell>
          <cell r="Q1697">
            <v>209.652995</v>
          </cell>
          <cell r="R1697">
            <v>1.8115942028985501</v>
          </cell>
          <cell r="S1697">
            <v>467.65472899999997</v>
          </cell>
          <cell r="T1697">
            <v>0.78165938864628803</v>
          </cell>
          <cell r="U1697">
            <v>232.07750999999999</v>
          </cell>
          <cell r="V1697">
            <v>0.592430858806404</v>
          </cell>
        </row>
        <row r="1698">
          <cell r="A1698" t="str">
            <v>118402</v>
          </cell>
          <cell r="B1698">
            <v>801.2</v>
          </cell>
          <cell r="C1698">
            <v>29.525579</v>
          </cell>
          <cell r="D1698">
            <v>0.19</v>
          </cell>
          <cell r="E1698">
            <v>24.492643999999999</v>
          </cell>
          <cell r="F1698">
            <v>0.17874999999999999</v>
          </cell>
          <cell r="G1698">
            <v>116.52378299999999</v>
          </cell>
          <cell r="H1698">
            <v>1.8169364881693599</v>
          </cell>
          <cell r="I1698">
            <v>113.43662399999999</v>
          </cell>
          <cell r="J1698">
            <v>1.81569115815691</v>
          </cell>
          <cell r="K1698">
            <v>306.19837799999999</v>
          </cell>
          <cell r="L1698">
            <v>1.7705735660847799</v>
          </cell>
          <cell r="M1698">
            <v>110.67686999999999</v>
          </cell>
          <cell r="N1698">
            <v>1.66708229426433</v>
          </cell>
          <cell r="O1698">
            <v>298.59119900000002</v>
          </cell>
          <cell r="P1698">
            <v>2.1282689912826802</v>
          </cell>
          <cell r="Q1698">
            <v>294.30352800000003</v>
          </cell>
          <cell r="R1698">
            <v>2.0734744707347401</v>
          </cell>
          <cell r="S1698">
            <v>2723.2220750000001</v>
          </cell>
          <cell r="T1698">
            <v>1.78696741854636</v>
          </cell>
          <cell r="U1698">
            <v>2715.8367579999999</v>
          </cell>
          <cell r="V1698">
            <v>1.7731829573934801</v>
          </cell>
        </row>
        <row r="1699">
          <cell r="A1699" t="str">
            <v>118403</v>
          </cell>
          <cell r="B1699">
            <v>529.6</v>
          </cell>
          <cell r="C1699">
            <v>1175.6663679999999</v>
          </cell>
          <cell r="D1699">
            <v>1.4621212121212099</v>
          </cell>
          <cell r="E1699">
            <v>258.53900599999997</v>
          </cell>
          <cell r="F1699">
            <v>0.61363636363636298</v>
          </cell>
          <cell r="G1699">
            <v>169.197294</v>
          </cell>
          <cell r="H1699">
            <v>1.39961759082217</v>
          </cell>
          <cell r="I1699">
            <v>61.425074000000002</v>
          </cell>
          <cell r="J1699">
            <v>1.3671128107074499</v>
          </cell>
          <cell r="K1699">
            <v>345.58471300000002</v>
          </cell>
          <cell r="L1699">
            <v>2.0077071290944102</v>
          </cell>
          <cell r="M1699">
            <v>173.311271</v>
          </cell>
          <cell r="N1699">
            <v>1.8265895953757201</v>
          </cell>
          <cell r="O1699">
            <v>203.64786899999999</v>
          </cell>
          <cell r="P1699">
            <v>2.0864661654135301</v>
          </cell>
          <cell r="Q1699">
            <v>200.171052</v>
          </cell>
          <cell r="R1699">
            <v>2.0056390977443601</v>
          </cell>
          <cell r="S1699">
            <v>910.13482899999997</v>
          </cell>
          <cell r="T1699">
            <v>1.52747252747252</v>
          </cell>
          <cell r="U1699">
            <v>192.25430399999999</v>
          </cell>
          <cell r="V1699">
            <v>1.0659340659340599</v>
          </cell>
        </row>
        <row r="1700">
          <cell r="A1700" t="str">
            <v>119101</v>
          </cell>
          <cell r="B1700">
            <v>50.6</v>
          </cell>
          <cell r="C1700">
            <v>6935.960779</v>
          </cell>
          <cell r="D1700">
            <v>6.8235294117647003</v>
          </cell>
          <cell r="E1700">
            <v>162.223985</v>
          </cell>
          <cell r="F1700">
            <v>1.7254901960784299</v>
          </cell>
          <cell r="G1700">
            <v>2310.1012879999998</v>
          </cell>
          <cell r="H1700">
            <v>6.7843137254901897</v>
          </cell>
          <cell r="I1700">
            <v>1012.423592</v>
          </cell>
          <cell r="J1700">
            <v>4.1960784313725403</v>
          </cell>
          <cell r="K1700">
            <v>3083.5310439999998</v>
          </cell>
          <cell r="L1700">
            <v>3.3529411764705799</v>
          </cell>
          <cell r="M1700">
            <v>1082.125816</v>
          </cell>
          <cell r="N1700">
            <v>2.2941176470588198</v>
          </cell>
          <cell r="O1700">
            <v>1482.0376650000001</v>
          </cell>
          <cell r="P1700">
            <v>1.24</v>
          </cell>
          <cell r="Q1700">
            <v>344.92599899999999</v>
          </cell>
          <cell r="R1700">
            <v>1.02</v>
          </cell>
          <cell r="S1700">
            <v>714.99533199999996</v>
          </cell>
          <cell r="T1700">
            <v>1.78</v>
          </cell>
          <cell r="U1700">
            <v>686.04499899999996</v>
          </cell>
          <cell r="V1700">
            <v>1.74</v>
          </cell>
        </row>
        <row r="1701">
          <cell r="A1701" t="str">
            <v>119102</v>
          </cell>
          <cell r="B1701">
            <v>649.79999999999995</v>
          </cell>
          <cell r="C1701">
            <v>2834.0831589999998</v>
          </cell>
          <cell r="D1701">
            <v>2.73189522342064</v>
          </cell>
          <cell r="E1701">
            <v>86.702083999999999</v>
          </cell>
          <cell r="F1701">
            <v>1.2465331278890599</v>
          </cell>
          <cell r="G1701">
            <v>650.74163599999997</v>
          </cell>
          <cell r="H1701">
            <v>1.8104776579352799</v>
          </cell>
          <cell r="I1701">
            <v>451.86763500000001</v>
          </cell>
          <cell r="J1701">
            <v>1.6194144838212601</v>
          </cell>
          <cell r="K1701">
            <v>7528.9037619999999</v>
          </cell>
          <cell r="L1701">
            <v>3.6589861751152002</v>
          </cell>
          <cell r="M1701">
            <v>1504.7866610000001</v>
          </cell>
          <cell r="N1701">
            <v>2.3763440860215002</v>
          </cell>
          <cell r="O1701">
            <v>398.842128</v>
          </cell>
          <cell r="P1701">
            <v>2.2592592592592502</v>
          </cell>
          <cell r="Q1701">
            <v>389.43909400000001</v>
          </cell>
          <cell r="R1701">
            <v>2.2561728395061702</v>
          </cell>
          <cell r="S1701">
            <v>396.85112400000003</v>
          </cell>
          <cell r="T1701">
            <v>1.6042944785276001</v>
          </cell>
          <cell r="U1701">
            <v>376.605572</v>
          </cell>
          <cell r="V1701">
            <v>1.5720858895705501</v>
          </cell>
        </row>
        <row r="1702">
          <cell r="A1702" t="str">
            <v>119201</v>
          </cell>
          <cell r="B1702">
            <v>311.85714200000001</v>
          </cell>
          <cell r="C1702">
            <v>791.15427299999999</v>
          </cell>
          <cell r="D1702">
            <v>3.21518987341772</v>
          </cell>
          <cell r="E1702">
            <v>791.15427299999999</v>
          </cell>
          <cell r="F1702">
            <v>3.21518987341772</v>
          </cell>
          <cell r="G1702">
            <v>529.97090800000001</v>
          </cell>
          <cell r="H1702">
            <v>2.48888888888888</v>
          </cell>
          <cell r="I1702">
            <v>529.97090800000001</v>
          </cell>
          <cell r="J1702">
            <v>2.48888888888888</v>
          </cell>
          <cell r="K1702">
            <v>4263.5280069999999</v>
          </cell>
          <cell r="L1702">
            <v>2.2492012779552701</v>
          </cell>
          <cell r="M1702">
            <v>265.40527100000003</v>
          </cell>
          <cell r="N1702">
            <v>1.2044728434504699</v>
          </cell>
          <cell r="O1702">
            <v>945.087311</v>
          </cell>
          <cell r="P1702">
            <v>0.89677419354838706</v>
          </cell>
          <cell r="Q1702">
            <v>945.087311</v>
          </cell>
          <cell r="R1702">
            <v>0.89677419354838706</v>
          </cell>
          <cell r="S1702">
            <v>1726.695074</v>
          </cell>
          <cell r="T1702">
            <v>6.8409090909090899</v>
          </cell>
          <cell r="U1702">
            <v>717.48749899999996</v>
          </cell>
          <cell r="V1702">
            <v>4.0779220779220697</v>
          </cell>
        </row>
        <row r="1703">
          <cell r="A1703" t="str">
            <v>119202</v>
          </cell>
          <cell r="B1703">
            <v>1</v>
          </cell>
          <cell r="C1703">
            <v>0</v>
          </cell>
          <cell r="D1703">
            <v>0</v>
          </cell>
          <cell r="E1703">
            <v>0</v>
          </cell>
          <cell r="F1703">
            <v>0</v>
          </cell>
          <cell r="G1703">
            <v>281</v>
          </cell>
          <cell r="H1703">
            <v>1</v>
          </cell>
          <cell r="I1703">
            <v>281</v>
          </cell>
          <cell r="J1703">
            <v>1</v>
          </cell>
          <cell r="K1703">
            <v>0</v>
          </cell>
          <cell r="L1703">
            <v>0</v>
          </cell>
          <cell r="M1703">
            <v>0</v>
          </cell>
          <cell r="N1703">
            <v>0</v>
          </cell>
          <cell r="O1703">
            <v>0</v>
          </cell>
          <cell r="P1703">
            <v>0</v>
          </cell>
          <cell r="Q1703">
            <v>0</v>
          </cell>
          <cell r="R1703">
            <v>0</v>
          </cell>
          <cell r="S1703">
            <v>0</v>
          </cell>
          <cell r="T1703">
            <v>0</v>
          </cell>
          <cell r="U1703">
            <v>0</v>
          </cell>
          <cell r="V1703">
            <v>0</v>
          </cell>
        </row>
        <row r="1704">
          <cell r="A1704" t="str">
            <v>119401</v>
          </cell>
          <cell r="B1704">
            <v>1</v>
          </cell>
          <cell r="C1704">
            <v>0</v>
          </cell>
          <cell r="D1704">
            <v>0</v>
          </cell>
          <cell r="E1704">
            <v>0</v>
          </cell>
          <cell r="F1704">
            <v>0</v>
          </cell>
          <cell r="G1704">
            <v>0</v>
          </cell>
          <cell r="H1704">
            <v>0</v>
          </cell>
          <cell r="I1704">
            <v>0</v>
          </cell>
          <cell r="J1704">
            <v>0</v>
          </cell>
          <cell r="K1704">
            <v>138</v>
          </cell>
          <cell r="L1704">
            <v>1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606.09999900000003</v>
          </cell>
          <cell r="T1704">
            <v>2</v>
          </cell>
          <cell r="U1704">
            <v>606.09999900000003</v>
          </cell>
          <cell r="V1704">
            <v>2</v>
          </cell>
        </row>
        <row r="1705">
          <cell r="A1705" t="str">
            <v>119601</v>
          </cell>
          <cell r="B1705">
            <v>5</v>
          </cell>
          <cell r="C1705">
            <v>0</v>
          </cell>
          <cell r="D1705">
            <v>0</v>
          </cell>
          <cell r="E1705">
            <v>0</v>
          </cell>
          <cell r="F1705">
            <v>0</v>
          </cell>
          <cell r="G1705">
            <v>0</v>
          </cell>
          <cell r="H1705">
            <v>0</v>
          </cell>
          <cell r="I1705">
            <v>0</v>
          </cell>
          <cell r="J1705">
            <v>0</v>
          </cell>
          <cell r="K1705">
            <v>0</v>
          </cell>
          <cell r="L1705">
            <v>0</v>
          </cell>
          <cell r="M1705">
            <v>0</v>
          </cell>
          <cell r="N1705">
            <v>0</v>
          </cell>
          <cell r="O1705">
            <v>1351.8</v>
          </cell>
          <cell r="P1705">
            <v>1.8</v>
          </cell>
          <cell r="Q1705">
            <v>0</v>
          </cell>
          <cell r="R1705">
            <v>0</v>
          </cell>
          <cell r="S1705">
            <v>58.95</v>
          </cell>
          <cell r="T1705">
            <v>0.6</v>
          </cell>
          <cell r="U1705">
            <v>58.95</v>
          </cell>
          <cell r="V1705">
            <v>0.6</v>
          </cell>
        </row>
        <row r="1706">
          <cell r="A1706" t="str">
            <v>119602</v>
          </cell>
          <cell r="B1706">
            <v>797.6</v>
          </cell>
          <cell r="C1706">
            <v>1119.620756</v>
          </cell>
          <cell r="D1706">
            <v>1.2263681592039799</v>
          </cell>
          <cell r="E1706">
            <v>47.579303000000003</v>
          </cell>
          <cell r="F1706">
            <v>0.220149253731343</v>
          </cell>
          <cell r="G1706">
            <v>104.938429</v>
          </cell>
          <cell r="H1706">
            <v>0.248756218905472</v>
          </cell>
          <cell r="I1706">
            <v>43.386508999999997</v>
          </cell>
          <cell r="J1706">
            <v>0.194029850746268</v>
          </cell>
          <cell r="K1706">
            <v>431.13249999999999</v>
          </cell>
          <cell r="L1706">
            <v>1.44069912609238</v>
          </cell>
          <cell r="M1706">
            <v>216.03778600000001</v>
          </cell>
          <cell r="N1706">
            <v>1.2109862671660401</v>
          </cell>
          <cell r="O1706">
            <v>1546.2574910000001</v>
          </cell>
          <cell r="P1706">
            <v>2.1224747474747399</v>
          </cell>
          <cell r="Q1706">
            <v>22.825042</v>
          </cell>
          <cell r="R1706">
            <v>0.125</v>
          </cell>
          <cell r="S1706">
            <v>506.53892300000001</v>
          </cell>
          <cell r="T1706">
            <v>0.55400254129605997</v>
          </cell>
          <cell r="U1706">
            <v>303.00423499999999</v>
          </cell>
          <cell r="V1706">
            <v>0.36594663278271899</v>
          </cell>
        </row>
        <row r="1707">
          <cell r="A1707" t="str">
            <v>119701</v>
          </cell>
          <cell r="B1707">
            <v>1</v>
          </cell>
          <cell r="C1707">
            <v>0</v>
          </cell>
          <cell r="D1707">
            <v>0</v>
          </cell>
          <cell r="E1707">
            <v>0</v>
          </cell>
          <cell r="F1707">
            <v>0</v>
          </cell>
          <cell r="G1707">
            <v>0</v>
          </cell>
          <cell r="H1707">
            <v>0</v>
          </cell>
          <cell r="I1707">
            <v>0</v>
          </cell>
          <cell r="J1707">
            <v>0</v>
          </cell>
          <cell r="K1707">
            <v>0</v>
          </cell>
          <cell r="L1707">
            <v>0</v>
          </cell>
          <cell r="M1707">
            <v>0</v>
          </cell>
          <cell r="N1707">
            <v>0</v>
          </cell>
          <cell r="O1707">
            <v>0</v>
          </cell>
          <cell r="P1707">
            <v>0</v>
          </cell>
          <cell r="Q1707">
            <v>0</v>
          </cell>
          <cell r="R1707">
            <v>0</v>
          </cell>
          <cell r="S1707">
            <v>190.55</v>
          </cell>
          <cell r="T1707">
            <v>1</v>
          </cell>
          <cell r="U1707">
            <v>190.55</v>
          </cell>
          <cell r="V1707">
            <v>1</v>
          </cell>
        </row>
        <row r="1708">
          <cell r="A1708" t="str">
            <v>120001</v>
          </cell>
          <cell r="B1708">
            <v>1</v>
          </cell>
          <cell r="C1708">
            <v>62</v>
          </cell>
          <cell r="D1708">
            <v>1</v>
          </cell>
          <cell r="E1708">
            <v>62</v>
          </cell>
          <cell r="F1708">
            <v>1</v>
          </cell>
          <cell r="G1708">
            <v>0</v>
          </cell>
          <cell r="H1708">
            <v>0</v>
          </cell>
          <cell r="I1708">
            <v>0</v>
          </cell>
          <cell r="J1708">
            <v>0</v>
          </cell>
          <cell r="K1708">
            <v>0</v>
          </cell>
          <cell r="L1708">
            <v>0</v>
          </cell>
          <cell r="M1708">
            <v>0</v>
          </cell>
          <cell r="N1708">
            <v>0</v>
          </cell>
          <cell r="O1708">
            <v>0</v>
          </cell>
          <cell r="P1708">
            <v>0</v>
          </cell>
          <cell r="Q1708">
            <v>0</v>
          </cell>
          <cell r="R1708">
            <v>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</row>
        <row r="1709">
          <cell r="A1709" t="str">
            <v>120201</v>
          </cell>
          <cell r="B1709">
            <v>667.4</v>
          </cell>
          <cell r="C1709">
            <v>2100.012158</v>
          </cell>
          <cell r="D1709">
            <v>1.1814285714285699</v>
          </cell>
          <cell r="E1709">
            <v>54.94</v>
          </cell>
          <cell r="F1709">
            <v>0.17285714285714199</v>
          </cell>
          <cell r="G1709">
            <v>290.21122700000001</v>
          </cell>
          <cell r="H1709">
            <v>0.63813813813813802</v>
          </cell>
          <cell r="I1709">
            <v>154.973536</v>
          </cell>
          <cell r="J1709">
            <v>0.57957957957957895</v>
          </cell>
          <cell r="K1709">
            <v>1672.564946</v>
          </cell>
          <cell r="L1709">
            <v>3.08497723823975</v>
          </cell>
          <cell r="M1709">
            <v>1440.5347240000001</v>
          </cell>
          <cell r="N1709">
            <v>2.8922610015174501</v>
          </cell>
          <cell r="O1709">
            <v>78.396529000000001</v>
          </cell>
          <cell r="P1709">
            <v>7.9027355623100301E-2</v>
          </cell>
          <cell r="Q1709">
            <v>37.803671999999999</v>
          </cell>
          <cell r="R1709">
            <v>6.5349544072948296E-2</v>
          </cell>
          <cell r="S1709">
            <v>229.08063100000001</v>
          </cell>
          <cell r="T1709">
            <v>1.32262996941896</v>
          </cell>
          <cell r="U1709">
            <v>206.64908199999999</v>
          </cell>
          <cell r="V1709">
            <v>1.2981651376146699</v>
          </cell>
        </row>
        <row r="1710">
          <cell r="A1710" t="str">
            <v>120202</v>
          </cell>
          <cell r="B1710">
            <v>997.4</v>
          </cell>
          <cell r="C1710">
            <v>67.734859</v>
          </cell>
          <cell r="D1710">
            <v>0.13689936536718</v>
          </cell>
          <cell r="E1710">
            <v>44.392975</v>
          </cell>
          <cell r="F1710">
            <v>0.12873980054397</v>
          </cell>
          <cell r="G1710">
            <v>200.88167200000001</v>
          </cell>
          <cell r="H1710">
            <v>0.49323017408123698</v>
          </cell>
          <cell r="I1710">
            <v>190.021377</v>
          </cell>
          <cell r="J1710">
            <v>0.48839458413926401</v>
          </cell>
          <cell r="K1710">
            <v>597.429396</v>
          </cell>
          <cell r="L1710">
            <v>1.2974308300395201</v>
          </cell>
          <cell r="M1710">
            <v>580.08418900000004</v>
          </cell>
          <cell r="N1710">
            <v>1.2934782608695601</v>
          </cell>
          <cell r="O1710">
            <v>19.781942000000001</v>
          </cell>
          <cell r="P1710">
            <v>2.7806385169927901E-2</v>
          </cell>
          <cell r="Q1710">
            <v>2.2763469999999999</v>
          </cell>
          <cell r="R1710">
            <v>1.4418125643666299E-2</v>
          </cell>
          <cell r="S1710">
            <v>136.793463</v>
          </cell>
          <cell r="T1710">
            <v>1.1591695501730099</v>
          </cell>
          <cell r="U1710">
            <v>136.424567</v>
          </cell>
          <cell r="V1710">
            <v>1.14763552479815</v>
          </cell>
        </row>
        <row r="1711">
          <cell r="A1711" t="str">
            <v>121001</v>
          </cell>
          <cell r="B1711">
            <v>1480.875</v>
          </cell>
          <cell r="C1711">
            <v>1949.6535759999999</v>
          </cell>
          <cell r="D1711">
            <v>2.5617747440273</v>
          </cell>
          <cell r="E1711">
            <v>301.81569500000001</v>
          </cell>
          <cell r="F1711">
            <v>1.4962457337883901</v>
          </cell>
          <cell r="G1711">
            <v>37.979073</v>
          </cell>
          <cell r="H1711">
            <v>0.13555858310626701</v>
          </cell>
          <cell r="I1711">
            <v>37.979073</v>
          </cell>
          <cell r="J1711">
            <v>0.13555858310626701</v>
          </cell>
          <cell r="K1711">
            <v>174.20004499999999</v>
          </cell>
          <cell r="L1711">
            <v>0.60848733744010897</v>
          </cell>
          <cell r="M1711">
            <v>174.20004499999999</v>
          </cell>
          <cell r="N1711">
            <v>0.60848733744010897</v>
          </cell>
          <cell r="O1711">
            <v>122.06967299999999</v>
          </cell>
          <cell r="P1711">
            <v>0.27689104788341401</v>
          </cell>
          <cell r="Q1711">
            <v>36.933553000000003</v>
          </cell>
          <cell r="R1711">
            <v>0.24705065926439901</v>
          </cell>
          <cell r="S1711">
            <v>197.639793</v>
          </cell>
          <cell r="T1711">
            <v>1.15904700579523</v>
          </cell>
          <cell r="U1711">
            <v>185.089246</v>
          </cell>
          <cell r="V1711">
            <v>1.11139729555698</v>
          </cell>
        </row>
        <row r="1712">
          <cell r="A1712" t="str">
            <v>121002</v>
          </cell>
          <cell r="B1712">
            <v>764.11111100000005</v>
          </cell>
          <cell r="C1712">
            <v>1560.6176370000001</v>
          </cell>
          <cell r="D1712">
            <v>1.01877346683354</v>
          </cell>
          <cell r="E1712">
            <v>2.7510560000000002</v>
          </cell>
          <cell r="F1712">
            <v>4.0050062578222703E-2</v>
          </cell>
          <cell r="G1712">
            <v>97.725493</v>
          </cell>
          <cell r="H1712">
            <v>0.52808988764044895</v>
          </cell>
          <cell r="I1712">
            <v>95.670197999999999</v>
          </cell>
          <cell r="J1712">
            <v>0.52684144818976197</v>
          </cell>
          <cell r="K1712">
            <v>5.911041</v>
          </cell>
          <cell r="L1712">
            <v>3.2500000000000001E-2</v>
          </cell>
          <cell r="M1712">
            <v>3.5850409999999999</v>
          </cell>
          <cell r="N1712">
            <v>3.125E-2</v>
          </cell>
          <cell r="O1712">
            <v>124.829995</v>
          </cell>
          <cell r="P1712">
            <v>0.83103879849812201</v>
          </cell>
          <cell r="Q1712">
            <v>124.829995</v>
          </cell>
          <cell r="R1712">
            <v>0.83103879849812201</v>
          </cell>
          <cell r="S1712">
            <v>55.494182000000002</v>
          </cell>
          <cell r="T1712">
            <v>0.52895148669796499</v>
          </cell>
          <cell r="U1712">
            <v>54.997129999999999</v>
          </cell>
          <cell r="V1712">
            <v>0.52738654147104802</v>
          </cell>
        </row>
        <row r="1713">
          <cell r="A1713" t="str">
            <v>121003</v>
          </cell>
          <cell r="B1713">
            <v>939.22222199999999</v>
          </cell>
          <cell r="C1713">
            <v>1370.4746809999999</v>
          </cell>
          <cell r="D1713">
            <v>1.25454545454545</v>
          </cell>
          <cell r="E1713">
            <v>36.678629999999998</v>
          </cell>
          <cell r="F1713">
            <v>0.34224598930481198</v>
          </cell>
          <cell r="G1713">
            <v>419.01935400000002</v>
          </cell>
          <cell r="H1713">
            <v>2.1331203407880701</v>
          </cell>
          <cell r="I1713">
            <v>414.63880699999999</v>
          </cell>
          <cell r="J1713">
            <v>2.1139510117145801</v>
          </cell>
          <cell r="K1713">
            <v>1500.369199</v>
          </cell>
          <cell r="L1713">
            <v>2.1041445270988302</v>
          </cell>
          <cell r="M1713">
            <v>13.077683</v>
          </cell>
          <cell r="N1713">
            <v>0.108395324123273</v>
          </cell>
          <cell r="O1713">
            <v>37.181773999999997</v>
          </cell>
          <cell r="P1713">
            <v>0.31562167906482402</v>
          </cell>
          <cell r="Q1713">
            <v>37.181773999999997</v>
          </cell>
          <cell r="R1713">
            <v>0.31562167906482402</v>
          </cell>
          <cell r="S1713">
            <v>3604.882642</v>
          </cell>
          <cell r="T1713">
            <v>2.48459086078639</v>
          </cell>
          <cell r="U1713">
            <v>228.595235</v>
          </cell>
          <cell r="V1713">
            <v>1.33475026567481</v>
          </cell>
        </row>
        <row r="1714">
          <cell r="A1714" t="str">
            <v>121004</v>
          </cell>
          <cell r="B1714">
            <v>1214.5999999999999</v>
          </cell>
          <cell r="C1714">
            <v>1860.916755</v>
          </cell>
          <cell r="D1714">
            <v>2.0527196652719599</v>
          </cell>
          <cell r="E1714">
            <v>193.07098400000001</v>
          </cell>
          <cell r="F1714">
            <v>0.961506276150627</v>
          </cell>
          <cell r="G1714">
            <v>176.863404</v>
          </cell>
          <cell r="H1714">
            <v>0.276436303080766</v>
          </cell>
          <cell r="I1714">
            <v>38.224151999999997</v>
          </cell>
          <cell r="J1714">
            <v>0.188176519567027</v>
          </cell>
          <cell r="K1714">
            <v>97.247150000000005</v>
          </cell>
          <cell r="L1714">
            <v>0.335269709543568</v>
          </cell>
          <cell r="M1714">
            <v>80.103969000000006</v>
          </cell>
          <cell r="N1714">
            <v>0.33112033195020701</v>
          </cell>
          <cell r="O1714">
            <v>42.707059000000001</v>
          </cell>
          <cell r="P1714">
            <v>0.26434923201293398</v>
          </cell>
          <cell r="Q1714">
            <v>9.9120450000000009</v>
          </cell>
          <cell r="R1714">
            <v>0.13177041228779299</v>
          </cell>
          <cell r="S1714">
            <v>222.09786600000001</v>
          </cell>
          <cell r="T1714">
            <v>1.0955465587044499</v>
          </cell>
          <cell r="U1714">
            <v>158.72070099999999</v>
          </cell>
          <cell r="V1714">
            <v>1.0105263157894699</v>
          </cell>
        </row>
        <row r="1715">
          <cell r="A1715" t="str">
            <v>121005</v>
          </cell>
          <cell r="B1715">
            <v>1</v>
          </cell>
          <cell r="C1715">
            <v>543.24991699999998</v>
          </cell>
          <cell r="D1715">
            <v>1</v>
          </cell>
          <cell r="E1715">
            <v>0</v>
          </cell>
          <cell r="F1715">
            <v>0</v>
          </cell>
          <cell r="G1715">
            <v>0</v>
          </cell>
          <cell r="H1715">
            <v>0</v>
          </cell>
          <cell r="I1715">
            <v>0</v>
          </cell>
          <cell r="J1715">
            <v>0</v>
          </cell>
          <cell r="K1715">
            <v>0</v>
          </cell>
          <cell r="L1715">
            <v>0</v>
          </cell>
          <cell r="M1715">
            <v>0</v>
          </cell>
          <cell r="N1715">
            <v>0</v>
          </cell>
          <cell r="O1715">
            <v>0</v>
          </cell>
          <cell r="P1715">
            <v>0</v>
          </cell>
          <cell r="Q1715">
            <v>0</v>
          </cell>
          <cell r="R1715">
            <v>0</v>
          </cell>
          <cell r="S1715">
            <v>0</v>
          </cell>
          <cell r="T1715">
            <v>0</v>
          </cell>
          <cell r="U1715">
            <v>0</v>
          </cell>
          <cell r="V1715">
            <v>0</v>
          </cell>
        </row>
        <row r="1716">
          <cell r="A1716" t="str">
            <v>121701</v>
          </cell>
          <cell r="B1716">
            <v>1206.1111109999999</v>
          </cell>
          <cell r="C1716">
            <v>142.686047</v>
          </cell>
          <cell r="D1716">
            <v>0.92897959183673395</v>
          </cell>
          <cell r="E1716">
            <v>142.686047</v>
          </cell>
          <cell r="F1716">
            <v>0.92897959183673395</v>
          </cell>
          <cell r="G1716">
            <v>1980.950885</v>
          </cell>
          <cell r="H1716">
            <v>2.9251644736842102</v>
          </cell>
          <cell r="I1716">
            <v>248.25679400000001</v>
          </cell>
          <cell r="J1716">
            <v>1.6628289473684199</v>
          </cell>
          <cell r="K1716">
            <v>4453.5742380000002</v>
          </cell>
          <cell r="L1716">
            <v>5.43539094650205</v>
          </cell>
          <cell r="M1716">
            <v>440.39234499999998</v>
          </cell>
          <cell r="N1716">
            <v>1.93086419753086</v>
          </cell>
          <cell r="O1716">
            <v>2064.2913960000001</v>
          </cell>
          <cell r="P1716">
            <v>4.1211618257261398</v>
          </cell>
          <cell r="Q1716">
            <v>553.05230900000004</v>
          </cell>
          <cell r="R1716">
            <v>3.31203319502074</v>
          </cell>
          <cell r="S1716">
            <v>587.64776600000005</v>
          </cell>
          <cell r="T1716">
            <v>3.2103477523324799</v>
          </cell>
          <cell r="U1716">
            <v>455.76217100000002</v>
          </cell>
          <cell r="V1716">
            <v>3.0525869380831199</v>
          </cell>
        </row>
        <row r="1717">
          <cell r="A1717" t="str">
            <v>121702</v>
          </cell>
          <cell r="B1717">
            <v>840.4</v>
          </cell>
          <cell r="C1717">
            <v>213.08049399999999</v>
          </cell>
          <cell r="D1717">
            <v>0.90375586854459999</v>
          </cell>
          <cell r="E1717">
            <v>204.285449</v>
          </cell>
          <cell r="F1717">
            <v>0.87910798122065703</v>
          </cell>
          <cell r="G1717">
            <v>710.214921</v>
          </cell>
          <cell r="H1717">
            <v>1.04615384615384</v>
          </cell>
          <cell r="I1717">
            <v>96.034789000000004</v>
          </cell>
          <cell r="J1717">
            <v>0.79526627218934898</v>
          </cell>
          <cell r="K1717">
            <v>1505.391883</v>
          </cell>
          <cell r="L1717">
            <v>1.87706855791962</v>
          </cell>
          <cell r="M1717">
            <v>543.63611100000003</v>
          </cell>
          <cell r="N1717">
            <v>1.03309692671394</v>
          </cell>
          <cell r="O1717">
            <v>1359.72298</v>
          </cell>
          <cell r="P1717">
            <v>2.9643705463182801</v>
          </cell>
          <cell r="Q1717">
            <v>344.05431499999997</v>
          </cell>
          <cell r="R1717">
            <v>2.2755344418052199</v>
          </cell>
          <cell r="S1717">
            <v>1131.25308</v>
          </cell>
          <cell r="T1717">
            <v>3.2496940024479799</v>
          </cell>
          <cell r="U1717">
            <v>379.75658900000002</v>
          </cell>
          <cell r="V1717">
            <v>2.5936352509179899</v>
          </cell>
        </row>
        <row r="1718">
          <cell r="A1718" t="str">
            <v>122101</v>
          </cell>
          <cell r="B1718">
            <v>1138.2222220000001</v>
          </cell>
          <cell r="C1718">
            <v>71.917225000000002</v>
          </cell>
          <cell r="D1718">
            <v>0.378070175438596</v>
          </cell>
          <cell r="E1718">
            <v>71.917225000000002</v>
          </cell>
          <cell r="F1718">
            <v>0.378070175438596</v>
          </cell>
          <cell r="G1718">
            <v>2406.3980820000002</v>
          </cell>
          <cell r="H1718">
            <v>2.3154657293497301</v>
          </cell>
          <cell r="I1718">
            <v>348.63628599999998</v>
          </cell>
          <cell r="J1718">
            <v>1.7530755711774999</v>
          </cell>
          <cell r="K1718">
            <v>2852.005521</v>
          </cell>
          <cell r="L1718">
            <v>2.9763365468886902</v>
          </cell>
          <cell r="M1718">
            <v>461.266389</v>
          </cell>
          <cell r="N1718">
            <v>2.0061349693251498</v>
          </cell>
          <cell r="O1718">
            <v>562.72491100000002</v>
          </cell>
          <cell r="P1718">
            <v>2.3181019332161599</v>
          </cell>
          <cell r="Q1718">
            <v>306.86335600000001</v>
          </cell>
          <cell r="R1718">
            <v>1.97803163444639</v>
          </cell>
          <cell r="S1718">
            <v>732.10530000000006</v>
          </cell>
          <cell r="T1718">
            <v>2.3700440528634301</v>
          </cell>
          <cell r="U1718">
            <v>186.64264299999999</v>
          </cell>
          <cell r="V1718">
            <v>1.93832599118942</v>
          </cell>
        </row>
        <row r="1719">
          <cell r="A1719" t="str">
            <v>122102</v>
          </cell>
          <cell r="B1719">
            <v>1419.444444</v>
          </cell>
          <cell r="C1719">
            <v>53.931362</v>
          </cell>
          <cell r="D1719">
            <v>0.31446540880503099</v>
          </cell>
          <cell r="E1719">
            <v>53.931362</v>
          </cell>
          <cell r="F1719">
            <v>0.31446540880503099</v>
          </cell>
          <cell r="G1719">
            <v>552.57370400000002</v>
          </cell>
          <cell r="H1719">
            <v>1.88421052631578</v>
          </cell>
          <cell r="I1719">
            <v>320.23342600000001</v>
          </cell>
          <cell r="J1719">
            <v>1.8245614035087701</v>
          </cell>
          <cell r="K1719">
            <v>2340.104405</v>
          </cell>
          <cell r="L1719">
            <v>3.5231416549789598</v>
          </cell>
          <cell r="M1719">
            <v>396.65515399999998</v>
          </cell>
          <cell r="N1719">
            <v>2.1241234221598799</v>
          </cell>
          <cell r="O1719">
            <v>267.899047</v>
          </cell>
          <cell r="P1719">
            <v>1.4149611856033799</v>
          </cell>
          <cell r="Q1719">
            <v>266.11872499999998</v>
          </cell>
          <cell r="R1719">
            <v>1.41354975299929</v>
          </cell>
          <cell r="S1719">
            <v>330.69482399999998</v>
          </cell>
          <cell r="T1719">
            <v>2.2307692307692299</v>
          </cell>
          <cell r="U1719">
            <v>192.24907400000001</v>
          </cell>
          <cell r="V1719">
            <v>2.0541310541310498</v>
          </cell>
        </row>
        <row r="1720">
          <cell r="A1720" t="str">
            <v>122201</v>
          </cell>
          <cell r="B1720">
            <v>439.22222199999999</v>
          </cell>
          <cell r="C1720">
            <v>240.65221099999999</v>
          </cell>
          <cell r="D1720">
            <v>1.58574610244988</v>
          </cell>
          <cell r="E1720">
            <v>240.65221099999999</v>
          </cell>
          <cell r="F1720">
            <v>1.58574610244988</v>
          </cell>
          <cell r="G1720">
            <v>137.998177</v>
          </cell>
          <cell r="H1720">
            <v>0.26696832579185498</v>
          </cell>
          <cell r="I1720">
            <v>17.980239999999998</v>
          </cell>
          <cell r="J1720">
            <v>0.20135746606334801</v>
          </cell>
          <cell r="K1720">
            <v>2563.7015419999998</v>
          </cell>
          <cell r="L1720">
            <v>1.6433408577878099</v>
          </cell>
          <cell r="M1720">
            <v>104.434123</v>
          </cell>
          <cell r="N1720">
            <v>0.58013544018058605</v>
          </cell>
          <cell r="O1720">
            <v>186.647525</v>
          </cell>
          <cell r="P1720">
            <v>0.30821917808219101</v>
          </cell>
          <cell r="Q1720">
            <v>73.551331000000005</v>
          </cell>
          <cell r="R1720">
            <v>0.22602739726027299</v>
          </cell>
          <cell r="S1720">
            <v>181.14930000000001</v>
          </cell>
          <cell r="T1720">
            <v>0.51515151515151503</v>
          </cell>
          <cell r="U1720">
            <v>63.019930000000002</v>
          </cell>
          <cell r="V1720">
            <v>0.37995337995337902</v>
          </cell>
        </row>
        <row r="1721">
          <cell r="A1721" t="str">
            <v>122401</v>
          </cell>
          <cell r="B1721">
            <v>814.2</v>
          </cell>
          <cell r="C1721">
            <v>4059.0941910000001</v>
          </cell>
          <cell r="D1721">
            <v>1.59326113116726</v>
          </cell>
          <cell r="E1721">
            <v>129.45424199999999</v>
          </cell>
          <cell r="F1721">
            <v>0.75451263537906099</v>
          </cell>
          <cell r="G1721">
            <v>1491.236523</v>
          </cell>
          <cell r="H1721">
            <v>3.8736330498177298</v>
          </cell>
          <cell r="I1721">
            <v>538.341905</v>
          </cell>
          <cell r="J1721">
            <v>2.8055893074118998</v>
          </cell>
          <cell r="K1721">
            <v>820.88718500000004</v>
          </cell>
          <cell r="L1721">
            <v>2.6885644768856398</v>
          </cell>
          <cell r="M1721">
            <v>179.195235</v>
          </cell>
          <cell r="N1721">
            <v>2.0875912408759101</v>
          </cell>
          <cell r="O1721">
            <v>304.45293900000001</v>
          </cell>
          <cell r="P1721">
            <v>0.84063260340632595</v>
          </cell>
          <cell r="Q1721">
            <v>277.92787900000002</v>
          </cell>
          <cell r="R1721">
            <v>0.82481751824817495</v>
          </cell>
          <cell r="S1721">
            <v>1655.6916550000001</v>
          </cell>
          <cell r="T1721">
            <v>1.84087968952134</v>
          </cell>
          <cell r="U1721">
            <v>136.520051</v>
          </cell>
          <cell r="V1721">
            <v>0.57826649417852505</v>
          </cell>
        </row>
        <row r="1722">
          <cell r="A1722" t="str">
            <v>122402</v>
          </cell>
          <cell r="B1722">
            <v>685</v>
          </cell>
          <cell r="C1722">
            <v>1613.9838099999999</v>
          </cell>
          <cell r="D1722">
            <v>1.7607449856733499</v>
          </cell>
          <cell r="E1722">
            <v>165.57604499999999</v>
          </cell>
          <cell r="F1722">
            <v>1.03151862464183</v>
          </cell>
          <cell r="G1722">
            <v>262.41727500000002</v>
          </cell>
          <cell r="H1722">
            <v>1.2281205164992799</v>
          </cell>
          <cell r="I1722">
            <v>240.73532599999999</v>
          </cell>
          <cell r="J1722">
            <v>1.2094691535150599</v>
          </cell>
          <cell r="K1722">
            <v>3245.7179850000002</v>
          </cell>
          <cell r="L1722">
            <v>3.83165467625899</v>
          </cell>
          <cell r="M1722">
            <v>217.11434</v>
          </cell>
          <cell r="N1722">
            <v>0.80863309352517898</v>
          </cell>
          <cell r="O1722">
            <v>1258.2511360000001</v>
          </cell>
          <cell r="P1722">
            <v>1.6923076923076901</v>
          </cell>
          <cell r="Q1722">
            <v>327.82157699999999</v>
          </cell>
          <cell r="R1722">
            <v>0.98113207547169801</v>
          </cell>
          <cell r="S1722">
            <v>2782.620793</v>
          </cell>
          <cell r="T1722">
            <v>3.7631578947368398</v>
          </cell>
          <cell r="U1722">
            <v>821.84540700000002</v>
          </cell>
          <cell r="V1722">
            <v>1.9287925696594399</v>
          </cell>
        </row>
        <row r="1723">
          <cell r="A1723" t="str">
            <v>122501</v>
          </cell>
          <cell r="B1723">
            <v>1342.444444</v>
          </cell>
          <cell r="C1723">
            <v>32.100470999999999</v>
          </cell>
          <cell r="D1723">
            <v>0.363903154805575</v>
          </cell>
          <cell r="E1723">
            <v>31.837816</v>
          </cell>
          <cell r="F1723">
            <v>0.363169479090242</v>
          </cell>
          <cell r="G1723">
            <v>27.750934999999998</v>
          </cell>
          <cell r="H1723">
            <v>0.98828696925329396</v>
          </cell>
          <cell r="I1723">
            <v>27.750934999999998</v>
          </cell>
          <cell r="J1723">
            <v>0.98828696925329396</v>
          </cell>
          <cell r="K1723">
            <v>157.21899999999999</v>
          </cell>
          <cell r="L1723">
            <v>0.51979472140762395</v>
          </cell>
          <cell r="M1723">
            <v>35.768425999999998</v>
          </cell>
          <cell r="N1723">
            <v>0.34017595307917797</v>
          </cell>
          <cell r="O1723">
            <v>18.497375999999999</v>
          </cell>
          <cell r="P1723">
            <v>8.5090361445783094E-2</v>
          </cell>
          <cell r="Q1723">
            <v>9.3694019999999991</v>
          </cell>
          <cell r="R1723">
            <v>5.1204819277108397E-2</v>
          </cell>
          <cell r="S1723">
            <v>15.403606999999999</v>
          </cell>
          <cell r="T1723">
            <v>9.4397544128933197E-2</v>
          </cell>
          <cell r="U1723">
            <v>14.227475</v>
          </cell>
          <cell r="V1723">
            <v>8.6722947045280094E-2</v>
          </cell>
        </row>
        <row r="1724">
          <cell r="A1724" t="str">
            <v>122502</v>
          </cell>
          <cell r="B1724">
            <v>1075.6666660000001</v>
          </cell>
          <cell r="C1724">
            <v>215.297698</v>
          </cell>
          <cell r="D1724">
            <v>0.829875518672199</v>
          </cell>
          <cell r="E1724">
            <v>215.297698</v>
          </cell>
          <cell r="F1724">
            <v>0.829875518672199</v>
          </cell>
          <cell r="G1724">
            <v>141.32657499999999</v>
          </cell>
          <cell r="H1724">
            <v>0.28977777777777702</v>
          </cell>
          <cell r="I1724">
            <v>41.990009000000001</v>
          </cell>
          <cell r="J1724">
            <v>0.123555555555555</v>
          </cell>
          <cell r="K1724">
            <v>1306.3320040000001</v>
          </cell>
          <cell r="L1724">
            <v>2.7775718257645901</v>
          </cell>
          <cell r="M1724">
            <v>975.05169899999999</v>
          </cell>
          <cell r="N1724">
            <v>2.2604263206672801</v>
          </cell>
          <cell r="O1724">
            <v>71.269862000000003</v>
          </cell>
          <cell r="P1724">
            <v>0.19272369714847501</v>
          </cell>
          <cell r="Q1724">
            <v>36.000639</v>
          </cell>
          <cell r="R1724">
            <v>0.123893805309734</v>
          </cell>
          <cell r="S1724">
            <v>622.83752700000002</v>
          </cell>
          <cell r="T1724">
            <v>2.5211406096361801</v>
          </cell>
          <cell r="U1724">
            <v>533.91671499999995</v>
          </cell>
          <cell r="V1724">
            <v>2.16814159292035</v>
          </cell>
        </row>
        <row r="1725">
          <cell r="A1725" t="str">
            <v>122601</v>
          </cell>
          <cell r="B1725">
            <v>2190.8000000000002</v>
          </cell>
          <cell r="C1725">
            <v>534.16646200000002</v>
          </cell>
          <cell r="D1725">
            <v>0.49840981372103499</v>
          </cell>
          <cell r="E1725">
            <v>13.017142</v>
          </cell>
          <cell r="F1725">
            <v>0.14629713766469701</v>
          </cell>
          <cell r="G1725">
            <v>22.548264</v>
          </cell>
          <cell r="H1725">
            <v>0.28376534788540198</v>
          </cell>
          <cell r="I1725">
            <v>21.295376000000001</v>
          </cell>
          <cell r="J1725">
            <v>0.27785356980445602</v>
          </cell>
          <cell r="K1725">
            <v>271.56067400000001</v>
          </cell>
          <cell r="L1725">
            <v>1.4665148063781299</v>
          </cell>
          <cell r="M1725">
            <v>257.80207200000001</v>
          </cell>
          <cell r="N1725">
            <v>1.46150341685649</v>
          </cell>
          <cell r="O1725">
            <v>215.19655</v>
          </cell>
          <cell r="P1725">
            <v>1.17668655346489</v>
          </cell>
          <cell r="Q1725">
            <v>116.712521</v>
          </cell>
          <cell r="R1725">
            <v>1.0761817347406999</v>
          </cell>
          <cell r="S1725">
            <v>129.39193299999999</v>
          </cell>
          <cell r="T1725">
            <v>1.3811926605504501</v>
          </cell>
          <cell r="U1725">
            <v>108.591207</v>
          </cell>
          <cell r="V1725">
            <v>1.2931192660550399</v>
          </cell>
        </row>
        <row r="1726">
          <cell r="A1726" t="str">
            <v>122602</v>
          </cell>
          <cell r="B1726">
            <v>1607.75</v>
          </cell>
          <cell r="C1726">
            <v>2287.320972</v>
          </cell>
          <cell r="D1726">
            <v>1.2039312039312</v>
          </cell>
          <cell r="E1726">
            <v>55.238517999999999</v>
          </cell>
          <cell r="F1726">
            <v>0.34336609336609297</v>
          </cell>
          <cell r="G1726">
            <v>40.859152000000002</v>
          </cell>
          <cell r="H1726">
            <v>2.7210884353741398E-2</v>
          </cell>
          <cell r="I1726">
            <v>0.49415300000000001</v>
          </cell>
          <cell r="J1726">
            <v>3.0921459492888E-3</v>
          </cell>
          <cell r="K1726">
            <v>263.78654999999998</v>
          </cell>
          <cell r="L1726">
            <v>1.18804483188044</v>
          </cell>
          <cell r="M1726">
            <v>166.70063300000001</v>
          </cell>
          <cell r="N1726">
            <v>1.1127023661270199</v>
          </cell>
          <cell r="O1726">
            <v>140.89138800000001</v>
          </cell>
          <cell r="P1726">
            <v>1.2504731861198699</v>
          </cell>
          <cell r="Q1726">
            <v>140.89138800000001</v>
          </cell>
          <cell r="R1726">
            <v>1.2504731861198699</v>
          </cell>
          <cell r="S1726">
            <v>104.964158</v>
          </cell>
          <cell r="T1726">
            <v>1.07365079365079</v>
          </cell>
          <cell r="U1726">
            <v>104.964158</v>
          </cell>
          <cell r="V1726">
            <v>1.07365079365079</v>
          </cell>
        </row>
        <row r="1727">
          <cell r="A1727" t="str">
            <v>122701</v>
          </cell>
          <cell r="B1727">
            <v>30</v>
          </cell>
          <cell r="C1727">
            <v>273.53180900000001</v>
          </cell>
          <cell r="D1727">
            <v>1.84375</v>
          </cell>
          <cell r="E1727">
            <v>273.53180900000001</v>
          </cell>
          <cell r="F1727">
            <v>1.84375</v>
          </cell>
          <cell r="G1727">
            <v>260.211816</v>
          </cell>
          <cell r="H1727">
            <v>1</v>
          </cell>
          <cell r="I1727">
            <v>260.211816</v>
          </cell>
          <cell r="J1727">
            <v>1</v>
          </cell>
          <cell r="K1727">
            <v>88.404021999999998</v>
          </cell>
          <cell r="L1727">
            <v>0.10344827586206801</v>
          </cell>
          <cell r="M1727">
            <v>88.404021999999998</v>
          </cell>
          <cell r="N1727">
            <v>0.10344827586206801</v>
          </cell>
          <cell r="O1727">
            <v>0</v>
          </cell>
          <cell r="P1727">
            <v>0</v>
          </cell>
          <cell r="Q1727">
            <v>0</v>
          </cell>
          <cell r="R1727">
            <v>0</v>
          </cell>
          <cell r="S1727">
            <v>0</v>
          </cell>
          <cell r="T1727">
            <v>0</v>
          </cell>
          <cell r="U1727">
            <v>0</v>
          </cell>
          <cell r="V1727">
            <v>0</v>
          </cell>
        </row>
        <row r="1728">
          <cell r="A1728" t="str">
            <v>122702</v>
          </cell>
          <cell r="B1728">
            <v>35</v>
          </cell>
          <cell r="C1728">
            <v>997.79885999999999</v>
          </cell>
          <cell r="D1728">
            <v>4.5999999999999996</v>
          </cell>
          <cell r="E1728">
            <v>997.79885999999999</v>
          </cell>
          <cell r="F1728">
            <v>4.5999999999999996</v>
          </cell>
          <cell r="G1728">
            <v>238.44989100000001</v>
          </cell>
          <cell r="H1728">
            <v>1.13513513513513</v>
          </cell>
          <cell r="I1728">
            <v>238.44989100000001</v>
          </cell>
          <cell r="J1728">
            <v>1.13513513513513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3.7053759999999998</v>
          </cell>
          <cell r="P1728">
            <v>0.16129032258064499</v>
          </cell>
          <cell r="Q1728">
            <v>3.7053759999999998</v>
          </cell>
          <cell r="R1728">
            <v>0.16129032258064499</v>
          </cell>
          <cell r="S1728">
            <v>158.99322900000001</v>
          </cell>
          <cell r="T1728">
            <v>9.375E-2</v>
          </cell>
          <cell r="U1728">
            <v>158.99322900000001</v>
          </cell>
          <cell r="V1728">
            <v>9.375E-2</v>
          </cell>
        </row>
        <row r="1729">
          <cell r="A1729" t="str">
            <v>122703</v>
          </cell>
          <cell r="B1729">
            <v>830.11111100000005</v>
          </cell>
          <cell r="C1729">
            <v>444.39944700000001</v>
          </cell>
          <cell r="D1729">
            <v>2.15986394557823</v>
          </cell>
          <cell r="E1729">
            <v>134.377456</v>
          </cell>
          <cell r="F1729">
            <v>2.0419501133786802</v>
          </cell>
          <cell r="G1729">
            <v>217.27130500000001</v>
          </cell>
          <cell r="H1729">
            <v>1.01257142857142</v>
          </cell>
          <cell r="I1729">
            <v>217.27130500000001</v>
          </cell>
          <cell r="J1729">
            <v>1.01257142857142</v>
          </cell>
          <cell r="K1729">
            <v>661.27541399999996</v>
          </cell>
          <cell r="L1729">
            <v>0.16106604866743901</v>
          </cell>
          <cell r="M1729">
            <v>4.8904009999999998</v>
          </cell>
          <cell r="N1729">
            <v>4.0556199304750802E-2</v>
          </cell>
          <cell r="O1729">
            <v>420.74387400000001</v>
          </cell>
          <cell r="P1729">
            <v>1.25096030729833</v>
          </cell>
          <cell r="Q1729">
            <v>48.515343000000001</v>
          </cell>
          <cell r="R1729">
            <v>1.11779769526248</v>
          </cell>
          <cell r="S1729">
            <v>34.475712000000001</v>
          </cell>
          <cell r="T1729">
            <v>7.9015544041450697E-2</v>
          </cell>
          <cell r="U1729">
            <v>20.315328000000001</v>
          </cell>
          <cell r="V1729">
            <v>7.5129533678756397E-2</v>
          </cell>
        </row>
        <row r="1730">
          <cell r="A1730" t="str">
            <v>122704</v>
          </cell>
          <cell r="B1730">
            <v>1289.625</v>
          </cell>
          <cell r="C1730">
            <v>825.12606100000005</v>
          </cell>
          <cell r="D1730">
            <v>3.1104247104247098</v>
          </cell>
          <cell r="E1730">
            <v>154.673563</v>
          </cell>
          <cell r="F1730">
            <v>2.5822393822393801</v>
          </cell>
          <cell r="G1730">
            <v>792.29146400000002</v>
          </cell>
          <cell r="H1730">
            <v>1.37045630317092</v>
          </cell>
          <cell r="I1730">
            <v>92.263371000000006</v>
          </cell>
          <cell r="J1730">
            <v>0.23588553750966701</v>
          </cell>
          <cell r="K1730">
            <v>1763.6809499999999</v>
          </cell>
          <cell r="L1730">
            <v>0.76379176379176295</v>
          </cell>
          <cell r="M1730">
            <v>31.054894999999998</v>
          </cell>
          <cell r="N1730">
            <v>0.13752913752913701</v>
          </cell>
          <cell r="O1730">
            <v>1455.1704749999999</v>
          </cell>
          <cell r="P1730">
            <v>1.91575663026521</v>
          </cell>
          <cell r="Q1730">
            <v>1455.1704749999999</v>
          </cell>
          <cell r="R1730">
            <v>1.91575663026521</v>
          </cell>
          <cell r="S1730">
            <v>19.348144999999999</v>
          </cell>
          <cell r="T1730">
            <v>8.56031128404669E-2</v>
          </cell>
          <cell r="U1730">
            <v>19.348144999999999</v>
          </cell>
          <cell r="V1730">
            <v>8.56031128404669E-2</v>
          </cell>
        </row>
        <row r="1731">
          <cell r="A1731" t="str">
            <v>122705</v>
          </cell>
          <cell r="B1731">
            <v>1509.4</v>
          </cell>
          <cell r="C1731">
            <v>1239.229971</v>
          </cell>
          <cell r="D1731">
            <v>1.59669966996699</v>
          </cell>
          <cell r="E1731">
            <v>176.282489</v>
          </cell>
          <cell r="F1731">
            <v>1.02112211221122</v>
          </cell>
          <cell r="G1731">
            <v>295.19239599999997</v>
          </cell>
          <cell r="H1731">
            <v>0.63720316622691198</v>
          </cell>
          <cell r="I1731">
            <v>114.254282</v>
          </cell>
          <cell r="J1731">
            <v>0.47889182058047403</v>
          </cell>
          <cell r="K1731">
            <v>1871.622836</v>
          </cell>
          <cell r="L1731">
            <v>1.9490066225165501</v>
          </cell>
          <cell r="M1731">
            <v>502.288366</v>
          </cell>
          <cell r="N1731">
            <v>1.2920529801324501</v>
          </cell>
          <cell r="O1731">
            <v>210.120147</v>
          </cell>
          <cell r="P1731">
            <v>3.0576923076922999</v>
          </cell>
          <cell r="Q1731">
            <v>178.97715500000001</v>
          </cell>
          <cell r="R1731">
            <v>3.0305039787798398</v>
          </cell>
          <cell r="S1731">
            <v>264.66437400000001</v>
          </cell>
          <cell r="T1731">
            <v>0.94459279038718202</v>
          </cell>
          <cell r="U1731">
            <v>226.78848400000001</v>
          </cell>
          <cell r="V1731">
            <v>0.91655540720961204</v>
          </cell>
        </row>
        <row r="1732">
          <cell r="A1732" t="str">
            <v>122901</v>
          </cell>
          <cell r="B1732">
            <v>1471.2</v>
          </cell>
          <cell r="C1732">
            <v>620.27046700000005</v>
          </cell>
          <cell r="D1732">
            <v>0.58403954802259805</v>
          </cell>
          <cell r="E1732">
            <v>52.58934</v>
          </cell>
          <cell r="F1732">
            <v>0.42867231638418002</v>
          </cell>
          <cell r="G1732">
            <v>486.38546600000001</v>
          </cell>
          <cell r="H1732">
            <v>0.73638197713517095</v>
          </cell>
          <cell r="I1732">
            <v>72.791925000000006</v>
          </cell>
          <cell r="J1732">
            <v>0.198386012104909</v>
          </cell>
          <cell r="K1732">
            <v>725.09006199999999</v>
          </cell>
          <cell r="L1732">
            <v>2.44751009421265</v>
          </cell>
          <cell r="M1732">
            <v>391.92035600000003</v>
          </cell>
          <cell r="N1732">
            <v>2.1292059219380799</v>
          </cell>
          <cell r="O1732">
            <v>348.78713599999998</v>
          </cell>
          <cell r="P1732">
            <v>2.2829169480081002</v>
          </cell>
          <cell r="Q1732">
            <v>337.40460200000001</v>
          </cell>
          <cell r="R1732">
            <v>2.2768399729912199</v>
          </cell>
          <cell r="S1732">
            <v>718.67541300000005</v>
          </cell>
          <cell r="T1732">
            <v>2.5450874831763102</v>
          </cell>
          <cell r="U1732">
            <v>484.39843999999999</v>
          </cell>
          <cell r="V1732">
            <v>2.2247644683714598</v>
          </cell>
        </row>
        <row r="1733">
          <cell r="A1733" t="str">
            <v>122902</v>
          </cell>
          <cell r="B1733">
            <v>1173.8</v>
          </cell>
          <cell r="C1733">
            <v>28.496141999999999</v>
          </cell>
          <cell r="D1733">
            <v>0.183263598326359</v>
          </cell>
          <cell r="E1733">
            <v>21.460225000000001</v>
          </cell>
          <cell r="F1733">
            <v>0.13221757322175701</v>
          </cell>
          <cell r="G1733">
            <v>907.28669100000002</v>
          </cell>
          <cell r="H1733">
            <v>1.5092748735244499</v>
          </cell>
          <cell r="I1733">
            <v>39.039371000000003</v>
          </cell>
          <cell r="J1733">
            <v>0.42917369308600301</v>
          </cell>
          <cell r="K1733">
            <v>921.223929</v>
          </cell>
          <cell r="L1733">
            <v>3.89039932030586</v>
          </cell>
          <cell r="M1733">
            <v>900.99451899999997</v>
          </cell>
          <cell r="N1733">
            <v>3.84791843670348</v>
          </cell>
          <cell r="O1733">
            <v>178.91987</v>
          </cell>
          <cell r="P1733">
            <v>1.48497854077253</v>
          </cell>
          <cell r="Q1733">
            <v>174.43092899999999</v>
          </cell>
          <cell r="R1733">
            <v>1.48154506437768</v>
          </cell>
          <cell r="S1733">
            <v>476.92414100000002</v>
          </cell>
          <cell r="T1733">
            <v>1.3979057591623001</v>
          </cell>
          <cell r="U1733">
            <v>313.24490900000001</v>
          </cell>
          <cell r="V1733">
            <v>1.22949389179755</v>
          </cell>
        </row>
        <row r="1734">
          <cell r="A1734" t="str">
            <v>123101</v>
          </cell>
          <cell r="B1734">
            <v>351.6</v>
          </cell>
          <cell r="C1734">
            <v>3246.5951490000002</v>
          </cell>
          <cell r="D1734">
            <v>3.75852272727272</v>
          </cell>
          <cell r="E1734">
            <v>541.93724899999995</v>
          </cell>
          <cell r="F1734">
            <v>2.4289772727272698</v>
          </cell>
          <cell r="G1734">
            <v>107.953805</v>
          </cell>
          <cell r="H1734">
            <v>0.41477272727272702</v>
          </cell>
          <cell r="I1734">
            <v>54.942520999999999</v>
          </cell>
          <cell r="J1734">
            <v>0.27556818181818099</v>
          </cell>
          <cell r="K1734">
            <v>2687.5611100000001</v>
          </cell>
          <cell r="L1734">
            <v>4.5762711864406702</v>
          </cell>
          <cell r="M1734">
            <v>442.40150599999998</v>
          </cell>
          <cell r="N1734">
            <v>2.3983050847457599</v>
          </cell>
          <cell r="O1734">
            <v>305.90849800000001</v>
          </cell>
          <cell r="P1734">
            <v>2.1538461538461502</v>
          </cell>
          <cell r="Q1734">
            <v>223.41196500000001</v>
          </cell>
          <cell r="R1734">
            <v>1.6125356125356101</v>
          </cell>
          <cell r="S1734">
            <v>618.11337100000003</v>
          </cell>
          <cell r="T1734">
            <v>1.8997134670487099</v>
          </cell>
          <cell r="U1734">
            <v>394.10109799999998</v>
          </cell>
          <cell r="V1734">
            <v>1.71919770773638</v>
          </cell>
        </row>
        <row r="1735">
          <cell r="A1735" t="str">
            <v>123102</v>
          </cell>
          <cell r="B1735">
            <v>705</v>
          </cell>
          <cell r="C1735">
            <v>5360.6387379999996</v>
          </cell>
          <cell r="D1735">
            <v>11.123115577889401</v>
          </cell>
          <cell r="E1735">
            <v>1594.6052560000001</v>
          </cell>
          <cell r="F1735">
            <v>9.1934673366834101</v>
          </cell>
          <cell r="G1735">
            <v>527.80780800000002</v>
          </cell>
          <cell r="H1735">
            <v>3.58027812895069</v>
          </cell>
          <cell r="I1735">
            <v>522.96745399999998</v>
          </cell>
          <cell r="J1735">
            <v>3.5739570164348899</v>
          </cell>
          <cell r="K1735">
            <v>1458.5654219999999</v>
          </cell>
          <cell r="L1735">
            <v>3.1479140328697799</v>
          </cell>
          <cell r="M1735">
            <v>813.31664499999999</v>
          </cell>
          <cell r="N1735">
            <v>2.0821744627054302</v>
          </cell>
          <cell r="O1735">
            <v>300.45773200000002</v>
          </cell>
          <cell r="P1735">
            <v>1.36503856041131</v>
          </cell>
          <cell r="Q1735">
            <v>58.659210999999999</v>
          </cell>
          <cell r="R1735">
            <v>0.39331619537274998</v>
          </cell>
          <cell r="S1735">
            <v>1525.675401</v>
          </cell>
          <cell r="T1735">
            <v>6.0743155149934802</v>
          </cell>
          <cell r="U1735">
            <v>1108.949934</v>
          </cell>
          <cell r="V1735">
            <v>5.7340286831812204</v>
          </cell>
        </row>
        <row r="1736">
          <cell r="A1736" t="str">
            <v>123201</v>
          </cell>
          <cell r="B1736">
            <v>1</v>
          </cell>
          <cell r="C1736">
            <v>340.08781699999997</v>
          </cell>
          <cell r="D1736">
            <v>1</v>
          </cell>
          <cell r="E1736">
            <v>340.08781699999997</v>
          </cell>
          <cell r="F1736">
            <v>1</v>
          </cell>
          <cell r="G1736">
            <v>0</v>
          </cell>
          <cell r="H1736">
            <v>0</v>
          </cell>
          <cell r="I1736">
            <v>0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  <cell r="N1736">
            <v>0</v>
          </cell>
          <cell r="O1736">
            <v>177.8</v>
          </cell>
          <cell r="P1736">
            <v>1</v>
          </cell>
          <cell r="Q1736">
            <v>177.8</v>
          </cell>
          <cell r="R1736">
            <v>1</v>
          </cell>
          <cell r="S1736">
            <v>0</v>
          </cell>
          <cell r="T1736">
            <v>0</v>
          </cell>
          <cell r="U1736">
            <v>0</v>
          </cell>
          <cell r="V1736">
            <v>0</v>
          </cell>
        </row>
        <row r="1737">
          <cell r="A1737" t="str">
            <v>123301</v>
          </cell>
          <cell r="B1737">
            <v>620</v>
          </cell>
          <cell r="C1737">
            <v>596.16137900000001</v>
          </cell>
          <cell r="D1737">
            <v>0.94312796208530802</v>
          </cell>
          <cell r="E1737">
            <v>184.94469599999999</v>
          </cell>
          <cell r="F1737">
            <v>0.73933649289099501</v>
          </cell>
          <cell r="G1737">
            <v>541.74867900000004</v>
          </cell>
          <cell r="H1737">
            <v>1.68562401263823</v>
          </cell>
          <cell r="I1737">
            <v>541.42734599999994</v>
          </cell>
          <cell r="J1737">
            <v>1.6824644549762999</v>
          </cell>
          <cell r="K1737">
            <v>1596.152531</v>
          </cell>
          <cell r="L1737">
            <v>1.70569620253164</v>
          </cell>
          <cell r="M1737">
            <v>248.926661</v>
          </cell>
          <cell r="N1737">
            <v>0.504746835443037</v>
          </cell>
          <cell r="O1737">
            <v>1406.378422</v>
          </cell>
          <cell r="P1737">
            <v>1.6464471403812799</v>
          </cell>
          <cell r="Q1737">
            <v>164.05852100000001</v>
          </cell>
          <cell r="R1737">
            <v>0.92894280762564896</v>
          </cell>
          <cell r="S1737">
            <v>573.42690600000003</v>
          </cell>
          <cell r="T1737">
            <v>1.4128000000000001</v>
          </cell>
          <cell r="U1737">
            <v>68.721892999999994</v>
          </cell>
          <cell r="V1737">
            <v>0.2656</v>
          </cell>
        </row>
        <row r="1738">
          <cell r="A1738" t="str">
            <v>123302</v>
          </cell>
          <cell r="B1738">
            <v>537.4</v>
          </cell>
          <cell r="C1738">
            <v>739.87826399999994</v>
          </cell>
          <cell r="D1738">
            <v>2.7269736842105199</v>
          </cell>
          <cell r="E1738">
            <v>673.66236500000002</v>
          </cell>
          <cell r="F1738">
            <v>2.2565789473684199</v>
          </cell>
          <cell r="G1738">
            <v>48.951981000000004</v>
          </cell>
          <cell r="H1738">
            <v>0.15973377703826899</v>
          </cell>
          <cell r="I1738">
            <v>46.843387</v>
          </cell>
          <cell r="J1738">
            <v>0.14808652246256199</v>
          </cell>
          <cell r="K1738">
            <v>1329.6627510000001</v>
          </cell>
          <cell r="L1738">
            <v>2.2248322147651001</v>
          </cell>
          <cell r="M1738">
            <v>23.788869999999999</v>
          </cell>
          <cell r="N1738">
            <v>0.21979865771811999</v>
          </cell>
          <cell r="O1738">
            <v>349.46357899999998</v>
          </cell>
          <cell r="P1738">
            <v>1.0437710437710399</v>
          </cell>
          <cell r="Q1738">
            <v>304.25614400000001</v>
          </cell>
          <cell r="R1738">
            <v>1.006734006734</v>
          </cell>
          <cell r="S1738">
            <v>257.27528100000001</v>
          </cell>
          <cell r="T1738">
            <v>2.2466216216216202</v>
          </cell>
          <cell r="U1738">
            <v>190.76103599999999</v>
          </cell>
          <cell r="V1738">
            <v>1.2027027027027</v>
          </cell>
        </row>
        <row r="1739">
          <cell r="A1739" t="str">
            <v>123601</v>
          </cell>
          <cell r="B1739">
            <v>394.4</v>
          </cell>
          <cell r="C1739">
            <v>100.909891</v>
          </cell>
          <cell r="D1739">
            <v>0.59445843828715295</v>
          </cell>
          <cell r="E1739">
            <v>100.295282</v>
          </cell>
          <cell r="F1739">
            <v>0.59193954659949599</v>
          </cell>
          <cell r="G1739">
            <v>290.89881600000001</v>
          </cell>
          <cell r="H1739">
            <v>2.2398989898989798</v>
          </cell>
          <cell r="I1739">
            <v>216.35392200000001</v>
          </cell>
          <cell r="J1739">
            <v>1.37878787878787</v>
          </cell>
          <cell r="K1739">
            <v>4049.9662429999998</v>
          </cell>
          <cell r="L1739">
            <v>6.7291139240506297</v>
          </cell>
          <cell r="M1739">
            <v>2478.7132059999999</v>
          </cell>
          <cell r="N1739">
            <v>4.6329113924050596</v>
          </cell>
          <cell r="O1739">
            <v>1090.5894659999999</v>
          </cell>
          <cell r="P1739">
            <v>3.0228426395938999</v>
          </cell>
          <cell r="Q1739">
            <v>861.30575199999998</v>
          </cell>
          <cell r="R1739">
            <v>2.56852791878172</v>
          </cell>
          <cell r="S1739">
            <v>1416.363973</v>
          </cell>
          <cell r="T1739">
            <v>4.1307692307692303</v>
          </cell>
          <cell r="U1739">
            <v>586.94252100000006</v>
          </cell>
          <cell r="V1739">
            <v>2.0230769230769199</v>
          </cell>
        </row>
        <row r="1740">
          <cell r="A1740" t="str">
            <v>123602</v>
          </cell>
          <cell r="B1740">
            <v>211.2</v>
          </cell>
          <cell r="C1740">
            <v>701.78336999999999</v>
          </cell>
          <cell r="D1740">
            <v>0.92093023255813899</v>
          </cell>
          <cell r="E1740">
            <v>127.084052</v>
          </cell>
          <cell r="F1740">
            <v>0.52558139534883697</v>
          </cell>
          <cell r="G1740">
            <v>269.57871799999998</v>
          </cell>
          <cell r="H1740">
            <v>0.85238095238095202</v>
          </cell>
          <cell r="I1740">
            <v>248.87587099999999</v>
          </cell>
          <cell r="J1740">
            <v>0.82380952380952299</v>
          </cell>
          <cell r="K1740">
            <v>1314.8342090000001</v>
          </cell>
          <cell r="L1740">
            <v>4.12918660287081</v>
          </cell>
          <cell r="M1740">
            <v>847.24752699999999</v>
          </cell>
          <cell r="N1740">
            <v>3.4306220095693698</v>
          </cell>
          <cell r="O1740">
            <v>831.03875500000004</v>
          </cell>
          <cell r="P1740">
            <v>1.8564593301435399</v>
          </cell>
          <cell r="Q1740">
            <v>451.24306200000001</v>
          </cell>
          <cell r="R1740">
            <v>1.4976076555023901</v>
          </cell>
          <cell r="S1740">
            <v>2011.242017</v>
          </cell>
          <cell r="T1740">
            <v>7.5352112676056304</v>
          </cell>
          <cell r="U1740">
            <v>1503.90219</v>
          </cell>
          <cell r="V1740">
            <v>6.5258215962441302</v>
          </cell>
        </row>
        <row r="1741">
          <cell r="A1741" t="str">
            <v>123701</v>
          </cell>
          <cell r="B1741">
            <v>2012.6</v>
          </cell>
          <cell r="C1741">
            <v>3.0233699999999999</v>
          </cell>
          <cell r="D1741">
            <v>7.0038910505836494E-2</v>
          </cell>
          <cell r="E1741">
            <v>2.8335149999999998</v>
          </cell>
          <cell r="F1741">
            <v>6.0797665369649798E-2</v>
          </cell>
          <cell r="G1741">
            <v>1429.9611050000001</v>
          </cell>
          <cell r="H1741">
            <v>3.0962962962962899</v>
          </cell>
          <cell r="I1741">
            <v>242.78915599999999</v>
          </cell>
          <cell r="J1741">
            <v>1.4049382716049299</v>
          </cell>
          <cell r="K1741">
            <v>525.47694100000001</v>
          </cell>
          <cell r="L1741">
            <v>1.82364629905613</v>
          </cell>
          <cell r="M1741">
            <v>327.14259800000002</v>
          </cell>
          <cell r="N1741">
            <v>1.5668156979632299</v>
          </cell>
          <cell r="O1741">
            <v>131.35992999999999</v>
          </cell>
          <cell r="P1741">
            <v>1.1315261044176701</v>
          </cell>
          <cell r="Q1741">
            <v>131.210734</v>
          </cell>
          <cell r="R1741">
            <v>1.1255020080321201</v>
          </cell>
          <cell r="S1741">
            <v>503.79275699999999</v>
          </cell>
          <cell r="T1741">
            <v>1.40920586747597</v>
          </cell>
          <cell r="U1741">
            <v>322.39728500000001</v>
          </cell>
          <cell r="V1741">
            <v>1.27516439049064</v>
          </cell>
        </row>
        <row r="1742">
          <cell r="A1742" t="str">
            <v>123702</v>
          </cell>
          <cell r="B1742">
            <v>2</v>
          </cell>
          <cell r="C1742">
            <v>0</v>
          </cell>
          <cell r="D1742">
            <v>0</v>
          </cell>
          <cell r="E1742">
            <v>0</v>
          </cell>
          <cell r="F1742">
            <v>0</v>
          </cell>
          <cell r="G1742">
            <v>0</v>
          </cell>
          <cell r="H1742">
            <v>0</v>
          </cell>
          <cell r="I1742">
            <v>0</v>
          </cell>
          <cell r="J1742">
            <v>0</v>
          </cell>
          <cell r="K1742">
            <v>169</v>
          </cell>
          <cell r="L1742">
            <v>1</v>
          </cell>
          <cell r="M1742">
            <v>169</v>
          </cell>
          <cell r="N1742">
            <v>1</v>
          </cell>
          <cell r="O1742">
            <v>121</v>
          </cell>
          <cell r="P1742">
            <v>1</v>
          </cell>
          <cell r="Q1742">
            <v>121</v>
          </cell>
          <cell r="R1742">
            <v>1</v>
          </cell>
          <cell r="S1742">
            <v>201.86666600000001</v>
          </cell>
          <cell r="T1742">
            <v>1</v>
          </cell>
          <cell r="U1742">
            <v>201.86666600000001</v>
          </cell>
          <cell r="V1742">
            <v>1</v>
          </cell>
        </row>
        <row r="1743">
          <cell r="A1743" t="str">
            <v>124201</v>
          </cell>
          <cell r="B1743">
            <v>2960</v>
          </cell>
          <cell r="C1743">
            <v>67.857308000000003</v>
          </cell>
          <cell r="D1743">
            <v>0.91782246879334195</v>
          </cell>
          <cell r="E1743">
            <v>67.857308000000003</v>
          </cell>
          <cell r="F1743">
            <v>0.91782246879334195</v>
          </cell>
          <cell r="G1743">
            <v>225.31502699999999</v>
          </cell>
          <cell r="H1743">
            <v>0.88514920194309499</v>
          </cell>
          <cell r="I1743">
            <v>21.088995000000001</v>
          </cell>
          <cell r="J1743">
            <v>0.10062456627342101</v>
          </cell>
          <cell r="K1743">
            <v>2010.2275119999999</v>
          </cell>
          <cell r="L1743">
            <v>2.6372173913043402</v>
          </cell>
          <cell r="M1743">
            <v>124.90152399999999</v>
          </cell>
          <cell r="N1743">
            <v>0.55652173913043401</v>
          </cell>
          <cell r="O1743">
            <v>180.22658100000001</v>
          </cell>
          <cell r="P1743">
            <v>0.94218042493904497</v>
          </cell>
          <cell r="Q1743">
            <v>176.49360799999999</v>
          </cell>
          <cell r="R1743">
            <v>0.91710205503308895</v>
          </cell>
          <cell r="S1743">
            <v>150.21166600000001</v>
          </cell>
          <cell r="T1743">
            <v>1.0618461538461501</v>
          </cell>
          <cell r="U1743">
            <v>112.18601</v>
          </cell>
          <cell r="V1743">
            <v>1.03353846153846</v>
          </cell>
        </row>
        <row r="1744">
          <cell r="A1744" t="str">
            <v>124202</v>
          </cell>
          <cell r="B1744">
            <v>125.833333</v>
          </cell>
          <cell r="C1744">
            <v>5.5414890000000003</v>
          </cell>
          <cell r="D1744">
            <v>1.5267175572519E-2</v>
          </cell>
          <cell r="E1744">
            <v>5.5414890000000003</v>
          </cell>
          <cell r="F1744">
            <v>1.5267175572519E-2</v>
          </cell>
          <cell r="G1744">
            <v>2152.8311939999999</v>
          </cell>
          <cell r="H1744">
            <v>4.3076923076923004</v>
          </cell>
          <cell r="I1744">
            <v>204.82414499999999</v>
          </cell>
          <cell r="J1744">
            <v>1.2846153846153801</v>
          </cell>
          <cell r="K1744">
            <v>202.818974</v>
          </cell>
          <cell r="L1744">
            <v>1.53076923076923</v>
          </cell>
          <cell r="M1744">
            <v>202.818974</v>
          </cell>
          <cell r="N1744">
            <v>1.53076923076923</v>
          </cell>
          <cell r="O1744">
            <v>161.399236</v>
          </cell>
          <cell r="P1744">
            <v>1.3206106870229</v>
          </cell>
          <cell r="Q1744">
            <v>161.399236</v>
          </cell>
          <cell r="R1744">
            <v>1.3206106870229</v>
          </cell>
          <cell r="S1744">
            <v>2203.6326859999999</v>
          </cell>
          <cell r="T1744">
            <v>14.4660194174757</v>
          </cell>
          <cell r="U1744">
            <v>2203.6326859999999</v>
          </cell>
          <cell r="V1744">
            <v>14.4660194174757</v>
          </cell>
        </row>
        <row r="1745">
          <cell r="A1745" t="str">
            <v>124203</v>
          </cell>
          <cell r="B1745">
            <v>521.79999999999995</v>
          </cell>
          <cell r="C1745">
            <v>10.220371999999999</v>
          </cell>
          <cell r="D1745">
            <v>1.7045454545454499E-2</v>
          </cell>
          <cell r="E1745">
            <v>10.220371999999999</v>
          </cell>
          <cell r="F1745">
            <v>1.7045454545454499E-2</v>
          </cell>
          <cell r="G1745">
            <v>51.037744000000004</v>
          </cell>
          <cell r="H1745">
            <v>0.34225621414913898</v>
          </cell>
          <cell r="I1745">
            <v>51.037744000000004</v>
          </cell>
          <cell r="J1745">
            <v>0.34225621414913898</v>
          </cell>
          <cell r="K1745">
            <v>0</v>
          </cell>
          <cell r="L1745">
            <v>0</v>
          </cell>
          <cell r="M1745">
            <v>0</v>
          </cell>
          <cell r="N1745">
            <v>0</v>
          </cell>
          <cell r="O1745">
            <v>12.255727</v>
          </cell>
          <cell r="P1745">
            <v>0.237451737451737</v>
          </cell>
          <cell r="Q1745">
            <v>12.255727</v>
          </cell>
          <cell r="R1745">
            <v>0.237451737451737</v>
          </cell>
          <cell r="S1745">
            <v>347.151634</v>
          </cell>
          <cell r="T1745">
            <v>1.74807692307692</v>
          </cell>
          <cell r="U1745">
            <v>236.435801</v>
          </cell>
          <cell r="V1745">
            <v>1.5115384615384599</v>
          </cell>
        </row>
        <row r="1746">
          <cell r="A1746" t="str">
            <v>124204</v>
          </cell>
          <cell r="B1746">
            <v>2161.1111110000002</v>
          </cell>
          <cell r="C1746">
            <v>45.091468999999996</v>
          </cell>
          <cell r="D1746">
            <v>0.16221198156682001</v>
          </cell>
          <cell r="E1746">
            <v>45.091468999999996</v>
          </cell>
          <cell r="F1746">
            <v>0.16221198156682001</v>
          </cell>
          <cell r="G1746">
            <v>111.232311</v>
          </cell>
          <cell r="H1746">
            <v>0.46823204419889503</v>
          </cell>
          <cell r="I1746">
            <v>97.327021000000002</v>
          </cell>
          <cell r="J1746">
            <v>0.437384898710865</v>
          </cell>
          <cell r="K1746">
            <v>1030.3007990000001</v>
          </cell>
          <cell r="L1746">
            <v>1.5285977859778499</v>
          </cell>
          <cell r="M1746">
            <v>145.686093</v>
          </cell>
          <cell r="N1746">
            <v>0.51614391143911398</v>
          </cell>
          <cell r="O1746">
            <v>83.967308000000003</v>
          </cell>
          <cell r="P1746">
            <v>0.31490942870413302</v>
          </cell>
          <cell r="Q1746">
            <v>54.994920999999998</v>
          </cell>
          <cell r="R1746">
            <v>0.21969345099860599</v>
          </cell>
          <cell r="S1746">
            <v>2080.5393789999998</v>
          </cell>
          <cell r="T1746">
            <v>2.68095016301816</v>
          </cell>
          <cell r="U1746">
            <v>386.87431199999997</v>
          </cell>
          <cell r="V1746">
            <v>1.4555193292966899</v>
          </cell>
        </row>
        <row r="1747">
          <cell r="A1747" t="str">
            <v>124205</v>
          </cell>
          <cell r="B1747">
            <v>1202.75</v>
          </cell>
          <cell r="C1747">
            <v>131.22907799999999</v>
          </cell>
          <cell r="D1747">
            <v>0.73438735177865599</v>
          </cell>
          <cell r="E1747">
            <v>131.22907799999999</v>
          </cell>
          <cell r="F1747">
            <v>0.73438735177865599</v>
          </cell>
          <cell r="G1747">
            <v>48.149687999999998</v>
          </cell>
          <cell r="H1747">
            <v>0.39763779527559001</v>
          </cell>
          <cell r="I1747">
            <v>47.551786999999997</v>
          </cell>
          <cell r="J1747">
            <v>0.39685039370078701</v>
          </cell>
          <cell r="K1747">
            <v>834.05500800000004</v>
          </cell>
          <cell r="L1747">
            <v>6.1856805664830796</v>
          </cell>
          <cell r="M1747">
            <v>831.822541</v>
          </cell>
          <cell r="N1747">
            <v>6.1841070023603404</v>
          </cell>
          <cell r="O1747">
            <v>4.2426110000000001</v>
          </cell>
          <cell r="P1747">
            <v>3.2513877874702599E-2</v>
          </cell>
          <cell r="Q1747">
            <v>4.2426110000000001</v>
          </cell>
          <cell r="R1747">
            <v>3.2513877874702599E-2</v>
          </cell>
          <cell r="S1747">
            <v>1096.230055</v>
          </cell>
          <cell r="T1747">
            <v>1.5938430983118099</v>
          </cell>
          <cell r="U1747">
            <v>36.526381000000001</v>
          </cell>
          <cell r="V1747">
            <v>0.33167825223435898</v>
          </cell>
        </row>
        <row r="1748">
          <cell r="A1748" t="str">
            <v>124402</v>
          </cell>
          <cell r="B1748">
            <v>1318.8</v>
          </cell>
          <cell r="C1748">
            <v>2871.8225790000001</v>
          </cell>
          <cell r="D1748">
            <v>1.1310606060606001</v>
          </cell>
          <cell r="E1748">
            <v>43.535353000000001</v>
          </cell>
          <cell r="F1748">
            <v>0.100757575757575</v>
          </cell>
          <cell r="G1748">
            <v>63.189872000000001</v>
          </cell>
          <cell r="H1748">
            <v>0.50757575757575701</v>
          </cell>
          <cell r="I1748">
            <v>62.989696000000002</v>
          </cell>
          <cell r="J1748">
            <v>0.50681818181818095</v>
          </cell>
          <cell r="K1748">
            <v>50.341515000000001</v>
          </cell>
          <cell r="L1748">
            <v>0.37707390648567102</v>
          </cell>
          <cell r="M1748">
            <v>32.374409</v>
          </cell>
          <cell r="N1748">
            <v>0.36349924585218701</v>
          </cell>
          <cell r="O1748">
            <v>33.918377999999997</v>
          </cell>
          <cell r="P1748">
            <v>9.0634441087613205E-2</v>
          </cell>
          <cell r="Q1748">
            <v>9.2979099999999999</v>
          </cell>
          <cell r="R1748">
            <v>7.7794561933534706E-2</v>
          </cell>
          <cell r="S1748">
            <v>36.983243000000002</v>
          </cell>
          <cell r="T1748">
            <v>0.17868098159509199</v>
          </cell>
          <cell r="U1748">
            <v>36.575344999999999</v>
          </cell>
          <cell r="V1748">
            <v>0.17791411042944699</v>
          </cell>
        </row>
        <row r="1749">
          <cell r="A1749" t="str">
            <v>124403</v>
          </cell>
          <cell r="B1749">
            <v>10</v>
          </cell>
          <cell r="C1749">
            <v>0</v>
          </cell>
          <cell r="D1749">
            <v>0</v>
          </cell>
          <cell r="E1749">
            <v>0</v>
          </cell>
          <cell r="F1749">
            <v>0</v>
          </cell>
          <cell r="G1749">
            <v>0</v>
          </cell>
          <cell r="H1749">
            <v>0</v>
          </cell>
          <cell r="I1749">
            <v>0</v>
          </cell>
          <cell r="J1749">
            <v>0</v>
          </cell>
          <cell r="K1749">
            <v>94.396665999999996</v>
          </cell>
          <cell r="L1749">
            <v>0.1</v>
          </cell>
          <cell r="M1749">
            <v>94.396665999999996</v>
          </cell>
          <cell r="N1749">
            <v>0.1</v>
          </cell>
          <cell r="O1749">
            <v>0</v>
          </cell>
          <cell r="P1749">
            <v>0</v>
          </cell>
          <cell r="Q1749">
            <v>0</v>
          </cell>
          <cell r="R1749">
            <v>0</v>
          </cell>
          <cell r="S1749">
            <v>0</v>
          </cell>
          <cell r="T1749">
            <v>0</v>
          </cell>
          <cell r="U1749">
            <v>0</v>
          </cell>
          <cell r="V1749">
            <v>0</v>
          </cell>
        </row>
        <row r="1750">
          <cell r="A1750" t="str">
            <v>124501</v>
          </cell>
          <cell r="B1750">
            <v>1732.444444</v>
          </cell>
          <cell r="C1750">
            <v>293.58838100000003</v>
          </cell>
          <cell r="D1750">
            <v>2.2248427672955899</v>
          </cell>
          <cell r="E1750">
            <v>293.58838100000003</v>
          </cell>
          <cell r="F1750">
            <v>2.2248427672955899</v>
          </cell>
          <cell r="G1750">
            <v>1023.541979</v>
          </cell>
          <cell r="H1750">
            <v>1.1283704572098401</v>
          </cell>
          <cell r="I1750">
            <v>103.432023</v>
          </cell>
          <cell r="J1750">
            <v>0.49648300117233202</v>
          </cell>
          <cell r="K1750">
            <v>1090.2960390000001</v>
          </cell>
          <cell r="L1750">
            <v>1.7623762376237599</v>
          </cell>
          <cell r="M1750">
            <v>313.52069499999999</v>
          </cell>
          <cell r="N1750">
            <v>1.42108328479906</v>
          </cell>
          <cell r="O1750">
            <v>1438.724751</v>
          </cell>
          <cell r="P1750">
            <v>1.82136602451838</v>
          </cell>
          <cell r="Q1750">
            <v>161.706771</v>
          </cell>
          <cell r="R1750">
            <v>0.93111500291885496</v>
          </cell>
          <cell r="S1750">
            <v>686.28445599999998</v>
          </cell>
          <cell r="T1750">
            <v>4.1781946072684599</v>
          </cell>
          <cell r="U1750">
            <v>656.8809</v>
          </cell>
          <cell r="V1750">
            <v>4.1582649472450104</v>
          </cell>
        </row>
        <row r="1751">
          <cell r="A1751" t="str">
            <v>124502</v>
          </cell>
          <cell r="B1751">
            <v>1954.6666660000001</v>
          </cell>
          <cell r="C1751">
            <v>103.084335</v>
          </cell>
          <cell r="D1751">
            <v>0.52602040816326501</v>
          </cell>
          <cell r="E1751">
            <v>103.084335</v>
          </cell>
          <cell r="F1751">
            <v>0.52602040816326501</v>
          </cell>
          <cell r="G1751">
            <v>2118.179619</v>
          </cell>
          <cell r="H1751">
            <v>2.58371501272264</v>
          </cell>
          <cell r="I1751">
            <v>859.53253600000005</v>
          </cell>
          <cell r="J1751">
            <v>1.72264631043256</v>
          </cell>
          <cell r="K1751">
            <v>1250.622165</v>
          </cell>
          <cell r="L1751">
            <v>2.69293340111845</v>
          </cell>
          <cell r="M1751">
            <v>394.57847800000002</v>
          </cell>
          <cell r="N1751">
            <v>2.16217590238942</v>
          </cell>
          <cell r="O1751">
            <v>293.33288199999998</v>
          </cell>
          <cell r="P1751">
            <v>1.0677879714576901</v>
          </cell>
          <cell r="Q1751">
            <v>110.33450499999999</v>
          </cell>
          <cell r="R1751">
            <v>0.87257900101936703</v>
          </cell>
          <cell r="S1751">
            <v>626.15488100000005</v>
          </cell>
          <cell r="T1751">
            <v>2.5998959417273602</v>
          </cell>
          <cell r="U1751">
            <v>619.27192100000002</v>
          </cell>
          <cell r="V1751">
            <v>2.5411030176898999</v>
          </cell>
        </row>
        <row r="1752">
          <cell r="A1752" t="str">
            <v>124701</v>
          </cell>
          <cell r="B1752">
            <v>233.22222199999999</v>
          </cell>
          <cell r="C1752">
            <v>85.715305999999998</v>
          </cell>
          <cell r="D1752">
            <v>0.579399141630901</v>
          </cell>
          <cell r="E1752">
            <v>85.715305999999998</v>
          </cell>
          <cell r="F1752">
            <v>0.579399141630901</v>
          </cell>
          <cell r="G1752">
            <v>640.45093699999995</v>
          </cell>
          <cell r="H1752">
            <v>3.17372881355932</v>
          </cell>
          <cell r="I1752">
            <v>498.69160299999999</v>
          </cell>
          <cell r="J1752">
            <v>2.8771186440677901</v>
          </cell>
          <cell r="K1752">
            <v>3090.6511340000002</v>
          </cell>
          <cell r="L1752">
            <v>2.5787234042553102</v>
          </cell>
          <cell r="M1752">
            <v>342.12687899999997</v>
          </cell>
          <cell r="N1752">
            <v>0.74468085106382897</v>
          </cell>
          <cell r="O1752">
            <v>150.74472800000001</v>
          </cell>
          <cell r="P1752">
            <v>0.42307692307692302</v>
          </cell>
          <cell r="Q1752">
            <v>20.454415000000001</v>
          </cell>
          <cell r="R1752">
            <v>0.26495726495726402</v>
          </cell>
          <cell r="S1752">
            <v>277.255628</v>
          </cell>
          <cell r="T1752">
            <v>1.2719298245613999</v>
          </cell>
          <cell r="U1752">
            <v>146.755336</v>
          </cell>
          <cell r="V1752">
            <v>1.0263157894736801</v>
          </cell>
        </row>
        <row r="1753">
          <cell r="A1753" t="str">
            <v>124702</v>
          </cell>
          <cell r="B1753">
            <v>127.125</v>
          </cell>
          <cell r="C1753">
            <v>42.524723999999999</v>
          </cell>
          <cell r="D1753">
            <v>0.23622047244094399</v>
          </cell>
          <cell r="E1753">
            <v>42.524723999999999</v>
          </cell>
          <cell r="F1753">
            <v>0.23622047244094399</v>
          </cell>
          <cell r="G1753">
            <v>25.979946000000002</v>
          </cell>
          <cell r="H1753">
            <v>0.1484375</v>
          </cell>
          <cell r="I1753">
            <v>25.979946000000002</v>
          </cell>
          <cell r="J1753">
            <v>0.1484375</v>
          </cell>
          <cell r="K1753">
            <v>5413.2772960000002</v>
          </cell>
          <cell r="L1753">
            <v>3.6299212598425101</v>
          </cell>
          <cell r="M1753">
            <v>43.741731999999999</v>
          </cell>
          <cell r="N1753">
            <v>0.23622047244094399</v>
          </cell>
          <cell r="O1753">
            <v>19.904067000000001</v>
          </cell>
          <cell r="P1753">
            <v>0.33858267716535401</v>
          </cell>
          <cell r="Q1753">
            <v>3.5593170000000001</v>
          </cell>
          <cell r="R1753">
            <v>3.1496062992125901E-2</v>
          </cell>
          <cell r="S1753">
            <v>51.223751999999998</v>
          </cell>
          <cell r="T1753">
            <v>0.36220472440944801</v>
          </cell>
          <cell r="U1753">
            <v>41.636482000000001</v>
          </cell>
          <cell r="V1753">
            <v>0.29921259842519599</v>
          </cell>
        </row>
        <row r="1754">
          <cell r="A1754" t="str">
            <v>125101</v>
          </cell>
          <cell r="B1754">
            <v>1067.8</v>
          </cell>
          <cell r="C1754">
            <v>256.90660000000003</v>
          </cell>
          <cell r="D1754">
            <v>1.61290322580645</v>
          </cell>
          <cell r="E1754">
            <v>149.05287100000001</v>
          </cell>
          <cell r="F1754">
            <v>1.45483870967741</v>
          </cell>
          <cell r="G1754">
            <v>706.28912700000001</v>
          </cell>
          <cell r="H1754">
            <v>2.4198746642793099</v>
          </cell>
          <cell r="I1754">
            <v>108.97615</v>
          </cell>
          <cell r="J1754">
            <v>1.3724261414503101</v>
          </cell>
          <cell r="K1754">
            <v>323.92635899999999</v>
          </cell>
          <cell r="L1754">
            <v>1.9314697926059501</v>
          </cell>
          <cell r="M1754">
            <v>150.56333000000001</v>
          </cell>
          <cell r="N1754">
            <v>1.2128043282236201</v>
          </cell>
          <cell r="O1754">
            <v>17.806889000000002</v>
          </cell>
          <cell r="P1754">
            <v>0.10244786944696201</v>
          </cell>
          <cell r="Q1754">
            <v>10.431488999999999</v>
          </cell>
          <cell r="R1754">
            <v>7.34360834088848E-2</v>
          </cell>
          <cell r="S1754">
            <v>171.26759200000001</v>
          </cell>
          <cell r="T1754">
            <v>1.6509259259259199</v>
          </cell>
          <cell r="U1754">
            <v>167.942577</v>
          </cell>
          <cell r="V1754">
            <v>1.6472222222222199</v>
          </cell>
        </row>
        <row r="1755">
          <cell r="A1755" t="str">
            <v>125102</v>
          </cell>
          <cell r="B1755">
            <v>863.8</v>
          </cell>
          <cell r="C1755">
            <v>619.03536099999997</v>
          </cell>
          <cell r="D1755">
            <v>1.26171428571428</v>
          </cell>
          <cell r="E1755">
            <v>100.936528</v>
          </cell>
          <cell r="F1755">
            <v>0.90057142857142802</v>
          </cell>
          <cell r="G1755">
            <v>1464.0681050000001</v>
          </cell>
          <cell r="H1755">
            <v>4.3569794050343198</v>
          </cell>
          <cell r="I1755">
            <v>301.25662699999998</v>
          </cell>
          <cell r="J1755">
            <v>2.8409610983981599</v>
          </cell>
          <cell r="K1755">
            <v>507.30645099999998</v>
          </cell>
          <cell r="L1755">
            <v>1.8847926267281101</v>
          </cell>
          <cell r="M1755">
            <v>241.187634</v>
          </cell>
          <cell r="N1755">
            <v>1.7165898617511499</v>
          </cell>
          <cell r="O1755">
            <v>67.261296999999999</v>
          </cell>
          <cell r="P1755">
            <v>0.41046511627906901</v>
          </cell>
          <cell r="Q1755">
            <v>64.610405999999998</v>
          </cell>
          <cell r="R1755">
            <v>0.39302325581395298</v>
          </cell>
          <cell r="S1755">
            <v>696.29034000000001</v>
          </cell>
          <cell r="T1755">
            <v>2.7755344418052199</v>
          </cell>
          <cell r="U1755">
            <v>201.56785400000001</v>
          </cell>
          <cell r="V1755">
            <v>2.3907363420427501</v>
          </cell>
        </row>
        <row r="1756">
          <cell r="A1756" t="str">
            <v>125201</v>
          </cell>
          <cell r="B1756">
            <v>1082.4000000000001</v>
          </cell>
          <cell r="C1756">
            <v>4905.0095110000002</v>
          </cell>
          <cell r="D1756">
            <v>3.7912087912087902</v>
          </cell>
          <cell r="E1756">
            <v>138.90247500000001</v>
          </cell>
          <cell r="F1756">
            <v>0.60622710622710596</v>
          </cell>
          <cell r="G1756">
            <v>261.52902999999998</v>
          </cell>
          <cell r="H1756">
            <v>2.2104779411764701</v>
          </cell>
          <cell r="I1756">
            <v>116.712478</v>
          </cell>
          <cell r="J1756">
            <v>2.140625</v>
          </cell>
          <cell r="K1756">
            <v>56.293129999999998</v>
          </cell>
          <cell r="L1756">
            <v>0.25666973321067099</v>
          </cell>
          <cell r="M1756">
            <v>30.191168000000001</v>
          </cell>
          <cell r="N1756">
            <v>0.21343146274149</v>
          </cell>
          <cell r="O1756">
            <v>52.344531000000003</v>
          </cell>
          <cell r="P1756">
            <v>0.40037071362372501</v>
          </cell>
          <cell r="Q1756">
            <v>42.127246999999997</v>
          </cell>
          <cell r="R1756">
            <v>0.36886005560704299</v>
          </cell>
          <cell r="S1756">
            <v>488.79175900000001</v>
          </cell>
          <cell r="T1756">
            <v>1.2776735459662201</v>
          </cell>
          <cell r="U1756">
            <v>239.28780399999999</v>
          </cell>
          <cell r="V1756">
            <v>1.18105065666041</v>
          </cell>
        </row>
        <row r="1757">
          <cell r="A1757" t="str">
            <v>125202</v>
          </cell>
          <cell r="B1757">
            <v>370.66666600000002</v>
          </cell>
          <cell r="C1757">
            <v>2932.9417429999999</v>
          </cell>
          <cell r="D1757">
            <v>1.06052631578947</v>
          </cell>
          <cell r="E1757">
            <v>28.253267000000001</v>
          </cell>
          <cell r="F1757">
            <v>5.5263157894736799E-2</v>
          </cell>
          <cell r="G1757">
            <v>221.94265300000001</v>
          </cell>
          <cell r="H1757">
            <v>2.0239361702127598</v>
          </cell>
          <cell r="I1757">
            <v>221.94265300000001</v>
          </cell>
          <cell r="J1757">
            <v>2.0239361702127598</v>
          </cell>
          <cell r="K1757">
            <v>38.144564000000003</v>
          </cell>
          <cell r="L1757">
            <v>0.19293478260869501</v>
          </cell>
          <cell r="M1757">
            <v>12.526539</v>
          </cell>
          <cell r="N1757">
            <v>0.13043478260869501</v>
          </cell>
          <cell r="O1757">
            <v>106.702517</v>
          </cell>
          <cell r="P1757">
            <v>0.30219780219780201</v>
          </cell>
          <cell r="Q1757">
            <v>19.664055999999999</v>
          </cell>
          <cell r="R1757">
            <v>0.104395604395604</v>
          </cell>
          <cell r="S1757">
            <v>189.12431900000001</v>
          </cell>
          <cell r="T1757">
            <v>1.0244565217391299</v>
          </cell>
          <cell r="U1757">
            <v>175.32889399999999</v>
          </cell>
          <cell r="V1757">
            <v>1.01630434782608</v>
          </cell>
        </row>
        <row r="1758">
          <cell r="A1758" t="str">
            <v>125203</v>
          </cell>
          <cell r="B1758">
            <v>1105.2</v>
          </cell>
          <cell r="C1758">
            <v>4171.9961489999996</v>
          </cell>
          <cell r="D1758">
            <v>1.6176470588235199</v>
          </cell>
          <cell r="E1758">
            <v>82.634845999999996</v>
          </cell>
          <cell r="F1758">
            <v>9.47712418300653E-2</v>
          </cell>
          <cell r="G1758">
            <v>131.90054699999999</v>
          </cell>
          <cell r="H1758">
            <v>2.0920398009950198</v>
          </cell>
          <cell r="I1758">
            <v>129.39334199999999</v>
          </cell>
          <cell r="J1758">
            <v>2.0878938640132598</v>
          </cell>
          <cell r="K1758">
            <v>102.285639</v>
          </cell>
          <cell r="L1758">
            <v>0.65743944636678198</v>
          </cell>
          <cell r="M1758">
            <v>37.606659999999998</v>
          </cell>
          <cell r="N1758">
            <v>0.28200692041522402</v>
          </cell>
          <cell r="O1758">
            <v>332.20351799999997</v>
          </cell>
          <cell r="P1758">
            <v>0.51370558375634501</v>
          </cell>
          <cell r="Q1758">
            <v>28.119627000000001</v>
          </cell>
          <cell r="R1758">
            <v>0.26497461928934002</v>
          </cell>
          <cell r="S1758">
            <v>286.28870799999999</v>
          </cell>
          <cell r="T1758">
            <v>1.7392670157068</v>
          </cell>
          <cell r="U1758">
            <v>285.599965</v>
          </cell>
          <cell r="V1758">
            <v>1.7361256544502599</v>
          </cell>
        </row>
        <row r="1759">
          <cell r="A1759" t="str">
            <v>125301</v>
          </cell>
          <cell r="B1759">
            <v>2</v>
          </cell>
          <cell r="C1759">
            <v>0</v>
          </cell>
          <cell r="D1759">
            <v>0</v>
          </cell>
          <cell r="E1759">
            <v>0</v>
          </cell>
          <cell r="F1759">
            <v>0</v>
          </cell>
          <cell r="G1759">
            <v>0</v>
          </cell>
          <cell r="H1759">
            <v>0</v>
          </cell>
          <cell r="I1759">
            <v>0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  <cell r="Q1759">
            <v>0</v>
          </cell>
          <cell r="R1759">
            <v>0</v>
          </cell>
          <cell r="S1759">
            <v>82.45</v>
          </cell>
          <cell r="T1759">
            <v>1.5</v>
          </cell>
          <cell r="U1759">
            <v>82.45</v>
          </cell>
          <cell r="V1759">
            <v>1.5</v>
          </cell>
        </row>
        <row r="1760">
          <cell r="A1760" t="str">
            <v>125603</v>
          </cell>
          <cell r="B1760">
            <v>557</v>
          </cell>
          <cell r="C1760">
            <v>767.997973</v>
          </cell>
          <cell r="D1760">
            <v>1.6554770318021199</v>
          </cell>
          <cell r="E1760">
            <v>89.730027000000007</v>
          </cell>
          <cell r="F1760">
            <v>1.0883392226148401</v>
          </cell>
          <cell r="G1760">
            <v>101.677879</v>
          </cell>
          <cell r="H1760">
            <v>1.1252204585537899</v>
          </cell>
          <cell r="I1760">
            <v>99.736166999999995</v>
          </cell>
          <cell r="J1760">
            <v>1.12345679012345</v>
          </cell>
          <cell r="K1760">
            <v>359.56326799999999</v>
          </cell>
          <cell r="L1760">
            <v>0.65248226950354604</v>
          </cell>
          <cell r="M1760">
            <v>92.178871000000001</v>
          </cell>
          <cell r="N1760">
            <v>0.51241134751772999</v>
          </cell>
          <cell r="O1760">
            <v>345.59542800000003</v>
          </cell>
          <cell r="P1760">
            <v>0.74067164179104406</v>
          </cell>
          <cell r="Q1760">
            <v>143.76486299999999</v>
          </cell>
          <cell r="R1760">
            <v>0.625</v>
          </cell>
          <cell r="S1760">
            <v>323.71603099999999</v>
          </cell>
          <cell r="T1760">
            <v>2.1847826086956501</v>
          </cell>
          <cell r="U1760">
            <v>250.14700999999999</v>
          </cell>
          <cell r="V1760">
            <v>2.1231884057971002</v>
          </cell>
        </row>
        <row r="1761">
          <cell r="A1761" t="str">
            <v>125604</v>
          </cell>
          <cell r="B1761">
            <v>1274.8</v>
          </cell>
          <cell r="C1761">
            <v>695.70297500000004</v>
          </cell>
          <cell r="D1761">
            <v>1.15474339035769</v>
          </cell>
          <cell r="E1761">
            <v>191.62685400000001</v>
          </cell>
          <cell r="F1761">
            <v>0.99222395023328103</v>
          </cell>
          <cell r="G1761">
            <v>150.329993</v>
          </cell>
          <cell r="H1761">
            <v>1.56508183943881</v>
          </cell>
          <cell r="I1761">
            <v>149.487829</v>
          </cell>
          <cell r="J1761">
            <v>1.5643024162120001</v>
          </cell>
          <cell r="K1761">
            <v>36.189081999999999</v>
          </cell>
          <cell r="L1761">
            <v>0.19158878504672799</v>
          </cell>
          <cell r="M1761">
            <v>31.2257</v>
          </cell>
          <cell r="N1761">
            <v>0.17289719626168201</v>
          </cell>
          <cell r="O1761">
            <v>49.552684999999997</v>
          </cell>
          <cell r="P1761">
            <v>0.35052377115229599</v>
          </cell>
          <cell r="Q1761">
            <v>42.429465</v>
          </cell>
          <cell r="R1761">
            <v>0.31023368251410099</v>
          </cell>
          <cell r="S1761">
            <v>50.681314</v>
          </cell>
          <cell r="T1761">
            <v>0.125</v>
          </cell>
          <cell r="U1761">
            <v>24.485285999999999</v>
          </cell>
          <cell r="V1761">
            <v>0.1140625</v>
          </cell>
        </row>
        <row r="1762">
          <cell r="A1762" t="str">
            <v>125605</v>
          </cell>
          <cell r="B1762">
            <v>1169.888888</v>
          </cell>
          <cell r="C1762">
            <v>308.76719100000003</v>
          </cell>
          <cell r="D1762">
            <v>0.48056244830438299</v>
          </cell>
          <cell r="E1762">
            <v>62.177695999999997</v>
          </cell>
          <cell r="F1762">
            <v>0.33167907361455701</v>
          </cell>
          <cell r="G1762">
            <v>472.183964</v>
          </cell>
          <cell r="H1762">
            <v>1.51122194513715</v>
          </cell>
          <cell r="I1762">
            <v>176.55696599999999</v>
          </cell>
          <cell r="J1762">
            <v>1.4247714048212801</v>
          </cell>
          <cell r="K1762">
            <v>27.689920999999998</v>
          </cell>
          <cell r="L1762">
            <v>0.340622371740958</v>
          </cell>
          <cell r="M1762">
            <v>27.689920999999998</v>
          </cell>
          <cell r="N1762">
            <v>0.340622371740958</v>
          </cell>
          <cell r="O1762">
            <v>54.707554999999999</v>
          </cell>
          <cell r="P1762">
            <v>0.18222621184919199</v>
          </cell>
          <cell r="Q1762">
            <v>51.751047</v>
          </cell>
          <cell r="R1762">
            <v>0.18132854578096899</v>
          </cell>
          <cell r="S1762">
            <v>103.59867300000001</v>
          </cell>
          <cell r="T1762">
            <v>0.374999999999999</v>
          </cell>
          <cell r="U1762">
            <v>81.933857000000003</v>
          </cell>
          <cell r="V1762">
            <v>0.36888111888111802</v>
          </cell>
        </row>
        <row r="1763">
          <cell r="A1763" t="str">
            <v>125801</v>
          </cell>
          <cell r="B1763">
            <v>1159.8</v>
          </cell>
          <cell r="C1763">
            <v>122.823376</v>
          </cell>
          <cell r="D1763">
            <v>0.68830059777967501</v>
          </cell>
          <cell r="E1763">
            <v>71.659389000000004</v>
          </cell>
          <cell r="F1763">
            <v>0.676345004269854</v>
          </cell>
          <cell r="G1763">
            <v>941.03562499999998</v>
          </cell>
          <cell r="H1763">
            <v>1.97934595524956</v>
          </cell>
          <cell r="I1763">
            <v>146.97182100000001</v>
          </cell>
          <cell r="J1763">
            <v>0.96901893287435403</v>
          </cell>
          <cell r="K1763">
            <v>423.21977600000002</v>
          </cell>
          <cell r="L1763">
            <v>0.48323301805674901</v>
          </cell>
          <cell r="M1763">
            <v>18.144166999999999</v>
          </cell>
          <cell r="N1763">
            <v>0.118658641444539</v>
          </cell>
          <cell r="O1763">
            <v>364.32367199999999</v>
          </cell>
          <cell r="P1763">
            <v>2.6695501730103799</v>
          </cell>
          <cell r="Q1763">
            <v>271.87285100000003</v>
          </cell>
          <cell r="R1763">
            <v>2.3780276816608898</v>
          </cell>
          <cell r="S1763">
            <v>862.72881299999995</v>
          </cell>
          <cell r="T1763">
            <v>4.9572798605056603</v>
          </cell>
          <cell r="U1763">
            <v>850.78930500000001</v>
          </cell>
          <cell r="V1763">
            <v>4.9398430688753203</v>
          </cell>
        </row>
        <row r="1764">
          <cell r="A1764" t="str">
            <v>125802</v>
          </cell>
          <cell r="B1764">
            <v>487.4</v>
          </cell>
          <cell r="C1764">
            <v>3743.4267180000002</v>
          </cell>
          <cell r="D1764">
            <v>2.9288617886178798</v>
          </cell>
          <cell r="E1764">
            <v>334.13896</v>
          </cell>
          <cell r="F1764">
            <v>1.94715447154471</v>
          </cell>
          <cell r="G1764">
            <v>484.343998</v>
          </cell>
          <cell r="H1764">
            <v>2.7265306122448898</v>
          </cell>
          <cell r="I1764">
            <v>383.01314300000001</v>
          </cell>
          <cell r="J1764">
            <v>2.4959183673469298</v>
          </cell>
          <cell r="K1764">
            <v>1419.3038079999999</v>
          </cell>
          <cell r="L1764">
            <v>2.8714285714285701</v>
          </cell>
          <cell r="M1764">
            <v>291.24938700000001</v>
          </cell>
          <cell r="N1764">
            <v>1.0653061224489699</v>
          </cell>
          <cell r="O1764">
            <v>691.20198800000003</v>
          </cell>
          <cell r="P1764">
            <v>3.1502057613168701</v>
          </cell>
          <cell r="Q1764">
            <v>431.494101</v>
          </cell>
          <cell r="R1764">
            <v>2.80452674897119</v>
          </cell>
          <cell r="S1764">
            <v>709.47992199999999</v>
          </cell>
          <cell r="T1764">
            <v>1.66388308977035</v>
          </cell>
          <cell r="U1764">
            <v>521.96652700000004</v>
          </cell>
          <cell r="V1764">
            <v>1.3632567849686801</v>
          </cell>
        </row>
        <row r="1765">
          <cell r="A1765" t="str">
            <v>126101</v>
          </cell>
          <cell r="B1765">
            <v>1</v>
          </cell>
          <cell r="C1765">
            <v>54</v>
          </cell>
          <cell r="D1765">
            <v>1</v>
          </cell>
          <cell r="E1765">
            <v>54</v>
          </cell>
          <cell r="F1765">
            <v>1</v>
          </cell>
          <cell r="G1765">
            <v>0</v>
          </cell>
          <cell r="H1765">
            <v>0</v>
          </cell>
          <cell r="I1765">
            <v>0</v>
          </cell>
          <cell r="J1765">
            <v>0</v>
          </cell>
          <cell r="K1765">
            <v>0</v>
          </cell>
          <cell r="L1765">
            <v>0</v>
          </cell>
          <cell r="M1765">
            <v>0</v>
          </cell>
          <cell r="N1765">
            <v>0</v>
          </cell>
          <cell r="O1765">
            <v>0</v>
          </cell>
          <cell r="P1765">
            <v>0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</row>
        <row r="1766">
          <cell r="A1766" t="str">
            <v>126301</v>
          </cell>
          <cell r="B1766">
            <v>1558.6</v>
          </cell>
          <cell r="C1766">
            <v>41.168774999999997</v>
          </cell>
          <cell r="D1766">
            <v>0.33692210259658001</v>
          </cell>
          <cell r="E1766">
            <v>40.929200000000002</v>
          </cell>
          <cell r="F1766">
            <v>0.336288790373654</v>
          </cell>
          <cell r="G1766">
            <v>651.37150699999995</v>
          </cell>
          <cell r="H1766">
            <v>1.5308087291399199</v>
          </cell>
          <cell r="I1766">
            <v>318.10402699999997</v>
          </cell>
          <cell r="J1766">
            <v>1.2047496790757299</v>
          </cell>
          <cell r="K1766">
            <v>2713.4534480000002</v>
          </cell>
          <cell r="L1766">
            <v>2.7335041639974298</v>
          </cell>
          <cell r="M1766">
            <v>719.36120000000005</v>
          </cell>
          <cell r="N1766">
            <v>2.0448430493273499</v>
          </cell>
          <cell r="O1766">
            <v>2144.7414880000001</v>
          </cell>
          <cell r="P1766">
            <v>3.3165699548678198</v>
          </cell>
          <cell r="Q1766">
            <v>553.55166499999996</v>
          </cell>
          <cell r="R1766">
            <v>2.28046421663442</v>
          </cell>
          <cell r="S1766">
            <v>550.45502999999997</v>
          </cell>
          <cell r="T1766">
            <v>1.9248704663212399</v>
          </cell>
          <cell r="U1766">
            <v>524.94217400000002</v>
          </cell>
          <cell r="V1766">
            <v>1.79857512953367</v>
          </cell>
        </row>
        <row r="1767">
          <cell r="A1767" t="str">
            <v>126302</v>
          </cell>
          <cell r="B1767">
            <v>1583</v>
          </cell>
          <cell r="C1767">
            <v>610.72081400000002</v>
          </cell>
          <cell r="D1767">
            <v>2.4639045825486501</v>
          </cell>
          <cell r="E1767">
            <v>610.72081400000002</v>
          </cell>
          <cell r="F1767">
            <v>2.4639045825486501</v>
          </cell>
          <cell r="G1767">
            <v>3343.1471099999999</v>
          </cell>
          <cell r="H1767">
            <v>2.7802267002518799</v>
          </cell>
          <cell r="I1767">
            <v>768.214471</v>
          </cell>
          <cell r="J1767">
            <v>2.04093198992443</v>
          </cell>
          <cell r="K1767">
            <v>3787.3625910000001</v>
          </cell>
          <cell r="L1767">
            <v>2.9635449402891201</v>
          </cell>
          <cell r="M1767">
            <v>1188.7266179999999</v>
          </cell>
          <cell r="N1767">
            <v>2.17787554996857</v>
          </cell>
          <cell r="O1767">
            <v>3109.2531629999999</v>
          </cell>
          <cell r="P1767">
            <v>4.0588607594936699</v>
          </cell>
          <cell r="Q1767">
            <v>536.86801600000001</v>
          </cell>
          <cell r="R1767">
            <v>2.3556962025316399</v>
          </cell>
          <cell r="S1767">
            <v>389.79316399999999</v>
          </cell>
          <cell r="T1767">
            <v>1.19005102040816</v>
          </cell>
          <cell r="U1767">
            <v>372.48707400000001</v>
          </cell>
          <cell r="V1767">
            <v>1.1772959183673399</v>
          </cell>
        </row>
        <row r="1768">
          <cell r="A1768" t="str">
            <v>126501</v>
          </cell>
          <cell r="B1768">
            <v>1</v>
          </cell>
          <cell r="C1768">
            <v>0</v>
          </cell>
          <cell r="D1768">
            <v>0</v>
          </cell>
          <cell r="E1768">
            <v>0</v>
          </cell>
          <cell r="F1768">
            <v>0</v>
          </cell>
          <cell r="G1768">
            <v>0</v>
          </cell>
          <cell r="H1768">
            <v>0</v>
          </cell>
          <cell r="I1768">
            <v>0</v>
          </cell>
          <cell r="J1768">
            <v>0</v>
          </cell>
          <cell r="K1768">
            <v>0</v>
          </cell>
          <cell r="L1768">
            <v>0</v>
          </cell>
          <cell r="M1768">
            <v>0</v>
          </cell>
          <cell r="N1768">
            <v>0</v>
          </cell>
          <cell r="O1768">
            <v>195.25</v>
          </cell>
          <cell r="P1768">
            <v>2</v>
          </cell>
          <cell r="Q1768">
            <v>195.25</v>
          </cell>
          <cell r="R1768">
            <v>2</v>
          </cell>
          <cell r="S1768">
            <v>79</v>
          </cell>
          <cell r="T1768">
            <v>1</v>
          </cell>
          <cell r="U1768">
            <v>0</v>
          </cell>
          <cell r="V1768">
            <v>0</v>
          </cell>
        </row>
        <row r="1769">
          <cell r="A1769" t="str">
            <v>126502</v>
          </cell>
          <cell r="B1769">
            <v>1</v>
          </cell>
          <cell r="C1769">
            <v>197.045367</v>
          </cell>
          <cell r="D1769">
            <v>1</v>
          </cell>
          <cell r="E1769">
            <v>197.045367</v>
          </cell>
          <cell r="F1769">
            <v>1</v>
          </cell>
          <cell r="G1769">
            <v>140.4</v>
          </cell>
          <cell r="H1769">
            <v>1</v>
          </cell>
          <cell r="I1769">
            <v>140.4</v>
          </cell>
          <cell r="J1769">
            <v>1</v>
          </cell>
          <cell r="K1769">
            <v>0</v>
          </cell>
          <cell r="L1769">
            <v>0</v>
          </cell>
          <cell r="M1769">
            <v>0</v>
          </cell>
          <cell r="N1769">
            <v>0</v>
          </cell>
          <cell r="O1769">
            <v>78.8</v>
          </cell>
          <cell r="P1769">
            <v>1</v>
          </cell>
          <cell r="Q1769">
            <v>78.8</v>
          </cell>
          <cell r="R1769">
            <v>1</v>
          </cell>
          <cell r="S1769">
            <v>0</v>
          </cell>
          <cell r="T1769">
            <v>0</v>
          </cell>
          <cell r="U1769">
            <v>0</v>
          </cell>
          <cell r="V1769">
            <v>0</v>
          </cell>
        </row>
        <row r="1770">
          <cell r="A1770" t="str">
            <v>126701</v>
          </cell>
          <cell r="B1770">
            <v>786.2</v>
          </cell>
          <cell r="C1770">
            <v>1529.0677880000001</v>
          </cell>
          <cell r="D1770">
            <v>4.39246119733924</v>
          </cell>
          <cell r="E1770">
            <v>646.59648600000003</v>
          </cell>
          <cell r="F1770">
            <v>3.2993348115299299</v>
          </cell>
          <cell r="G1770">
            <v>1077.558884</v>
          </cell>
          <cell r="H1770">
            <v>1.46477272727272</v>
          </cell>
          <cell r="I1770">
            <v>178.90402900000001</v>
          </cell>
          <cell r="J1770">
            <v>0.87159090909090897</v>
          </cell>
          <cell r="K1770">
            <v>5749.3681690000003</v>
          </cell>
          <cell r="L1770">
            <v>7.6506849315068397</v>
          </cell>
          <cell r="M1770">
            <v>461.23483599999997</v>
          </cell>
          <cell r="N1770">
            <v>3.2659817351598099</v>
          </cell>
          <cell r="O1770">
            <v>522.88287100000002</v>
          </cell>
          <cell r="P1770">
            <v>1.5552995391705</v>
          </cell>
          <cell r="Q1770">
            <v>210.90562499999999</v>
          </cell>
          <cell r="R1770">
            <v>0.81105990783410098</v>
          </cell>
          <cell r="S1770">
            <v>2729.2903219999998</v>
          </cell>
          <cell r="T1770">
            <v>6.5338785046728898</v>
          </cell>
          <cell r="U1770">
            <v>1462.5978769999999</v>
          </cell>
          <cell r="V1770">
            <v>4.5233644859812996</v>
          </cell>
        </row>
        <row r="1771">
          <cell r="A1771" t="str">
            <v>126702</v>
          </cell>
          <cell r="B1771">
            <v>982.4</v>
          </cell>
          <cell r="C1771">
            <v>1021.162027</v>
          </cell>
          <cell r="D1771">
            <v>3.1775210084033598</v>
          </cell>
          <cell r="E1771">
            <v>762.59164899999996</v>
          </cell>
          <cell r="F1771">
            <v>3.0168067226890698</v>
          </cell>
          <cell r="G1771">
            <v>124.204791</v>
          </cell>
          <cell r="H1771">
            <v>1.3427135678391899</v>
          </cell>
          <cell r="I1771">
            <v>101.21087</v>
          </cell>
          <cell r="J1771">
            <v>1.30050251256281</v>
          </cell>
          <cell r="K1771">
            <v>2387.9703380000001</v>
          </cell>
          <cell r="L1771">
            <v>2.95171026156941</v>
          </cell>
          <cell r="M1771">
            <v>154.83698799999999</v>
          </cell>
          <cell r="N1771">
            <v>1.53521126760563</v>
          </cell>
          <cell r="O1771">
            <v>495.74118499999997</v>
          </cell>
          <cell r="P1771">
            <v>2.4347826086956501</v>
          </cell>
          <cell r="Q1771">
            <v>432.07987800000001</v>
          </cell>
          <cell r="R1771">
            <v>2.3447927199191101</v>
          </cell>
          <cell r="S1771">
            <v>1231.7644419999999</v>
          </cell>
          <cell r="T1771">
            <v>5.08248472505091</v>
          </cell>
          <cell r="U1771">
            <v>342.24881099999999</v>
          </cell>
          <cell r="V1771">
            <v>3.26883910386965</v>
          </cell>
        </row>
        <row r="1772">
          <cell r="A1772" t="str">
            <v>127001</v>
          </cell>
          <cell r="B1772">
            <v>1346.888888</v>
          </cell>
          <cell r="C1772">
            <v>872.15731300000004</v>
          </cell>
          <cell r="D1772">
            <v>4.2807807807807796</v>
          </cell>
          <cell r="E1772">
            <v>872.15731300000004</v>
          </cell>
          <cell r="F1772">
            <v>4.2807807807807796</v>
          </cell>
          <cell r="G1772">
            <v>1045.7702039999999</v>
          </cell>
          <cell r="H1772">
            <v>1.7612380250552599</v>
          </cell>
          <cell r="I1772">
            <v>307.44157200000001</v>
          </cell>
          <cell r="J1772">
            <v>1.1193809874723599</v>
          </cell>
          <cell r="K1772">
            <v>1865.7575770000001</v>
          </cell>
          <cell r="L1772">
            <v>2.51658069270449</v>
          </cell>
          <cell r="M1772">
            <v>488.10448200000002</v>
          </cell>
          <cell r="N1772">
            <v>1.4148857774502499</v>
          </cell>
          <cell r="O1772">
            <v>2612.7615799999999</v>
          </cell>
          <cell r="P1772">
            <v>4.8322197475872297</v>
          </cell>
          <cell r="Q1772">
            <v>560.29523600000005</v>
          </cell>
          <cell r="R1772">
            <v>2.0682999257609498</v>
          </cell>
          <cell r="S1772">
            <v>622.04913699999997</v>
          </cell>
          <cell r="T1772">
            <v>1.7211394302848499</v>
          </cell>
          <cell r="U1772">
            <v>271.913093</v>
          </cell>
          <cell r="V1772">
            <v>1.09370314842578</v>
          </cell>
        </row>
        <row r="1773">
          <cell r="A1773" t="str">
            <v>127002</v>
          </cell>
          <cell r="B1773">
            <v>1160.2</v>
          </cell>
          <cell r="C1773">
            <v>757.36856299999999</v>
          </cell>
          <cell r="D1773">
            <v>7.4674735249621698</v>
          </cell>
          <cell r="E1773">
            <v>757.01157899999998</v>
          </cell>
          <cell r="F1773">
            <v>7.4644478063540003</v>
          </cell>
          <cell r="G1773">
            <v>998.86932000000002</v>
          </cell>
          <cell r="H1773">
            <v>3.55837173579109</v>
          </cell>
          <cell r="I1773">
            <v>355.27068600000001</v>
          </cell>
          <cell r="J1773">
            <v>2.6897081413210402</v>
          </cell>
          <cell r="K1773">
            <v>2016.1872390000001</v>
          </cell>
          <cell r="L1773">
            <v>4.3700848111025401</v>
          </cell>
          <cell r="M1773">
            <v>559.90603899999996</v>
          </cell>
          <cell r="N1773">
            <v>2.2914417887432501</v>
          </cell>
          <cell r="O1773">
            <v>4023.1102569999998</v>
          </cell>
          <cell r="P1773">
            <v>4.4291307752545004</v>
          </cell>
          <cell r="Q1773">
            <v>442.735682</v>
          </cell>
          <cell r="R1773">
            <v>1.82693813625685</v>
          </cell>
          <cell r="S1773">
            <v>845.24305000000004</v>
          </cell>
          <cell r="T1773">
            <v>2.13607594936708</v>
          </cell>
          <cell r="U1773">
            <v>836.80080399999997</v>
          </cell>
          <cell r="V1773">
            <v>2.1265822784810098</v>
          </cell>
        </row>
        <row r="1774">
          <cell r="A1774" t="str">
            <v>127003</v>
          </cell>
          <cell r="B1774">
            <v>1628.75</v>
          </cell>
          <cell r="C1774">
            <v>569.82506899999998</v>
          </cell>
          <cell r="D1774">
            <v>4.1977528089887599</v>
          </cell>
          <cell r="E1774">
            <v>569.82506899999998</v>
          </cell>
          <cell r="F1774">
            <v>4.1977528089887599</v>
          </cell>
          <cell r="G1774">
            <v>1068.2123059999999</v>
          </cell>
          <cell r="H1774">
            <v>1.63049685893774</v>
          </cell>
          <cell r="I1774">
            <v>207.83757399999999</v>
          </cell>
          <cell r="J1774">
            <v>1.0553969160479699</v>
          </cell>
          <cell r="K1774">
            <v>1406.3665510000001</v>
          </cell>
          <cell r="L1774">
            <v>1.1651376146788901</v>
          </cell>
          <cell r="M1774">
            <v>364.35945099999998</v>
          </cell>
          <cell r="N1774">
            <v>0.76318807339449501</v>
          </cell>
          <cell r="O1774">
            <v>1048.3036059999999</v>
          </cell>
          <cell r="P1774">
            <v>2.1175101803373999</v>
          </cell>
          <cell r="Q1774">
            <v>177.13967400000001</v>
          </cell>
          <cell r="R1774">
            <v>0.94706224549156404</v>
          </cell>
          <cell r="S1774">
            <v>214.390771</v>
          </cell>
          <cell r="T1774">
            <v>0.473130841121495</v>
          </cell>
          <cell r="U1774">
            <v>214.390771</v>
          </cell>
          <cell r="V1774">
            <v>0.473130841121495</v>
          </cell>
        </row>
        <row r="1775">
          <cell r="A1775" t="str">
            <v>127201</v>
          </cell>
          <cell r="B1775">
            <v>1</v>
          </cell>
          <cell r="C1775">
            <v>0</v>
          </cell>
          <cell r="D1775">
            <v>0</v>
          </cell>
          <cell r="E1775">
            <v>0</v>
          </cell>
          <cell r="F1775">
            <v>0</v>
          </cell>
          <cell r="G1775">
            <v>115</v>
          </cell>
          <cell r="H1775">
            <v>1</v>
          </cell>
          <cell r="I1775">
            <v>115</v>
          </cell>
          <cell r="J1775">
            <v>1</v>
          </cell>
          <cell r="K1775">
            <v>0</v>
          </cell>
          <cell r="L1775">
            <v>0</v>
          </cell>
          <cell r="M1775">
            <v>0</v>
          </cell>
          <cell r="N1775">
            <v>0</v>
          </cell>
          <cell r="O1775">
            <v>0</v>
          </cell>
          <cell r="P1775">
            <v>0</v>
          </cell>
          <cell r="Q1775">
            <v>0</v>
          </cell>
          <cell r="R1775">
            <v>0</v>
          </cell>
          <cell r="S1775">
            <v>0</v>
          </cell>
          <cell r="T1775">
            <v>0</v>
          </cell>
          <cell r="U1775">
            <v>0</v>
          </cell>
          <cell r="V1775">
            <v>0</v>
          </cell>
        </row>
        <row r="1776">
          <cell r="A1776" t="str">
            <v>127301</v>
          </cell>
          <cell r="B1776">
            <v>1463.2</v>
          </cell>
          <cell r="C1776">
            <v>407.08371399999999</v>
          </cell>
          <cell r="D1776">
            <v>3.0718635809987802</v>
          </cell>
          <cell r="E1776">
            <v>405.56053700000001</v>
          </cell>
          <cell r="F1776">
            <v>3.0572472594397002</v>
          </cell>
          <cell r="G1776">
            <v>1407.9127390000001</v>
          </cell>
          <cell r="H1776">
            <v>2.3475308641975299</v>
          </cell>
          <cell r="I1776">
            <v>355.361197</v>
          </cell>
          <cell r="J1776">
            <v>1.50802469135802</v>
          </cell>
          <cell r="K1776">
            <v>967.86974499999997</v>
          </cell>
          <cell r="L1776">
            <v>1.69273399014778</v>
          </cell>
          <cell r="M1776">
            <v>396.486535</v>
          </cell>
          <cell r="N1776">
            <v>1.32943349753694</v>
          </cell>
          <cell r="O1776">
            <v>202.66967600000001</v>
          </cell>
          <cell r="P1776">
            <v>0.51781326781326698</v>
          </cell>
          <cell r="Q1776">
            <v>74.338841000000002</v>
          </cell>
          <cell r="R1776">
            <v>0.40356265356265297</v>
          </cell>
          <cell r="S1776">
            <v>431.42140999999998</v>
          </cell>
          <cell r="T1776">
            <v>1.7270486752926599</v>
          </cell>
          <cell r="U1776">
            <v>408.211727</v>
          </cell>
          <cell r="V1776">
            <v>1.70178681454097</v>
          </cell>
        </row>
        <row r="1777">
          <cell r="A1777" t="str">
            <v>127302</v>
          </cell>
          <cell r="B1777">
            <v>2388</v>
          </cell>
          <cell r="C1777">
            <v>91.246450999999993</v>
          </cell>
          <cell r="D1777">
            <v>0.86541666666666595</v>
          </cell>
          <cell r="E1777">
            <v>91.127930000000006</v>
          </cell>
          <cell r="F1777">
            <v>0.86458333333333304</v>
          </cell>
          <cell r="G1777">
            <v>1286.710904</v>
          </cell>
          <cell r="H1777">
            <v>0.91151919866443998</v>
          </cell>
          <cell r="I1777">
            <v>73.608624000000006</v>
          </cell>
          <cell r="J1777">
            <v>0.27504173622704498</v>
          </cell>
          <cell r="K1777">
            <v>644.71112400000004</v>
          </cell>
          <cell r="L1777">
            <v>1.20567375886524</v>
          </cell>
          <cell r="M1777">
            <v>492.92730399999999</v>
          </cell>
          <cell r="N1777">
            <v>1.1118064246975301</v>
          </cell>
          <cell r="O1777">
            <v>279.61879699999997</v>
          </cell>
          <cell r="P1777">
            <v>1.0719091673675301</v>
          </cell>
          <cell r="Q1777">
            <v>30.365545000000001</v>
          </cell>
          <cell r="R1777">
            <v>0.32085786375105102</v>
          </cell>
          <cell r="S1777">
            <v>524.47157700000002</v>
          </cell>
          <cell r="T1777">
            <v>2.28577458843393</v>
          </cell>
          <cell r="U1777">
            <v>519.97569999999996</v>
          </cell>
          <cell r="V1777">
            <v>2.26129168425495</v>
          </cell>
        </row>
        <row r="1778">
          <cell r="A1778" t="str">
            <v>127402</v>
          </cell>
          <cell r="B1778">
            <v>496.88888800000001</v>
          </cell>
          <cell r="C1778">
            <v>278.09950199999997</v>
          </cell>
          <cell r="D1778">
            <v>1.7593984962406</v>
          </cell>
          <cell r="E1778">
            <v>278.09950199999997</v>
          </cell>
          <cell r="F1778">
            <v>1.7593984962406</v>
          </cell>
          <cell r="G1778">
            <v>1020.052716</v>
          </cell>
          <cell r="H1778">
            <v>1.33198380566801</v>
          </cell>
          <cell r="I1778">
            <v>162.21332699999999</v>
          </cell>
          <cell r="J1778">
            <v>0.72672064777327905</v>
          </cell>
          <cell r="K1778">
            <v>1909.761121</v>
          </cell>
          <cell r="L1778">
            <v>5.4462474645030401</v>
          </cell>
          <cell r="M1778">
            <v>1054.6045630000001</v>
          </cell>
          <cell r="N1778">
            <v>4.9898580121703802</v>
          </cell>
          <cell r="O1778">
            <v>1707.4410399999999</v>
          </cell>
          <cell r="P1778">
            <v>2.0202839756592201</v>
          </cell>
          <cell r="Q1778">
            <v>161.631507</v>
          </cell>
          <cell r="R1778">
            <v>0.766734279918864</v>
          </cell>
          <cell r="S1778">
            <v>716.47084900000004</v>
          </cell>
          <cell r="T1778">
            <v>1.44285714285714</v>
          </cell>
          <cell r="U1778">
            <v>50.603979000000002</v>
          </cell>
          <cell r="V1778">
            <v>0.18979591836734599</v>
          </cell>
        </row>
        <row r="1779">
          <cell r="A1779" t="str">
            <v>127403</v>
          </cell>
          <cell r="B1779">
            <v>649.4</v>
          </cell>
          <cell r="C1779">
            <v>716.516122</v>
          </cell>
          <cell r="D1779">
            <v>3.1739130434782599</v>
          </cell>
          <cell r="E1779">
            <v>714.67814699999997</v>
          </cell>
          <cell r="F1779">
            <v>3.1684782608695601</v>
          </cell>
          <cell r="G1779">
            <v>442.09740399999998</v>
          </cell>
          <cell r="H1779">
            <v>1.04696132596685</v>
          </cell>
          <cell r="I1779">
            <v>185.62923599999999</v>
          </cell>
          <cell r="J1779">
            <v>0.825966850828729</v>
          </cell>
          <cell r="K1779">
            <v>9811.0588619999999</v>
          </cell>
          <cell r="L1779">
            <v>6.2624309392265101</v>
          </cell>
          <cell r="M1779">
            <v>3489.72424</v>
          </cell>
          <cell r="N1779">
            <v>3.1008287292817598</v>
          </cell>
          <cell r="O1779">
            <v>3271.9239080000002</v>
          </cell>
          <cell r="P1779">
            <v>3.97771587743732</v>
          </cell>
          <cell r="Q1779">
            <v>303.733611</v>
          </cell>
          <cell r="R1779">
            <v>1.9233983286908001</v>
          </cell>
          <cell r="S1779">
            <v>480.91472599999997</v>
          </cell>
          <cell r="T1779">
            <v>1.32398316970546</v>
          </cell>
          <cell r="U1779">
            <v>215.99340799999999</v>
          </cell>
          <cell r="V1779">
            <v>1.12622720897615</v>
          </cell>
        </row>
        <row r="1780">
          <cell r="A1780" t="str">
            <v>127404</v>
          </cell>
          <cell r="B1780">
            <v>967.2</v>
          </cell>
          <cell r="C1780">
            <v>25.969562</v>
          </cell>
          <cell r="D1780">
            <v>0.169651272384542</v>
          </cell>
          <cell r="E1780">
            <v>22.969052999999999</v>
          </cell>
          <cell r="F1780">
            <v>0.142318567389255</v>
          </cell>
          <cell r="G1780">
            <v>457.94292100000001</v>
          </cell>
          <cell r="H1780">
            <v>0.95873015873015799</v>
          </cell>
          <cell r="I1780">
            <v>111.677907</v>
          </cell>
          <cell r="J1780">
            <v>0.71957671957671898</v>
          </cell>
          <cell r="K1780">
            <v>3546.8190420000001</v>
          </cell>
          <cell r="L1780">
            <v>4.8680042238648298</v>
          </cell>
          <cell r="M1780">
            <v>518.03855999999996</v>
          </cell>
          <cell r="N1780">
            <v>3.1140443505807802</v>
          </cell>
          <cell r="O1780">
            <v>1138.431255</v>
          </cell>
          <cell r="P1780">
            <v>2.0553780617678301</v>
          </cell>
          <cell r="Q1780">
            <v>243.75851900000001</v>
          </cell>
          <cell r="R1780">
            <v>1.1522896698615499</v>
          </cell>
          <cell r="S1780">
            <v>448.92648200000002</v>
          </cell>
          <cell r="T1780">
            <v>1.9883474576271101</v>
          </cell>
          <cell r="U1780">
            <v>357.664018</v>
          </cell>
          <cell r="V1780">
            <v>1.90466101694915</v>
          </cell>
        </row>
        <row r="1781">
          <cell r="A1781" t="str">
            <v>127501</v>
          </cell>
          <cell r="B1781">
            <v>789.22222199999999</v>
          </cell>
          <cell r="C1781">
            <v>379.49476299999998</v>
          </cell>
          <cell r="D1781">
            <v>1.32051282051282</v>
          </cell>
          <cell r="E1781">
            <v>379.14348100000001</v>
          </cell>
          <cell r="F1781">
            <v>1.3192307692307601</v>
          </cell>
          <cell r="G1781">
            <v>333.07477799999998</v>
          </cell>
          <cell r="H1781">
            <v>0.81921618204804003</v>
          </cell>
          <cell r="I1781">
            <v>144.04629199999999</v>
          </cell>
          <cell r="J1781">
            <v>0.31605562579013902</v>
          </cell>
          <cell r="K1781">
            <v>504.19463300000001</v>
          </cell>
          <cell r="L1781">
            <v>1.70580808080808</v>
          </cell>
          <cell r="M1781">
            <v>154.488741</v>
          </cell>
          <cell r="N1781">
            <v>0.92297979797979701</v>
          </cell>
          <cell r="O1781">
            <v>1190.9481290000001</v>
          </cell>
          <cell r="P1781">
            <v>3.4337957124842302</v>
          </cell>
          <cell r="Q1781">
            <v>532.676019</v>
          </cell>
          <cell r="R1781">
            <v>2.6935687263556098</v>
          </cell>
          <cell r="S1781">
            <v>433.98145799999998</v>
          </cell>
          <cell r="T1781">
            <v>4.3451327433628304</v>
          </cell>
          <cell r="U1781">
            <v>433.98145799999998</v>
          </cell>
          <cell r="V1781">
            <v>4.3451327433628304</v>
          </cell>
        </row>
        <row r="1782">
          <cell r="A1782" t="str">
            <v>127502</v>
          </cell>
          <cell r="B1782">
            <v>2934.6666660000001</v>
          </cell>
          <cell r="C1782">
            <v>86.022561999999994</v>
          </cell>
          <cell r="D1782">
            <v>0.95559322033898297</v>
          </cell>
          <cell r="E1782">
            <v>86.022561999999994</v>
          </cell>
          <cell r="F1782">
            <v>0.95559322033898297</v>
          </cell>
          <cell r="G1782">
            <v>585.03973299999996</v>
          </cell>
          <cell r="H1782">
            <v>1.50357021421285</v>
          </cell>
          <cell r="I1782">
            <v>136.564099</v>
          </cell>
          <cell r="J1782">
            <v>0.66609996599795895</v>
          </cell>
          <cell r="K1782">
            <v>1361.357066</v>
          </cell>
          <cell r="L1782">
            <v>2.4620877252635101</v>
          </cell>
          <cell r="M1782">
            <v>162.71922799999999</v>
          </cell>
          <cell r="N1782">
            <v>0.36110166609996502</v>
          </cell>
          <cell r="O1782">
            <v>1200.769125</v>
          </cell>
          <cell r="P1782">
            <v>3.4419398907103802</v>
          </cell>
          <cell r="Q1782">
            <v>518.26079800000002</v>
          </cell>
          <cell r="R1782">
            <v>2.7978142076502701</v>
          </cell>
          <cell r="S1782">
            <v>431.79906299999999</v>
          </cell>
          <cell r="T1782">
            <v>2.3813762410133501</v>
          </cell>
          <cell r="U1782">
            <v>354.15651000000003</v>
          </cell>
          <cell r="V1782">
            <v>2.2848339609722599</v>
          </cell>
        </row>
        <row r="1783">
          <cell r="A1783" t="str">
            <v>127601</v>
          </cell>
          <cell r="B1783">
            <v>1436.8</v>
          </cell>
          <cell r="C1783">
            <v>4.0832069999999998</v>
          </cell>
          <cell r="D1783">
            <v>2.1468144044321302E-2</v>
          </cell>
          <cell r="E1783">
            <v>3.9343159999999999</v>
          </cell>
          <cell r="F1783">
            <v>2.0775623268698001E-2</v>
          </cell>
          <cell r="G1783">
            <v>366.96373699999998</v>
          </cell>
          <cell r="H1783">
            <v>0.616238723108952</v>
          </cell>
          <cell r="I1783">
            <v>171.03471500000001</v>
          </cell>
          <cell r="J1783">
            <v>0.47189451769604401</v>
          </cell>
          <cell r="K1783">
            <v>1935.192749</v>
          </cell>
          <cell r="L1783">
            <v>3.3439888811674701</v>
          </cell>
          <cell r="M1783">
            <v>663.48468800000001</v>
          </cell>
          <cell r="N1783">
            <v>1.8283530229325899</v>
          </cell>
          <cell r="O1783">
            <v>2628.5546199999999</v>
          </cell>
          <cell r="P1783">
            <v>3.9092178770949699</v>
          </cell>
          <cell r="Q1783">
            <v>256.968796</v>
          </cell>
          <cell r="R1783">
            <v>1.8645251396647999</v>
          </cell>
          <cell r="S1783">
            <v>528.98682199999996</v>
          </cell>
          <cell r="T1783">
            <v>3.7100840336134402</v>
          </cell>
          <cell r="U1783">
            <v>330.19398899999999</v>
          </cell>
          <cell r="V1783">
            <v>2.7009803921568598</v>
          </cell>
        </row>
        <row r="1784">
          <cell r="A1784" t="str">
            <v>127602</v>
          </cell>
          <cell r="B1784">
            <v>1754.6</v>
          </cell>
          <cell r="C1784">
            <v>134.57644999999999</v>
          </cell>
          <cell r="D1784">
            <v>0.55227272727272703</v>
          </cell>
          <cell r="E1784">
            <v>134.400882</v>
          </cell>
          <cell r="F1784">
            <v>0.55170454545454495</v>
          </cell>
          <cell r="G1784">
            <v>2031.6442380000001</v>
          </cell>
          <cell r="H1784">
            <v>2.3767045454545399</v>
          </cell>
          <cell r="I1784">
            <v>139.03042199999999</v>
          </cell>
          <cell r="J1784">
            <v>0.84375</v>
          </cell>
          <cell r="K1784">
            <v>864.88768700000003</v>
          </cell>
          <cell r="L1784">
            <v>1.7741015402167699</v>
          </cell>
          <cell r="M1784">
            <v>72.429758000000007</v>
          </cell>
          <cell r="N1784">
            <v>0.50770108385624602</v>
          </cell>
          <cell r="O1784">
            <v>3321.0368389999999</v>
          </cell>
          <cell r="P1784">
            <v>2.3335233751425299</v>
          </cell>
          <cell r="Q1784">
            <v>208.78062499999999</v>
          </cell>
          <cell r="R1784">
            <v>1.21835803876852</v>
          </cell>
          <cell r="S1784">
            <v>274.52373899999998</v>
          </cell>
          <cell r="T1784">
            <v>1.5211912943871699</v>
          </cell>
          <cell r="U1784">
            <v>270.70116400000001</v>
          </cell>
          <cell r="V1784">
            <v>1.5171821305841899</v>
          </cell>
        </row>
        <row r="1785">
          <cell r="A1785" t="str">
            <v>127701</v>
          </cell>
          <cell r="B1785">
            <v>2853.5555549999999</v>
          </cell>
          <cell r="C1785">
            <v>13.003007999999999</v>
          </cell>
          <cell r="D1785">
            <v>0.10341225626740901</v>
          </cell>
          <cell r="E1785">
            <v>13.003007999999999</v>
          </cell>
          <cell r="F1785">
            <v>0.10341225626740901</v>
          </cell>
          <cell r="G1785">
            <v>496.61081000000001</v>
          </cell>
          <cell r="H1785">
            <v>2.4989481065918602</v>
          </cell>
          <cell r="I1785">
            <v>422.67045000000002</v>
          </cell>
          <cell r="J1785">
            <v>2.2303646563814801</v>
          </cell>
          <cell r="K1785">
            <v>1344.292674</v>
          </cell>
          <cell r="L1785">
            <v>3.06710709318497</v>
          </cell>
          <cell r="M1785">
            <v>355.02164399999998</v>
          </cell>
          <cell r="N1785">
            <v>2.3129346314325399</v>
          </cell>
          <cell r="O1785">
            <v>175.19622799999999</v>
          </cell>
          <cell r="P1785">
            <v>1.2445384073290999</v>
          </cell>
          <cell r="Q1785">
            <v>106.65406900000001</v>
          </cell>
          <cell r="R1785">
            <v>1.20401691331923</v>
          </cell>
          <cell r="S1785">
            <v>480.64354700000001</v>
          </cell>
          <cell r="T1785">
            <v>2.0443818245861198</v>
          </cell>
          <cell r="U1785">
            <v>196.060889</v>
          </cell>
          <cell r="V1785">
            <v>0.81683691440648099</v>
          </cell>
        </row>
        <row r="1786">
          <cell r="A1786" t="str">
            <v>127702</v>
          </cell>
          <cell r="B1786">
            <v>1796.8</v>
          </cell>
          <cell r="C1786">
            <v>594.67989899999998</v>
          </cell>
          <cell r="D1786">
            <v>2.8198818897637699</v>
          </cell>
          <cell r="E1786">
            <v>583.29962799999998</v>
          </cell>
          <cell r="F1786">
            <v>2.7421259842519601</v>
          </cell>
          <cell r="G1786">
            <v>851.52268000000004</v>
          </cell>
          <cell r="H1786">
            <v>2.99298245614035</v>
          </cell>
          <cell r="I1786">
            <v>639.83796700000005</v>
          </cell>
          <cell r="J1786">
            <v>2.5002506265664102</v>
          </cell>
          <cell r="K1786">
            <v>1971.804967</v>
          </cell>
          <cell r="L1786">
            <v>3.1237474949899702</v>
          </cell>
          <cell r="M1786">
            <v>476.98037699999998</v>
          </cell>
          <cell r="N1786">
            <v>2.0661322645290499</v>
          </cell>
          <cell r="O1786">
            <v>407.16088300000001</v>
          </cell>
          <cell r="P1786">
            <v>1.2009063444108701</v>
          </cell>
          <cell r="Q1786">
            <v>132.92028300000001</v>
          </cell>
          <cell r="R1786">
            <v>0.99244712990936501</v>
          </cell>
          <cell r="S1786">
            <v>1083.9113</v>
          </cell>
          <cell r="T1786">
            <v>4.3942742340532304</v>
          </cell>
          <cell r="U1786">
            <v>387.55488800000001</v>
          </cell>
          <cell r="V1786">
            <v>2.9045705675539901</v>
          </cell>
        </row>
        <row r="1787">
          <cell r="A1787" t="str">
            <v>127901</v>
          </cell>
          <cell r="B1787">
            <v>62.4</v>
          </cell>
          <cell r="C1787">
            <v>78.084400000000002</v>
          </cell>
          <cell r="D1787">
            <v>3.125E-2</v>
          </cell>
          <cell r="E1787">
            <v>15.874613999999999</v>
          </cell>
          <cell r="F1787">
            <v>1.5625E-2</v>
          </cell>
          <cell r="G1787">
            <v>0</v>
          </cell>
          <cell r="H1787">
            <v>0</v>
          </cell>
          <cell r="I1787">
            <v>0</v>
          </cell>
          <cell r="J1787">
            <v>0</v>
          </cell>
          <cell r="K1787">
            <v>9.5095609999999997</v>
          </cell>
          <cell r="L1787">
            <v>8.1967213114753995E-2</v>
          </cell>
          <cell r="M1787">
            <v>1.701092</v>
          </cell>
          <cell r="N1787">
            <v>1.63934426229508E-2</v>
          </cell>
          <cell r="O1787">
            <v>0</v>
          </cell>
          <cell r="P1787">
            <v>0</v>
          </cell>
          <cell r="Q1787">
            <v>0</v>
          </cell>
          <cell r="R1787">
            <v>0</v>
          </cell>
          <cell r="S1787">
            <v>0.59274099999999996</v>
          </cell>
          <cell r="T1787">
            <v>4.8387096774193498E-2</v>
          </cell>
          <cell r="U1787">
            <v>0.59274099999999996</v>
          </cell>
          <cell r="V1787">
            <v>4.8387096774193498E-2</v>
          </cell>
        </row>
        <row r="1788">
          <cell r="A1788" t="str">
            <v>127902</v>
          </cell>
          <cell r="B1788">
            <v>551.66666599999996</v>
          </cell>
          <cell r="C1788">
            <v>24315.838170999999</v>
          </cell>
          <cell r="D1788">
            <v>9.5714285714285694</v>
          </cell>
          <cell r="E1788">
            <v>298.31725699999998</v>
          </cell>
          <cell r="F1788">
            <v>2.6242236024844701</v>
          </cell>
          <cell r="G1788">
            <v>254.93223499999999</v>
          </cell>
          <cell r="H1788">
            <v>0.58587479935794495</v>
          </cell>
          <cell r="I1788">
            <v>108.297083</v>
          </cell>
          <cell r="J1788">
            <v>0.54414125200642005</v>
          </cell>
          <cell r="K1788">
            <v>5612.5585339999998</v>
          </cell>
          <cell r="L1788">
            <v>3.8739903069466801</v>
          </cell>
          <cell r="M1788">
            <v>247.564593</v>
          </cell>
          <cell r="N1788">
            <v>2.7399030694668798</v>
          </cell>
          <cell r="O1788">
            <v>180.04766900000001</v>
          </cell>
          <cell r="P1788">
            <v>1.20813008130081</v>
          </cell>
          <cell r="Q1788">
            <v>180.04766900000001</v>
          </cell>
          <cell r="R1788">
            <v>1.20813008130081</v>
          </cell>
          <cell r="S1788">
            <v>247.93802500000001</v>
          </cell>
          <cell r="T1788">
            <v>1.7217675941080099</v>
          </cell>
          <cell r="U1788">
            <v>84.899317999999994</v>
          </cell>
          <cell r="V1788">
            <v>0.76268412438625199</v>
          </cell>
        </row>
        <row r="1789">
          <cell r="A1789" t="str">
            <v>128001</v>
          </cell>
          <cell r="B1789">
            <v>411.75</v>
          </cell>
          <cell r="C1789">
            <v>3635.21985</v>
          </cell>
          <cell r="D1789">
            <v>3.3686746987951799</v>
          </cell>
          <cell r="E1789">
            <v>362.498245</v>
          </cell>
          <cell r="F1789">
            <v>1.97108433734939</v>
          </cell>
          <cell r="G1789">
            <v>405.902691</v>
          </cell>
          <cell r="H1789">
            <v>1.64251207729468</v>
          </cell>
          <cell r="I1789">
            <v>177.29716099999999</v>
          </cell>
          <cell r="J1789">
            <v>1.1328502415458901</v>
          </cell>
          <cell r="K1789">
            <v>254.25645599999999</v>
          </cell>
          <cell r="L1789">
            <v>1.5714285714285701</v>
          </cell>
          <cell r="M1789">
            <v>254.25645599999999</v>
          </cell>
          <cell r="N1789">
            <v>1.5714285714285701</v>
          </cell>
          <cell r="O1789">
            <v>213.36328399999999</v>
          </cell>
          <cell r="P1789">
            <v>1.1735941320293299</v>
          </cell>
          <cell r="Q1789">
            <v>205.90599</v>
          </cell>
          <cell r="R1789">
            <v>1.14180929095354</v>
          </cell>
          <cell r="S1789">
            <v>19.308847</v>
          </cell>
          <cell r="T1789">
            <v>1.0864197530864099</v>
          </cell>
          <cell r="U1789">
            <v>19.308847</v>
          </cell>
          <cell r="V1789">
            <v>1.0864197530864099</v>
          </cell>
        </row>
        <row r="1790">
          <cell r="A1790" t="str">
            <v>128002</v>
          </cell>
          <cell r="B1790">
            <v>163.77777699999999</v>
          </cell>
          <cell r="C1790">
            <v>4413.0669760000001</v>
          </cell>
          <cell r="D1790">
            <v>1.3818181818181801</v>
          </cell>
          <cell r="E1790">
            <v>255.25948600000001</v>
          </cell>
          <cell r="F1790">
            <v>0.34545454545454501</v>
          </cell>
          <cell r="G1790">
            <v>1713.161075</v>
          </cell>
          <cell r="H1790">
            <v>0.46666666666666601</v>
          </cell>
          <cell r="I1790">
            <v>16.547115000000002</v>
          </cell>
          <cell r="J1790">
            <v>6.6666666666666596E-2</v>
          </cell>
          <cell r="K1790">
            <v>157.80848599999999</v>
          </cell>
          <cell r="L1790">
            <v>0.98773006134969299</v>
          </cell>
          <cell r="M1790">
            <v>64.797341000000003</v>
          </cell>
          <cell r="N1790">
            <v>0.754601226993865</v>
          </cell>
          <cell r="O1790">
            <v>303.36339299999997</v>
          </cell>
          <cell r="P1790">
            <v>1.77300613496932</v>
          </cell>
          <cell r="Q1790">
            <v>302.731492</v>
          </cell>
          <cell r="R1790">
            <v>1.75460122699386</v>
          </cell>
          <cell r="S1790">
            <v>420.325514</v>
          </cell>
          <cell r="T1790">
            <v>3.43209876543209</v>
          </cell>
          <cell r="U1790">
            <v>420.325514</v>
          </cell>
          <cell r="V1790">
            <v>3.43209876543209</v>
          </cell>
        </row>
        <row r="1791">
          <cell r="A1791" t="str">
            <v>128401</v>
          </cell>
          <cell r="B1791">
            <v>903</v>
          </cell>
          <cell r="C1791">
            <v>4625.0897660000001</v>
          </cell>
          <cell r="D1791">
            <v>1.38580931263858</v>
          </cell>
          <cell r="E1791">
            <v>71.382422000000005</v>
          </cell>
          <cell r="F1791">
            <v>0.43237250554323697</v>
          </cell>
          <cell r="G1791">
            <v>286.25181099999998</v>
          </cell>
          <cell r="H1791">
            <v>1.85761589403973</v>
          </cell>
          <cell r="I1791">
            <v>114.25501800000001</v>
          </cell>
          <cell r="J1791">
            <v>1.0573951434878499</v>
          </cell>
          <cell r="K1791">
            <v>354.11244399999998</v>
          </cell>
          <cell r="L1791">
            <v>1.2853982300884901</v>
          </cell>
          <cell r="M1791">
            <v>354.11244399999998</v>
          </cell>
          <cell r="N1791">
            <v>1.2853982300884901</v>
          </cell>
          <cell r="O1791">
            <v>277.11828500000001</v>
          </cell>
          <cell r="P1791">
            <v>1.80905077262693</v>
          </cell>
          <cell r="Q1791">
            <v>277.11828500000001</v>
          </cell>
          <cell r="R1791">
            <v>1.80905077262693</v>
          </cell>
          <cell r="S1791">
            <v>415.20668499999999</v>
          </cell>
          <cell r="T1791">
            <v>3.2569832402234602</v>
          </cell>
          <cell r="U1791">
            <v>415.20668499999999</v>
          </cell>
          <cell r="V1791">
            <v>3.2569832402234602</v>
          </cell>
        </row>
        <row r="1792">
          <cell r="A1792" t="str">
            <v>128402</v>
          </cell>
          <cell r="B1792">
            <v>2091</v>
          </cell>
          <cell r="C1792">
            <v>1022.23087</v>
          </cell>
          <cell r="D1792">
            <v>2.1776765375854201</v>
          </cell>
          <cell r="E1792">
            <v>49.084432999999997</v>
          </cell>
          <cell r="F1792">
            <v>1.9643128321943799</v>
          </cell>
          <cell r="G1792">
            <v>50.877777999999999</v>
          </cell>
          <cell r="H1792">
            <v>0.38401727861771001</v>
          </cell>
          <cell r="I1792">
            <v>50.684184000000002</v>
          </cell>
          <cell r="J1792">
            <v>0.38358531317494599</v>
          </cell>
          <cell r="K1792">
            <v>324.28473400000001</v>
          </cell>
          <cell r="L1792">
            <v>1.31982758620689</v>
          </cell>
          <cell r="M1792">
            <v>146.32535899999999</v>
          </cell>
          <cell r="N1792">
            <v>1.22758620689655</v>
          </cell>
          <cell r="O1792">
            <v>93.094258999999994</v>
          </cell>
          <cell r="P1792">
            <v>0.369536996971008</v>
          </cell>
          <cell r="Q1792">
            <v>92.791093000000004</v>
          </cell>
          <cell r="R1792">
            <v>0.36910428385979999</v>
          </cell>
          <cell r="S1792">
            <v>235.16005200000001</v>
          </cell>
          <cell r="T1792">
            <v>1.0876580898386301</v>
          </cell>
          <cell r="U1792">
            <v>235.16005200000001</v>
          </cell>
          <cell r="V1792">
            <v>1.0876580898386301</v>
          </cell>
        </row>
        <row r="1793">
          <cell r="A1793" t="str">
            <v>128403</v>
          </cell>
          <cell r="B1793">
            <v>3810.6666660000001</v>
          </cell>
          <cell r="C1793">
            <v>28.704813999999999</v>
          </cell>
          <cell r="D1793">
            <v>6.73323092677931E-2</v>
          </cell>
          <cell r="E1793">
            <v>28.704813999999999</v>
          </cell>
          <cell r="F1793">
            <v>6.73323092677931E-2</v>
          </cell>
          <cell r="G1793">
            <v>287.62225699999999</v>
          </cell>
          <cell r="H1793">
            <v>1.1053305996924601</v>
          </cell>
          <cell r="I1793">
            <v>25.986853</v>
          </cell>
          <cell r="J1793">
            <v>6.1250640697078397E-2</v>
          </cell>
          <cell r="K1793">
            <v>13.236791</v>
          </cell>
          <cell r="L1793">
            <v>0.13962661057060199</v>
          </cell>
          <cell r="M1793">
            <v>13.236791</v>
          </cell>
          <cell r="N1793">
            <v>0.13962661057060199</v>
          </cell>
          <cell r="O1793">
            <v>33.863182000000002</v>
          </cell>
          <cell r="P1793">
            <v>0.20957761635727701</v>
          </cell>
          <cell r="Q1793">
            <v>33.863182000000002</v>
          </cell>
          <cell r="R1793">
            <v>0.20957761635727701</v>
          </cell>
          <cell r="S1793">
            <v>14.099068000000001</v>
          </cell>
          <cell r="T1793">
            <v>0.97000550357732496</v>
          </cell>
          <cell r="U1793">
            <v>14.099068000000001</v>
          </cell>
          <cell r="V1793">
            <v>0.97000550357732496</v>
          </cell>
        </row>
        <row r="1794">
          <cell r="A1794" t="str">
            <v>128404</v>
          </cell>
          <cell r="B1794">
            <v>3076.75</v>
          </cell>
          <cell r="C1794">
            <v>11.946148000000001</v>
          </cell>
          <cell r="D1794">
            <v>8.4145549057829699E-2</v>
          </cell>
          <cell r="E1794">
            <v>5.6680320000000002</v>
          </cell>
          <cell r="F1794">
            <v>6.2703053931124103E-2</v>
          </cell>
          <cell r="G1794">
            <v>178.70912799999999</v>
          </cell>
          <cell r="H1794">
            <v>1.0468346253229901</v>
          </cell>
          <cell r="I1794">
            <v>178.70912799999999</v>
          </cell>
          <cell r="J1794">
            <v>1.0468346253229901</v>
          </cell>
          <cell r="K1794">
            <v>566.12756100000001</v>
          </cell>
          <cell r="L1794">
            <v>1.20220707562479</v>
          </cell>
          <cell r="M1794">
            <v>417.44734899999997</v>
          </cell>
          <cell r="N1794">
            <v>1.07335280753002</v>
          </cell>
          <cell r="O1794">
            <v>11.653399</v>
          </cell>
          <cell r="P1794">
            <v>7.7423552374755997E-2</v>
          </cell>
          <cell r="Q1794">
            <v>11.653399</v>
          </cell>
          <cell r="R1794">
            <v>7.7423552374755997E-2</v>
          </cell>
          <cell r="S1794">
            <v>2.9842300000000002</v>
          </cell>
          <cell r="T1794">
            <v>3.7871367939928097E-2</v>
          </cell>
          <cell r="U1794">
            <v>2.77806</v>
          </cell>
          <cell r="V1794">
            <v>3.5912504080966301E-2</v>
          </cell>
        </row>
        <row r="1795">
          <cell r="A1795" t="str">
            <v>128801</v>
          </cell>
          <cell r="B1795">
            <v>1303.333333</v>
          </cell>
          <cell r="C1795">
            <v>0</v>
          </cell>
          <cell r="D1795">
            <v>0</v>
          </cell>
          <cell r="E1795">
            <v>0</v>
          </cell>
          <cell r="F1795">
            <v>0</v>
          </cell>
          <cell r="G1795">
            <v>2.9288240000000001</v>
          </cell>
          <cell r="H1795">
            <v>2.0721412125863301E-2</v>
          </cell>
          <cell r="I1795">
            <v>2.9288240000000001</v>
          </cell>
          <cell r="J1795">
            <v>2.0721412125863301E-2</v>
          </cell>
          <cell r="K1795">
            <v>41.521386</v>
          </cell>
          <cell r="L1795">
            <v>0.18419033000767401</v>
          </cell>
          <cell r="M1795">
            <v>41.177283000000003</v>
          </cell>
          <cell r="N1795">
            <v>0.18265541059094301</v>
          </cell>
          <cell r="O1795">
            <v>19.398125</v>
          </cell>
          <cell r="P1795">
            <v>3.7490436113236401E-2</v>
          </cell>
          <cell r="Q1795">
            <v>19.398125</v>
          </cell>
          <cell r="R1795">
            <v>3.7490436113236401E-2</v>
          </cell>
          <cell r="S1795">
            <v>4.2251010000000004</v>
          </cell>
          <cell r="T1795">
            <v>3.8402457757296402E-3</v>
          </cell>
          <cell r="U1795">
            <v>0.165962</v>
          </cell>
          <cell r="V1795">
            <v>7.6804915514592901E-4</v>
          </cell>
        </row>
        <row r="1796">
          <cell r="A1796" t="str">
            <v>128802</v>
          </cell>
          <cell r="B1796">
            <v>1146.5</v>
          </cell>
          <cell r="C1796">
            <v>304.378579</v>
          </cell>
          <cell r="D1796">
            <v>0.16765957446808499</v>
          </cell>
          <cell r="E1796">
            <v>7.8746710000000002</v>
          </cell>
          <cell r="F1796">
            <v>4.8510638297872298E-2</v>
          </cell>
          <cell r="G1796">
            <v>299.65606000000002</v>
          </cell>
          <cell r="H1796">
            <v>1.17383820998278</v>
          </cell>
          <cell r="I1796">
            <v>196.62241599999999</v>
          </cell>
          <cell r="J1796">
            <v>0.99397590361445698</v>
          </cell>
          <cell r="K1796">
            <v>29.321335999999999</v>
          </cell>
          <cell r="L1796">
            <v>0.33645655877342401</v>
          </cell>
          <cell r="M1796">
            <v>20.814011000000001</v>
          </cell>
          <cell r="N1796">
            <v>0.32793867120954001</v>
          </cell>
          <cell r="O1796">
            <v>14.917574999999999</v>
          </cell>
          <cell r="P1796">
            <v>0.12909090909090901</v>
          </cell>
          <cell r="Q1796">
            <v>14.917574999999999</v>
          </cell>
          <cell r="R1796">
            <v>0.12909090909090901</v>
          </cell>
          <cell r="S1796">
            <v>153.51618999999999</v>
          </cell>
          <cell r="T1796">
            <v>0.41714285714285698</v>
          </cell>
          <cell r="U1796">
            <v>153.51618999999999</v>
          </cell>
          <cell r="V1796">
            <v>0.41714285714285698</v>
          </cell>
        </row>
        <row r="1797">
          <cell r="A1797" t="str">
            <v>128803</v>
          </cell>
          <cell r="B1797">
            <v>874.625</v>
          </cell>
          <cell r="C1797">
            <v>508.99519099999998</v>
          </cell>
          <cell r="D1797">
            <v>1.3645598194130899</v>
          </cell>
          <cell r="E1797">
            <v>124.17058400000001</v>
          </cell>
          <cell r="F1797">
            <v>1.2866817155756201</v>
          </cell>
          <cell r="G1797">
            <v>8.2359960000000001</v>
          </cell>
          <cell r="H1797">
            <v>4.7297297297297203E-2</v>
          </cell>
          <cell r="I1797">
            <v>8.2359960000000001</v>
          </cell>
          <cell r="J1797">
            <v>4.7297297297297203E-2</v>
          </cell>
          <cell r="K1797">
            <v>215.598488</v>
          </cell>
          <cell r="L1797">
            <v>2.3662456946038999</v>
          </cell>
          <cell r="M1797">
            <v>211.94578999999999</v>
          </cell>
          <cell r="N1797">
            <v>2.3501722158438501</v>
          </cell>
          <cell r="O1797">
            <v>45.733466999999997</v>
          </cell>
          <cell r="P1797">
            <v>0.21131639722863699</v>
          </cell>
          <cell r="Q1797">
            <v>39.110872999999998</v>
          </cell>
          <cell r="R1797">
            <v>0.210161662817551</v>
          </cell>
          <cell r="S1797">
            <v>15.379181000000001</v>
          </cell>
          <cell r="T1797">
            <v>0.114716106604866</v>
          </cell>
          <cell r="U1797">
            <v>15.379181000000001</v>
          </cell>
          <cell r="V1797">
            <v>0.114716106604866</v>
          </cell>
        </row>
        <row r="1798">
          <cell r="A1798" t="str">
            <v>129001</v>
          </cell>
          <cell r="B1798">
            <v>693.4</v>
          </cell>
          <cell r="C1798">
            <v>924.03417899999999</v>
          </cell>
          <cell r="D1798">
            <v>1.73142857142857</v>
          </cell>
          <cell r="E1798">
            <v>222.462774</v>
          </cell>
          <cell r="F1798">
            <v>0.82</v>
          </cell>
          <cell r="G1798">
            <v>894.21196199999997</v>
          </cell>
          <cell r="H1798">
            <v>2.3499999999999899</v>
          </cell>
          <cell r="I1798">
            <v>742.51249499999994</v>
          </cell>
          <cell r="J1798">
            <v>2.19714285714285</v>
          </cell>
          <cell r="K1798">
            <v>541.857347</v>
          </cell>
          <cell r="L1798">
            <v>2.4682997118155598</v>
          </cell>
          <cell r="M1798">
            <v>463.701368</v>
          </cell>
          <cell r="N1798">
            <v>2.32420749279538</v>
          </cell>
          <cell r="O1798">
            <v>144.720935</v>
          </cell>
          <cell r="P1798">
            <v>1.0347322720694601</v>
          </cell>
          <cell r="Q1798">
            <v>108.318837</v>
          </cell>
          <cell r="R1798">
            <v>0.97829232995658399</v>
          </cell>
          <cell r="S1798">
            <v>432.960825</v>
          </cell>
          <cell r="T1798">
            <v>0.77272727272727204</v>
          </cell>
          <cell r="U1798">
            <v>152.05117300000001</v>
          </cell>
          <cell r="V1798">
            <v>0.582111436950146</v>
          </cell>
        </row>
        <row r="1799">
          <cell r="A1799" t="str">
            <v>129002</v>
          </cell>
          <cell r="B1799">
            <v>2335.8000000000002</v>
          </cell>
          <cell r="C1799">
            <v>427.35176000000001</v>
          </cell>
          <cell r="D1799">
            <v>1.26252086811352</v>
          </cell>
          <cell r="E1799">
            <v>67.527911000000003</v>
          </cell>
          <cell r="F1799">
            <v>0.30717863105175203</v>
          </cell>
          <cell r="G1799">
            <v>154.67971600000001</v>
          </cell>
          <cell r="H1799">
            <v>0.71273031825795596</v>
          </cell>
          <cell r="I1799">
            <v>91.127229999999997</v>
          </cell>
          <cell r="J1799">
            <v>0.56448911222780496</v>
          </cell>
          <cell r="K1799">
            <v>516.86560999999995</v>
          </cell>
          <cell r="L1799">
            <v>2.2414965986394502</v>
          </cell>
          <cell r="M1799">
            <v>408.47377399999999</v>
          </cell>
          <cell r="N1799">
            <v>2.1411564625850299</v>
          </cell>
          <cell r="O1799">
            <v>71.429813999999993</v>
          </cell>
          <cell r="P1799">
            <v>6.2768701633705903E-2</v>
          </cell>
          <cell r="Q1799">
            <v>9.1945899999999998</v>
          </cell>
          <cell r="R1799">
            <v>4.64316423043852E-2</v>
          </cell>
          <cell r="S1799">
            <v>591.71796600000005</v>
          </cell>
          <cell r="T1799">
            <v>3.0009021199819501</v>
          </cell>
          <cell r="U1799">
            <v>388.82301100000001</v>
          </cell>
          <cell r="V1799">
            <v>2.8073973838520501</v>
          </cell>
        </row>
        <row r="1800">
          <cell r="A1800" t="str">
            <v>129301</v>
          </cell>
          <cell r="B1800">
            <v>986.2</v>
          </cell>
          <cell r="C1800">
            <v>35.794316999999999</v>
          </cell>
          <cell r="D1800">
            <v>0.42105263157894701</v>
          </cell>
          <cell r="E1800">
            <v>34.505921999999998</v>
          </cell>
          <cell r="F1800">
            <v>0.41608738828202502</v>
          </cell>
          <cell r="G1800">
            <v>333.95413400000001</v>
          </cell>
          <cell r="H1800">
            <v>1.98481781376518</v>
          </cell>
          <cell r="I1800">
            <v>333.36866500000002</v>
          </cell>
          <cell r="J1800">
            <v>1.9787449392712499</v>
          </cell>
          <cell r="K1800">
            <v>1184.335386</v>
          </cell>
          <cell r="L1800">
            <v>1.1252525252525201</v>
          </cell>
          <cell r="M1800">
            <v>149.23217099999999</v>
          </cell>
          <cell r="N1800">
            <v>0.61919191919191896</v>
          </cell>
          <cell r="O1800">
            <v>279.49308400000001</v>
          </cell>
          <cell r="P1800">
            <v>0.65443425076452499</v>
          </cell>
          <cell r="Q1800">
            <v>18.455487000000002</v>
          </cell>
          <cell r="R1800">
            <v>0.10397553516819499</v>
          </cell>
          <cell r="S1800">
            <v>1118.0606379999999</v>
          </cell>
          <cell r="T1800">
            <v>3.19170984455958</v>
          </cell>
          <cell r="U1800">
            <v>343.64025900000001</v>
          </cell>
          <cell r="V1800">
            <v>1.60103626943005</v>
          </cell>
        </row>
        <row r="1801">
          <cell r="A1801" t="str">
            <v>129302</v>
          </cell>
          <cell r="B1801">
            <v>1133.4000000000001</v>
          </cell>
          <cell r="C1801">
            <v>328.09250200000002</v>
          </cell>
          <cell r="D1801">
            <v>3.1137320977253502</v>
          </cell>
          <cell r="E1801">
            <v>200.55607900000001</v>
          </cell>
          <cell r="F1801">
            <v>2.4262847514743</v>
          </cell>
          <cell r="G1801">
            <v>446.59467699999999</v>
          </cell>
          <cell r="H1801">
            <v>1.39627434377646</v>
          </cell>
          <cell r="I1801">
            <v>80.709169000000003</v>
          </cell>
          <cell r="J1801">
            <v>0.75698560541913595</v>
          </cell>
          <cell r="K1801">
            <v>626.57203200000004</v>
          </cell>
          <cell r="L1801">
            <v>2.5564995751911601</v>
          </cell>
          <cell r="M1801">
            <v>86.485853000000006</v>
          </cell>
          <cell r="N1801">
            <v>1.4358538657604001</v>
          </cell>
          <cell r="O1801">
            <v>146.94538299999999</v>
          </cell>
          <cell r="P1801">
            <v>0.54358974358974299</v>
          </cell>
          <cell r="Q1801">
            <v>53.484757000000002</v>
          </cell>
          <cell r="R1801">
            <v>0.40598290598290498</v>
          </cell>
          <cell r="S1801">
            <v>1037.7532900000001</v>
          </cell>
          <cell r="T1801">
            <v>3.40651260504201</v>
          </cell>
          <cell r="U1801">
            <v>546.30761500000006</v>
          </cell>
          <cell r="V1801">
            <v>2.1071428571428501</v>
          </cell>
        </row>
        <row r="1802">
          <cell r="A1802" t="str">
            <v>129401</v>
          </cell>
          <cell r="B1802">
            <v>2704.6</v>
          </cell>
          <cell r="C1802">
            <v>4779.0176090000004</v>
          </cell>
          <cell r="D1802">
            <v>3.4645494830132901</v>
          </cell>
          <cell r="E1802">
            <v>268.38526400000001</v>
          </cell>
          <cell r="F1802">
            <v>1.4590103397341201</v>
          </cell>
          <cell r="G1802">
            <v>2775.3348639999999</v>
          </cell>
          <cell r="H1802">
            <v>3.2485337243401702</v>
          </cell>
          <cell r="I1802">
            <v>578.40030000000002</v>
          </cell>
          <cell r="J1802">
            <v>2.2203079178885599</v>
          </cell>
          <cell r="K1802">
            <v>1502.8924810000001</v>
          </cell>
          <cell r="L1802">
            <v>2.4665194996320801</v>
          </cell>
          <cell r="M1802">
            <v>387.07403699999998</v>
          </cell>
          <cell r="N1802">
            <v>1.6295069904341399</v>
          </cell>
          <cell r="O1802">
            <v>371.83544599999999</v>
          </cell>
          <cell r="P1802">
            <v>1.01976874300634</v>
          </cell>
          <cell r="Q1802">
            <v>118.641402</v>
          </cell>
          <cell r="R1802">
            <v>0.66952629615814896</v>
          </cell>
          <cell r="S1802">
            <v>389.68925999999999</v>
          </cell>
          <cell r="T1802">
            <v>1.39657738095238</v>
          </cell>
          <cell r="U1802">
            <v>86.018649999999994</v>
          </cell>
          <cell r="V1802">
            <v>0.64025297619047605</v>
          </cell>
        </row>
        <row r="1803">
          <cell r="A1803" t="str">
            <v>129402</v>
          </cell>
          <cell r="B1803">
            <v>887.4</v>
          </cell>
          <cell r="C1803">
            <v>2083.7611879999999</v>
          </cell>
          <cell r="D1803">
            <v>2.3263274336283102</v>
          </cell>
          <cell r="E1803">
            <v>249.18131600000001</v>
          </cell>
          <cell r="F1803">
            <v>1.82411504424778</v>
          </cell>
          <cell r="G1803">
            <v>674.30621099999996</v>
          </cell>
          <cell r="H1803">
            <v>2.9238521836506099</v>
          </cell>
          <cell r="I1803">
            <v>287.11810400000002</v>
          </cell>
          <cell r="J1803">
            <v>2.1500559910414299</v>
          </cell>
          <cell r="K1803">
            <v>623.55348200000003</v>
          </cell>
          <cell r="L1803">
            <v>1.2089887640449399</v>
          </cell>
          <cell r="M1803">
            <v>190.26110399999999</v>
          </cell>
          <cell r="N1803">
            <v>0.84157303370786496</v>
          </cell>
          <cell r="O1803">
            <v>1001.0076330000001</v>
          </cell>
          <cell r="P1803">
            <v>3.11047180667433</v>
          </cell>
          <cell r="Q1803">
            <v>553.76448000000005</v>
          </cell>
          <cell r="R1803">
            <v>2.4499424626006898</v>
          </cell>
          <cell r="S1803">
            <v>280.77186799999998</v>
          </cell>
          <cell r="T1803">
            <v>1.81271282633371</v>
          </cell>
          <cell r="U1803">
            <v>261.30567500000001</v>
          </cell>
          <cell r="V1803">
            <v>1.7820658342792199</v>
          </cell>
        </row>
        <row r="1804">
          <cell r="A1804" t="str">
            <v>129601</v>
          </cell>
          <cell r="B1804">
            <v>2645</v>
          </cell>
          <cell r="C1804">
            <v>1458.877129</v>
          </cell>
          <cell r="D1804">
            <v>2.9149945275446898</v>
          </cell>
          <cell r="E1804">
            <v>22.913737000000001</v>
          </cell>
          <cell r="F1804">
            <v>0.13754104341481199</v>
          </cell>
          <cell r="G1804">
            <v>903.96639600000003</v>
          </cell>
          <cell r="H1804">
            <v>1.49338721528288</v>
          </cell>
          <cell r="I1804">
            <v>138.11773099999999</v>
          </cell>
          <cell r="J1804">
            <v>1.0279206465833901</v>
          </cell>
          <cell r="K1804">
            <v>536.03646200000003</v>
          </cell>
          <cell r="L1804">
            <v>1.8962906888720601</v>
          </cell>
          <cell r="M1804">
            <v>249.746442</v>
          </cell>
          <cell r="N1804">
            <v>1.80772142316426</v>
          </cell>
          <cell r="O1804">
            <v>531.99812099999997</v>
          </cell>
          <cell r="P1804">
            <v>1.19315973571706</v>
          </cell>
          <cell r="Q1804">
            <v>167.00625700000001</v>
          </cell>
          <cell r="R1804">
            <v>0.52701127089001099</v>
          </cell>
          <cell r="S1804">
            <v>946.57205799999997</v>
          </cell>
          <cell r="T1804">
            <v>3.6533176285826401</v>
          </cell>
          <cell r="U1804">
            <v>368.32017999999999</v>
          </cell>
          <cell r="V1804">
            <v>2.56968983117393</v>
          </cell>
        </row>
        <row r="1805">
          <cell r="A1805" t="str">
            <v>129602</v>
          </cell>
          <cell r="B1805">
            <v>738.6</v>
          </cell>
          <cell r="C1805">
            <v>1488.5348919999999</v>
          </cell>
          <cell r="D1805">
            <v>1.7589403973509901</v>
          </cell>
          <cell r="E1805">
            <v>176.90887799999999</v>
          </cell>
          <cell r="F1805">
            <v>0.66092715231788002</v>
          </cell>
          <cell r="G1805">
            <v>1266.240638</v>
          </cell>
          <cell r="H1805">
            <v>1.2232620320855601</v>
          </cell>
          <cell r="I1805">
            <v>273.62712699999997</v>
          </cell>
          <cell r="J1805">
            <v>0.64839572192513295</v>
          </cell>
          <cell r="K1805">
            <v>2431.9346580000001</v>
          </cell>
          <cell r="L1805">
            <v>0.88544474393530903</v>
          </cell>
          <cell r="M1805">
            <v>40.216734000000002</v>
          </cell>
          <cell r="N1805">
            <v>0.41105121293800501</v>
          </cell>
          <cell r="O1805">
            <v>1677.84791</v>
          </cell>
          <cell r="P1805">
            <v>2.1021798365122599</v>
          </cell>
          <cell r="Q1805">
            <v>77.159694999999999</v>
          </cell>
          <cell r="R1805">
            <v>0.60626702997275195</v>
          </cell>
          <cell r="S1805">
            <v>348.02329500000002</v>
          </cell>
          <cell r="T1805">
            <v>1.34733893557422</v>
          </cell>
          <cell r="U1805">
            <v>91.513024999999999</v>
          </cell>
          <cell r="V1805">
            <v>0.82072829131652603</v>
          </cell>
        </row>
        <row r="1806">
          <cell r="A1806" t="str">
            <v>129603</v>
          </cell>
          <cell r="B1806">
            <v>867</v>
          </cell>
          <cell r="C1806">
            <v>865.75236199999995</v>
          </cell>
          <cell r="D1806">
            <v>3.1736662883087399</v>
          </cell>
          <cell r="E1806">
            <v>504.42788100000001</v>
          </cell>
          <cell r="F1806">
            <v>2.1657207718501699</v>
          </cell>
          <cell r="G1806">
            <v>410.18142599999999</v>
          </cell>
          <cell r="H1806">
            <v>1.1911262798634801</v>
          </cell>
          <cell r="I1806">
            <v>250.464371</v>
          </cell>
          <cell r="J1806">
            <v>1.1319681456200199</v>
          </cell>
          <cell r="K1806">
            <v>147.72846000000001</v>
          </cell>
          <cell r="L1806">
            <v>1.29920364050056</v>
          </cell>
          <cell r="M1806">
            <v>147.72846000000001</v>
          </cell>
          <cell r="N1806">
            <v>1.29920364050056</v>
          </cell>
          <cell r="O1806">
            <v>1238.6307629999999</v>
          </cell>
          <cell r="P1806">
            <v>2.9566210045662098</v>
          </cell>
          <cell r="Q1806">
            <v>620.98083999999994</v>
          </cell>
          <cell r="R1806">
            <v>2.4474885844748799</v>
          </cell>
          <cell r="S1806">
            <v>179.916302</v>
          </cell>
          <cell r="T1806">
            <v>1.7312348668280799</v>
          </cell>
          <cell r="U1806">
            <v>179.721993</v>
          </cell>
          <cell r="V1806">
            <v>1.72881355932203</v>
          </cell>
        </row>
        <row r="1807">
          <cell r="A1807" t="str">
            <v>129604</v>
          </cell>
          <cell r="B1807">
            <v>2</v>
          </cell>
          <cell r="C1807">
            <v>0</v>
          </cell>
          <cell r="D1807">
            <v>0</v>
          </cell>
          <cell r="E1807">
            <v>0</v>
          </cell>
          <cell r="F1807">
            <v>0</v>
          </cell>
          <cell r="G1807">
            <v>0</v>
          </cell>
          <cell r="H1807">
            <v>0</v>
          </cell>
          <cell r="I1807">
            <v>0</v>
          </cell>
          <cell r="J1807">
            <v>0</v>
          </cell>
          <cell r="K1807">
            <v>73.216666000000004</v>
          </cell>
          <cell r="L1807">
            <v>0.5</v>
          </cell>
          <cell r="M1807">
            <v>73.216666000000004</v>
          </cell>
          <cell r="N1807">
            <v>0.5</v>
          </cell>
          <cell r="O1807">
            <v>93.216666000000004</v>
          </cell>
          <cell r="P1807">
            <v>0.5</v>
          </cell>
          <cell r="Q1807">
            <v>0</v>
          </cell>
          <cell r="R1807">
            <v>0</v>
          </cell>
          <cell r="S1807">
            <v>0</v>
          </cell>
          <cell r="T1807">
            <v>0</v>
          </cell>
          <cell r="U1807">
            <v>0</v>
          </cell>
          <cell r="V1807">
            <v>0</v>
          </cell>
        </row>
        <row r="1808">
          <cell r="A1808" t="str">
            <v>129801</v>
          </cell>
          <cell r="B1808">
            <v>383.22222199999999</v>
          </cell>
          <cell r="C1808">
            <v>53.288805000000004</v>
          </cell>
          <cell r="D1808">
            <v>0.21409921671018201</v>
          </cell>
          <cell r="E1808">
            <v>53.288805000000004</v>
          </cell>
          <cell r="F1808">
            <v>0.21409921671018201</v>
          </cell>
          <cell r="G1808">
            <v>401.48813200000001</v>
          </cell>
          <cell r="H1808">
            <v>2.6701570680628199</v>
          </cell>
          <cell r="I1808">
            <v>214.81583000000001</v>
          </cell>
          <cell r="J1808">
            <v>2.5261780104712002</v>
          </cell>
          <cell r="K1808">
            <v>670.01480000000004</v>
          </cell>
          <cell r="L1808">
            <v>1.18749999999999</v>
          </cell>
          <cell r="M1808">
            <v>45.441189000000001</v>
          </cell>
          <cell r="N1808">
            <v>0.27864583333333298</v>
          </cell>
          <cell r="O1808">
            <v>417.474155</v>
          </cell>
          <cell r="P1808">
            <v>2.18961038961038</v>
          </cell>
          <cell r="Q1808">
            <v>232.724155</v>
          </cell>
          <cell r="R1808">
            <v>1.18961038961038</v>
          </cell>
          <cell r="S1808">
            <v>535.307546</v>
          </cell>
          <cell r="T1808">
            <v>0.66492146596858603</v>
          </cell>
          <cell r="U1808">
            <v>56.707546999999998</v>
          </cell>
          <cell r="V1808">
            <v>0.295811518324607</v>
          </cell>
        </row>
        <row r="1809">
          <cell r="A1809" t="str">
            <v>129802</v>
          </cell>
          <cell r="B1809">
            <v>1029.6666660000001</v>
          </cell>
          <cell r="C1809">
            <v>324.07912900000002</v>
          </cell>
          <cell r="D1809">
            <v>3.36816874400767</v>
          </cell>
          <cell r="E1809">
            <v>324.07912900000002</v>
          </cell>
          <cell r="F1809">
            <v>3.36816874400767</v>
          </cell>
          <cell r="G1809">
            <v>1320.67923</v>
          </cell>
          <cell r="H1809">
            <v>4.4207492795389003</v>
          </cell>
          <cell r="I1809">
            <v>335.35391700000002</v>
          </cell>
          <cell r="J1809">
            <v>2.3246878001921201</v>
          </cell>
          <cell r="K1809">
            <v>1017.004053</v>
          </cell>
          <cell r="L1809">
            <v>2.9420849420849402</v>
          </cell>
          <cell r="M1809">
            <v>593.33270500000003</v>
          </cell>
          <cell r="N1809">
            <v>2.38610038610038</v>
          </cell>
          <cell r="O1809">
            <v>1649.1210229999999</v>
          </cell>
          <cell r="P1809">
            <v>4.6858536585365798</v>
          </cell>
          <cell r="Q1809">
            <v>1341.9950240000001</v>
          </cell>
          <cell r="R1809">
            <v>3.89658536585365</v>
          </cell>
          <cell r="S1809">
            <v>1656.9073100000001</v>
          </cell>
          <cell r="T1809">
            <v>5.1633663366336604</v>
          </cell>
          <cell r="U1809">
            <v>372.33085799999998</v>
          </cell>
          <cell r="V1809">
            <v>3.8485148514851399</v>
          </cell>
        </row>
        <row r="1810">
          <cell r="A1810" t="str">
            <v>129901</v>
          </cell>
          <cell r="B1810">
            <v>585.44444399999998</v>
          </cell>
          <cell r="C1810">
            <v>46.699609000000002</v>
          </cell>
          <cell r="D1810">
            <v>0.25214408233276098</v>
          </cell>
          <cell r="E1810">
            <v>46.699609000000002</v>
          </cell>
          <cell r="F1810">
            <v>0.25214408233276098</v>
          </cell>
          <cell r="G1810">
            <v>417.85457000000002</v>
          </cell>
          <cell r="H1810">
            <v>2.97962648556876</v>
          </cell>
          <cell r="I1810">
            <v>209.90276600000001</v>
          </cell>
          <cell r="J1810">
            <v>2.4431239388794501</v>
          </cell>
          <cell r="K1810">
            <v>654.69627300000002</v>
          </cell>
          <cell r="L1810">
            <v>0.71501706484641603</v>
          </cell>
          <cell r="M1810">
            <v>195.22966400000001</v>
          </cell>
          <cell r="N1810">
            <v>0.44368600682593801</v>
          </cell>
          <cell r="O1810">
            <v>600.80853200000001</v>
          </cell>
          <cell r="P1810">
            <v>0.97098976109214996</v>
          </cell>
          <cell r="Q1810">
            <v>243.34035800000001</v>
          </cell>
          <cell r="R1810">
            <v>0.47952218430034099</v>
          </cell>
          <cell r="S1810">
            <v>266.55629900000002</v>
          </cell>
          <cell r="T1810">
            <v>1.5446735395189</v>
          </cell>
          <cell r="U1810">
            <v>255.773482</v>
          </cell>
          <cell r="V1810">
            <v>1.53951890034364</v>
          </cell>
        </row>
        <row r="1811">
          <cell r="A1811" t="str">
            <v>129902</v>
          </cell>
          <cell r="B1811">
            <v>1976.444444</v>
          </cell>
          <cell r="C1811">
            <v>117.24713300000001</v>
          </cell>
          <cell r="D1811">
            <v>0.399197592778335</v>
          </cell>
          <cell r="E1811">
            <v>117.24713300000001</v>
          </cell>
          <cell r="F1811">
            <v>0.399197592778335</v>
          </cell>
          <cell r="G1811">
            <v>571.85015499999997</v>
          </cell>
          <cell r="H1811">
            <v>3.21439355812783</v>
          </cell>
          <cell r="I1811">
            <v>225.017875</v>
          </cell>
          <cell r="J1811">
            <v>2.7388022143935502</v>
          </cell>
          <cell r="K1811">
            <v>1177.238521</v>
          </cell>
          <cell r="L1811">
            <v>1.4448362720403001</v>
          </cell>
          <cell r="M1811">
            <v>124.911519</v>
          </cell>
          <cell r="N1811">
            <v>0.51788413098236696</v>
          </cell>
          <cell r="O1811">
            <v>374.55847199999999</v>
          </cell>
          <cell r="P1811">
            <v>1.02488572879634</v>
          </cell>
          <cell r="Q1811">
            <v>118.28774300000001</v>
          </cell>
          <cell r="R1811">
            <v>0.54799390553580396</v>
          </cell>
          <cell r="S1811">
            <v>1513.6131800000001</v>
          </cell>
          <cell r="T1811">
            <v>3.4601226993865</v>
          </cell>
          <cell r="U1811">
            <v>1478.637252</v>
          </cell>
          <cell r="V1811">
            <v>3.3650306748466199</v>
          </cell>
        </row>
        <row r="1812">
          <cell r="A1812" t="str">
            <v>130301</v>
          </cell>
          <cell r="B1812">
            <v>2025.8571420000001</v>
          </cell>
          <cell r="C1812">
            <v>129.819706</v>
          </cell>
          <cell r="D1812">
            <v>0.818986719134284</v>
          </cell>
          <cell r="E1812">
            <v>129.819706</v>
          </cell>
          <cell r="F1812">
            <v>0.818986719134284</v>
          </cell>
          <cell r="G1812">
            <v>12.482436999999999</v>
          </cell>
          <cell r="H1812">
            <v>7.4729596853490607E-2</v>
          </cell>
          <cell r="I1812">
            <v>11.011469</v>
          </cell>
          <cell r="J1812">
            <v>7.4237954768928194E-2</v>
          </cell>
          <cell r="K1812">
            <v>13.234226</v>
          </cell>
          <cell r="L1812">
            <v>5.0172159370388499E-2</v>
          </cell>
          <cell r="M1812">
            <v>7.6191909999999998</v>
          </cell>
          <cell r="N1812">
            <v>3.3939990162321597E-2</v>
          </cell>
          <cell r="O1812">
            <v>3.6020300000000001</v>
          </cell>
          <cell r="P1812">
            <v>2.5049115913555901E-2</v>
          </cell>
          <cell r="Q1812">
            <v>3.6020300000000001</v>
          </cell>
          <cell r="R1812">
            <v>2.5049115913555901E-2</v>
          </cell>
          <cell r="S1812">
            <v>77.229473999999996</v>
          </cell>
          <cell r="T1812">
            <v>0.28918099089989802</v>
          </cell>
          <cell r="U1812">
            <v>77.229473999999996</v>
          </cell>
          <cell r="V1812">
            <v>0.28918099089989802</v>
          </cell>
        </row>
        <row r="1813">
          <cell r="A1813" t="str">
            <v>130302</v>
          </cell>
          <cell r="B1813">
            <v>1403.8571420000001</v>
          </cell>
          <cell r="C1813">
            <v>157.85638700000001</v>
          </cell>
          <cell r="D1813">
            <v>1.19279661016949</v>
          </cell>
          <cell r="E1813">
            <v>157.85638700000001</v>
          </cell>
          <cell r="F1813">
            <v>1.19279661016949</v>
          </cell>
          <cell r="G1813">
            <v>113.210263</v>
          </cell>
          <cell r="H1813">
            <v>0.35049365303244001</v>
          </cell>
          <cell r="I1813">
            <v>29.288360000000001</v>
          </cell>
          <cell r="J1813">
            <v>0.12552891396332799</v>
          </cell>
          <cell r="K1813">
            <v>50.435437999999998</v>
          </cell>
          <cell r="L1813">
            <v>0.419901199717713</v>
          </cell>
          <cell r="M1813">
            <v>50.435437999999998</v>
          </cell>
          <cell r="N1813">
            <v>0.419901199717713</v>
          </cell>
          <cell r="O1813">
            <v>5.116371</v>
          </cell>
          <cell r="P1813">
            <v>6.4447592067988599E-2</v>
          </cell>
          <cell r="Q1813">
            <v>5.116371</v>
          </cell>
          <cell r="R1813">
            <v>6.4447592067988599E-2</v>
          </cell>
          <cell r="S1813">
            <v>346.036743</v>
          </cell>
          <cell r="T1813">
            <v>0.26584122359795997</v>
          </cell>
          <cell r="U1813">
            <v>15.293953999999999</v>
          </cell>
          <cell r="V1813">
            <v>0.11798980335032699</v>
          </cell>
        </row>
        <row r="1814">
          <cell r="A1814" t="str">
            <v>130901</v>
          </cell>
          <cell r="B1814">
            <v>19</v>
          </cell>
          <cell r="C1814">
            <v>0</v>
          </cell>
          <cell r="D1814">
            <v>0</v>
          </cell>
          <cell r="E1814">
            <v>0</v>
          </cell>
          <cell r="F1814">
            <v>0</v>
          </cell>
          <cell r="G1814">
            <v>0</v>
          </cell>
          <cell r="H1814">
            <v>0</v>
          </cell>
          <cell r="I1814">
            <v>0</v>
          </cell>
          <cell r="J1814">
            <v>0</v>
          </cell>
          <cell r="K1814">
            <v>0</v>
          </cell>
          <cell r="L1814">
            <v>0</v>
          </cell>
          <cell r="M1814">
            <v>0</v>
          </cell>
          <cell r="N1814">
            <v>0</v>
          </cell>
          <cell r="O1814">
            <v>9.735087</v>
          </cell>
          <cell r="P1814">
            <v>5.2631578947368397E-2</v>
          </cell>
          <cell r="Q1814">
            <v>9.735087</v>
          </cell>
          <cell r="R1814">
            <v>5.2631578947368397E-2</v>
          </cell>
          <cell r="S1814">
            <v>29.814035000000001</v>
          </cell>
          <cell r="T1814">
            <v>0.105263157894736</v>
          </cell>
          <cell r="U1814">
            <v>29.814035000000001</v>
          </cell>
          <cell r="V1814">
            <v>0.105263157894736</v>
          </cell>
        </row>
        <row r="1815">
          <cell r="A1815" t="str">
            <v>130902</v>
          </cell>
          <cell r="B1815">
            <v>36</v>
          </cell>
          <cell r="C1815">
            <v>53.403830999999997</v>
          </cell>
          <cell r="D1815">
            <v>0.38888888888888801</v>
          </cell>
          <cell r="E1815">
            <v>53.403830999999997</v>
          </cell>
          <cell r="F1815">
            <v>0.38888888888888801</v>
          </cell>
          <cell r="G1815">
            <v>296.77075300000001</v>
          </cell>
          <cell r="H1815">
            <v>2.13888888888888</v>
          </cell>
          <cell r="I1815">
            <v>296.77075300000001</v>
          </cell>
          <cell r="J1815">
            <v>2.13888888888888</v>
          </cell>
          <cell r="K1815">
            <v>226.85450399999999</v>
          </cell>
          <cell r="L1815">
            <v>1.08108108108108</v>
          </cell>
          <cell r="M1815">
            <v>226.85450399999999</v>
          </cell>
          <cell r="N1815">
            <v>1.08108108108108</v>
          </cell>
          <cell r="O1815">
            <v>0</v>
          </cell>
          <cell r="P1815">
            <v>0</v>
          </cell>
          <cell r="Q1815">
            <v>0</v>
          </cell>
          <cell r="R1815">
            <v>0</v>
          </cell>
          <cell r="S1815">
            <v>71.183333000000005</v>
          </cell>
          <cell r="T1815">
            <v>1</v>
          </cell>
          <cell r="U1815">
            <v>71.183333000000005</v>
          </cell>
          <cell r="V1815">
            <v>1</v>
          </cell>
        </row>
        <row r="1816">
          <cell r="A1816" t="str">
            <v>130903</v>
          </cell>
          <cell r="B1816">
            <v>919.71428500000002</v>
          </cell>
          <cell r="C1816">
            <v>3.4781949999999999</v>
          </cell>
          <cell r="D1816">
            <v>4.1533546325878502E-2</v>
          </cell>
          <cell r="E1816">
            <v>3.4781949999999999</v>
          </cell>
          <cell r="F1816">
            <v>4.1533546325878502E-2</v>
          </cell>
          <cell r="G1816">
            <v>106.201719</v>
          </cell>
          <cell r="H1816">
            <v>0.76627534685165399</v>
          </cell>
          <cell r="I1816">
            <v>106.201719</v>
          </cell>
          <cell r="J1816">
            <v>0.76627534685165399</v>
          </cell>
          <cell r="K1816">
            <v>38.460209999999996</v>
          </cell>
          <cell r="L1816">
            <v>0.25321888412017102</v>
          </cell>
          <cell r="M1816">
            <v>38.014932000000002</v>
          </cell>
          <cell r="N1816">
            <v>0.24678111587982801</v>
          </cell>
          <cell r="O1816">
            <v>39.349629999999998</v>
          </cell>
          <cell r="P1816">
            <v>0.22062084257206199</v>
          </cell>
          <cell r="Q1816">
            <v>39.349629999999998</v>
          </cell>
          <cell r="R1816">
            <v>0.22062084257206199</v>
          </cell>
          <cell r="S1816">
            <v>23.746027000000002</v>
          </cell>
          <cell r="T1816">
            <v>3.2293986636971E-2</v>
          </cell>
          <cell r="U1816">
            <v>5.2481059999999999</v>
          </cell>
          <cell r="V1816">
            <v>1.6703786191536701E-2</v>
          </cell>
        </row>
        <row r="1817">
          <cell r="A1817" t="str">
            <v>130904</v>
          </cell>
          <cell r="B1817">
            <v>258.8</v>
          </cell>
          <cell r="C1817">
            <v>1.3623240000000001</v>
          </cell>
          <cell r="D1817">
            <v>2.3622047244094401E-2</v>
          </cell>
          <cell r="E1817">
            <v>1.3623240000000001</v>
          </cell>
          <cell r="F1817">
            <v>2.3622047244094401E-2</v>
          </cell>
          <cell r="G1817">
            <v>0</v>
          </cell>
          <cell r="H1817">
            <v>0</v>
          </cell>
          <cell r="I1817">
            <v>0</v>
          </cell>
          <cell r="J1817">
            <v>0</v>
          </cell>
          <cell r="K1817">
            <v>14.498495</v>
          </cell>
          <cell r="L1817">
            <v>1.9607843137254902E-2</v>
          </cell>
          <cell r="M1817">
            <v>1.1707179999999999</v>
          </cell>
          <cell r="N1817">
            <v>1.5686274509803901E-2</v>
          </cell>
          <cell r="O1817">
            <v>384.39806199999998</v>
          </cell>
          <cell r="P1817">
            <v>0.89534883720930203</v>
          </cell>
          <cell r="Q1817">
            <v>384.39806199999998</v>
          </cell>
          <cell r="R1817">
            <v>0.89534883720930203</v>
          </cell>
          <cell r="S1817">
            <v>734.63903100000005</v>
          </cell>
          <cell r="T1817">
            <v>3.0110294117646998</v>
          </cell>
          <cell r="U1817">
            <v>734.63903100000005</v>
          </cell>
          <cell r="V1817">
            <v>3.0110294117646998</v>
          </cell>
        </row>
        <row r="1818">
          <cell r="A1818" t="str">
            <v>130905</v>
          </cell>
          <cell r="B1818">
            <v>638.625</v>
          </cell>
          <cell r="C1818">
            <v>29.376871000000001</v>
          </cell>
          <cell r="D1818">
            <v>0.12977099236641201</v>
          </cell>
          <cell r="E1818">
            <v>15.382054999999999</v>
          </cell>
          <cell r="F1818">
            <v>9.7709923664122095E-2</v>
          </cell>
          <cell r="G1818">
            <v>169.43438399999999</v>
          </cell>
          <cell r="H1818">
            <v>1.2716049382715999</v>
          </cell>
          <cell r="I1818">
            <v>169.43438399999999</v>
          </cell>
          <cell r="J1818">
            <v>1.2716049382715999</v>
          </cell>
          <cell r="K1818">
            <v>14.492737999999999</v>
          </cell>
          <cell r="L1818">
            <v>4.4961240310077498E-2</v>
          </cell>
          <cell r="M1818">
            <v>8.547803</v>
          </cell>
          <cell r="N1818">
            <v>4.3410852713178197E-2</v>
          </cell>
          <cell r="O1818">
            <v>13.586479000000001</v>
          </cell>
          <cell r="P1818">
            <v>3.5200000000000002E-2</v>
          </cell>
          <cell r="Q1818">
            <v>13.586479000000001</v>
          </cell>
          <cell r="R1818">
            <v>3.5200000000000002E-2</v>
          </cell>
          <cell r="S1818">
            <v>817.25760400000001</v>
          </cell>
          <cell r="T1818">
            <v>2.07443365695792</v>
          </cell>
          <cell r="U1818">
            <v>100.72276100000001</v>
          </cell>
          <cell r="V1818">
            <v>1.0711974110032301</v>
          </cell>
        </row>
        <row r="1819">
          <cell r="A1819" t="str">
            <v>130906</v>
          </cell>
          <cell r="B1819">
            <v>742.83333300000004</v>
          </cell>
          <cell r="C1819">
            <v>161.78945100000001</v>
          </cell>
          <cell r="D1819">
            <v>1</v>
          </cell>
          <cell r="E1819">
            <v>161.78945100000001</v>
          </cell>
          <cell r="F1819">
            <v>1</v>
          </cell>
          <cell r="G1819">
            <v>299.94733000000002</v>
          </cell>
          <cell r="H1819">
            <v>0.92452830188679203</v>
          </cell>
          <cell r="I1819">
            <v>249.642145</v>
          </cell>
          <cell r="J1819">
            <v>0.70485175202156303</v>
          </cell>
          <cell r="K1819">
            <v>11.686734</v>
          </cell>
          <cell r="L1819">
            <v>0.15810810810810799</v>
          </cell>
          <cell r="M1819">
            <v>11.686734</v>
          </cell>
          <cell r="N1819">
            <v>0.15810810810810799</v>
          </cell>
          <cell r="O1819">
            <v>423.97524700000002</v>
          </cell>
          <cell r="P1819">
            <v>1.0795148247978399</v>
          </cell>
          <cell r="Q1819">
            <v>423.97524700000002</v>
          </cell>
          <cell r="R1819">
            <v>1.0795148247978399</v>
          </cell>
          <cell r="S1819">
            <v>22.696674999999999</v>
          </cell>
          <cell r="T1819">
            <v>0.220744680851063</v>
          </cell>
          <cell r="U1819">
            <v>22.696674999999999</v>
          </cell>
          <cell r="V1819">
            <v>0.220744680851063</v>
          </cell>
        </row>
        <row r="1820">
          <cell r="A1820" t="str">
            <v>131201</v>
          </cell>
          <cell r="B1820">
            <v>745.44444399999998</v>
          </cell>
          <cell r="C1820">
            <v>153.984218</v>
          </cell>
          <cell r="D1820">
            <v>0.54172185430463504</v>
          </cell>
          <cell r="E1820">
            <v>153.984218</v>
          </cell>
          <cell r="F1820">
            <v>0.54172185430463504</v>
          </cell>
          <cell r="G1820">
            <v>228.90267</v>
          </cell>
          <cell r="H1820">
            <v>0.27903871829105398</v>
          </cell>
          <cell r="I1820">
            <v>40.304985000000002</v>
          </cell>
          <cell r="J1820">
            <v>0.12683578104138801</v>
          </cell>
          <cell r="K1820">
            <v>262.58828499999998</v>
          </cell>
          <cell r="L1820">
            <v>0.54618473895582298</v>
          </cell>
          <cell r="M1820">
            <v>27.357295000000001</v>
          </cell>
          <cell r="N1820">
            <v>0.182061579651941</v>
          </cell>
          <cell r="O1820">
            <v>1649.9074230000001</v>
          </cell>
          <cell r="P1820">
            <v>3.1372812920592099</v>
          </cell>
          <cell r="Q1820">
            <v>473.77494300000001</v>
          </cell>
          <cell r="R1820">
            <v>2.3485868102288001</v>
          </cell>
          <cell r="S1820">
            <v>458.00331799999998</v>
          </cell>
          <cell r="T1820">
            <v>0.36314363143631401</v>
          </cell>
          <cell r="U1820">
            <v>25.241168999999999</v>
          </cell>
          <cell r="V1820">
            <v>0.19647696476964699</v>
          </cell>
        </row>
        <row r="1821">
          <cell r="A1821" t="str">
            <v>131202</v>
          </cell>
          <cell r="B1821">
            <v>687.4</v>
          </cell>
          <cell r="C1821">
            <v>76.948299000000006</v>
          </cell>
          <cell r="D1821">
            <v>0.351079136690647</v>
          </cell>
          <cell r="E1821">
            <v>68.026933999999997</v>
          </cell>
          <cell r="F1821">
            <v>0.32949640287769699</v>
          </cell>
          <cell r="G1821">
            <v>626.57824000000005</v>
          </cell>
          <cell r="H1821">
            <v>1.4805194805194799</v>
          </cell>
          <cell r="I1821">
            <v>555.80364899999995</v>
          </cell>
          <cell r="J1821">
            <v>1.37662337662337</v>
          </cell>
          <cell r="K1821">
            <v>1949.880502</v>
          </cell>
          <cell r="L1821">
            <v>3.4092888243831601</v>
          </cell>
          <cell r="M1821">
            <v>127.982704</v>
          </cell>
          <cell r="N1821">
            <v>1.19738751814223</v>
          </cell>
          <cell r="O1821">
            <v>933.51083400000005</v>
          </cell>
          <cell r="P1821">
            <v>1.3147877013177101</v>
          </cell>
          <cell r="Q1821">
            <v>125.50039</v>
          </cell>
          <cell r="R1821">
            <v>0.69106881405563603</v>
          </cell>
          <cell r="S1821">
            <v>661.21255399999995</v>
          </cell>
          <cell r="T1821">
            <v>1.2245199409158001</v>
          </cell>
          <cell r="U1821">
            <v>73.531707999999995</v>
          </cell>
          <cell r="V1821">
            <v>0.58050221565731097</v>
          </cell>
        </row>
        <row r="1822">
          <cell r="A1822" t="str">
            <v>131401</v>
          </cell>
          <cell r="B1822">
            <v>148.80000000000001</v>
          </cell>
          <cell r="C1822">
            <v>737.93465700000002</v>
          </cell>
          <cell r="D1822">
            <v>0.63157894736842102</v>
          </cell>
          <cell r="E1822">
            <v>140.401938</v>
          </cell>
          <cell r="F1822">
            <v>0.32894736842105199</v>
          </cell>
          <cell r="G1822">
            <v>1086.124129</v>
          </cell>
          <cell r="H1822">
            <v>1.0335570469798601</v>
          </cell>
          <cell r="I1822">
            <v>129.370532</v>
          </cell>
          <cell r="J1822">
            <v>0.48993288590604001</v>
          </cell>
          <cell r="K1822">
            <v>1275.999098</v>
          </cell>
          <cell r="L1822">
            <v>2.2094594594594499</v>
          </cell>
          <cell r="M1822">
            <v>447.86677900000001</v>
          </cell>
          <cell r="N1822">
            <v>1.66891891891891</v>
          </cell>
          <cell r="O1822">
            <v>818.46463900000003</v>
          </cell>
          <cell r="P1822">
            <v>2.0405405405405399</v>
          </cell>
          <cell r="Q1822">
            <v>231.82004499999999</v>
          </cell>
          <cell r="R1822">
            <v>1.4932432432432401</v>
          </cell>
          <cell r="S1822">
            <v>205.11961299999999</v>
          </cell>
          <cell r="T1822">
            <v>0.65986394557823103</v>
          </cell>
          <cell r="U1822">
            <v>99.000566000000006</v>
          </cell>
          <cell r="V1822">
            <v>0.62585034013605401</v>
          </cell>
        </row>
        <row r="1823">
          <cell r="A1823" t="str">
            <v>131402</v>
          </cell>
          <cell r="B1823">
            <v>367.6</v>
          </cell>
          <cell r="C1823">
            <v>897.870991</v>
          </cell>
          <cell r="D1823">
            <v>2.3450134770889401</v>
          </cell>
          <cell r="E1823">
            <v>335.38269400000001</v>
          </cell>
          <cell r="F1823">
            <v>2.1024258760107801</v>
          </cell>
          <cell r="G1823">
            <v>1068.9126819999999</v>
          </cell>
          <cell r="H1823">
            <v>1.3242506811989101</v>
          </cell>
          <cell r="I1823">
            <v>163.28183899999999</v>
          </cell>
          <cell r="J1823">
            <v>0.768392370572207</v>
          </cell>
          <cell r="K1823">
            <v>585.32172000000003</v>
          </cell>
          <cell r="L1823">
            <v>1.68306010928961</v>
          </cell>
          <cell r="M1823">
            <v>87.209608000000003</v>
          </cell>
          <cell r="N1823">
            <v>0.93169398907103795</v>
          </cell>
          <cell r="O1823">
            <v>732.06510500000002</v>
          </cell>
          <cell r="P1823">
            <v>1.00826446280991</v>
          </cell>
          <cell r="Q1823">
            <v>91.000872000000001</v>
          </cell>
          <cell r="R1823">
            <v>0.41046831955922802</v>
          </cell>
          <cell r="S1823">
            <v>1358.8959110000001</v>
          </cell>
          <cell r="T1823">
            <v>1.0485175202156301</v>
          </cell>
          <cell r="U1823">
            <v>104.357322</v>
          </cell>
          <cell r="V1823">
            <v>0.51482479784366497</v>
          </cell>
        </row>
        <row r="1824">
          <cell r="A1824" t="str">
            <v>132201</v>
          </cell>
          <cell r="B1824">
            <v>792.6</v>
          </cell>
          <cell r="C1824">
            <v>183.21291500000001</v>
          </cell>
          <cell r="D1824">
            <v>1.05904522613065</v>
          </cell>
          <cell r="E1824">
            <v>170.375698</v>
          </cell>
          <cell r="F1824">
            <v>1.0489949748743701</v>
          </cell>
          <cell r="G1824">
            <v>385.31483600000001</v>
          </cell>
          <cell r="H1824">
            <v>1.3934426229508099</v>
          </cell>
          <cell r="I1824">
            <v>279.88513999999998</v>
          </cell>
          <cell r="J1824">
            <v>0.87767969735182805</v>
          </cell>
          <cell r="K1824">
            <v>1380.852077</v>
          </cell>
          <cell r="L1824">
            <v>2.5125944584382802</v>
          </cell>
          <cell r="M1824">
            <v>348.07458000000003</v>
          </cell>
          <cell r="N1824">
            <v>1.8501259445843801</v>
          </cell>
          <cell r="O1824">
            <v>546.23417199999994</v>
          </cell>
          <cell r="P1824">
            <v>1.5327455919395401</v>
          </cell>
          <cell r="Q1824">
            <v>245.24063799999999</v>
          </cell>
          <cell r="R1824">
            <v>1.0617128463476</v>
          </cell>
          <cell r="S1824">
            <v>3104.0144610000002</v>
          </cell>
          <cell r="T1824">
            <v>3.99109414758269</v>
          </cell>
          <cell r="U1824">
            <v>441.91660300000001</v>
          </cell>
          <cell r="V1824">
            <v>2.1564885496183201</v>
          </cell>
        </row>
        <row r="1825">
          <cell r="A1825" t="str">
            <v>132202</v>
          </cell>
          <cell r="B1825">
            <v>255.6</v>
          </cell>
          <cell r="C1825">
            <v>388.318198</v>
          </cell>
          <cell r="D1825">
            <v>1.2779922779922701</v>
          </cell>
          <cell r="E1825">
            <v>386.782871</v>
          </cell>
          <cell r="F1825">
            <v>1.2548262548262501</v>
          </cell>
          <cell r="G1825">
            <v>543.85731999999996</v>
          </cell>
          <cell r="H1825">
            <v>1.1081081081080999</v>
          </cell>
          <cell r="I1825">
            <v>307.31608899999998</v>
          </cell>
          <cell r="J1825">
            <v>0.91891891891891797</v>
          </cell>
          <cell r="K1825">
            <v>480.20357899999999</v>
          </cell>
          <cell r="L1825">
            <v>2.58984375</v>
          </cell>
          <cell r="M1825">
            <v>366.62174399999998</v>
          </cell>
          <cell r="N1825">
            <v>2.1796875</v>
          </cell>
          <cell r="O1825">
            <v>457.25006400000001</v>
          </cell>
          <cell r="P1825">
            <v>1.6381322957198401</v>
          </cell>
          <cell r="Q1825">
            <v>197.51147800000001</v>
          </cell>
          <cell r="R1825">
            <v>0.80544747081711998</v>
          </cell>
          <cell r="S1825">
            <v>1666.7599849999999</v>
          </cell>
          <cell r="T1825">
            <v>2.73684210526315</v>
          </cell>
          <cell r="U1825">
            <v>300.97179399999999</v>
          </cell>
          <cell r="V1825">
            <v>2.1983805668016099</v>
          </cell>
        </row>
        <row r="1826">
          <cell r="A1826" t="str">
            <v>132301</v>
          </cell>
          <cell r="B1826">
            <v>1</v>
          </cell>
          <cell r="C1826">
            <v>111</v>
          </cell>
          <cell r="D1826">
            <v>1</v>
          </cell>
          <cell r="E1826">
            <v>111</v>
          </cell>
          <cell r="F1826">
            <v>1</v>
          </cell>
          <cell r="G1826">
            <v>166</v>
          </cell>
          <cell r="H1826">
            <v>1</v>
          </cell>
          <cell r="I1826">
            <v>166</v>
          </cell>
          <cell r="J1826">
            <v>1</v>
          </cell>
          <cell r="K1826">
            <v>0</v>
          </cell>
          <cell r="L1826">
            <v>0</v>
          </cell>
          <cell r="M1826">
            <v>0</v>
          </cell>
          <cell r="N1826">
            <v>0</v>
          </cell>
          <cell r="O1826">
            <v>0</v>
          </cell>
          <cell r="P1826">
            <v>0</v>
          </cell>
          <cell r="Q1826">
            <v>0</v>
          </cell>
          <cell r="R1826">
            <v>0</v>
          </cell>
          <cell r="S1826">
            <v>0</v>
          </cell>
          <cell r="T1826">
            <v>0</v>
          </cell>
          <cell r="U1826">
            <v>0</v>
          </cell>
          <cell r="V1826">
            <v>0</v>
          </cell>
        </row>
        <row r="1827">
          <cell r="A1827" t="str">
            <v>132302</v>
          </cell>
          <cell r="B1827">
            <v>0</v>
          </cell>
          <cell r="C1827">
            <v>0</v>
          </cell>
          <cell r="D1827">
            <v>0</v>
          </cell>
          <cell r="E1827">
            <v>0</v>
          </cell>
          <cell r="F1827">
            <v>0</v>
          </cell>
          <cell r="G1827">
            <v>0</v>
          </cell>
          <cell r="H1827">
            <v>0</v>
          </cell>
          <cell r="I1827">
            <v>0</v>
          </cell>
          <cell r="J1827">
            <v>0</v>
          </cell>
          <cell r="K1827">
            <v>0</v>
          </cell>
          <cell r="L1827">
            <v>0</v>
          </cell>
          <cell r="M1827">
            <v>0</v>
          </cell>
          <cell r="N1827">
            <v>0</v>
          </cell>
          <cell r="O1827">
            <v>0</v>
          </cell>
          <cell r="P1827">
            <v>0</v>
          </cell>
          <cell r="Q1827">
            <v>0</v>
          </cell>
          <cell r="R1827">
            <v>0</v>
          </cell>
          <cell r="S1827" t="str">
            <v>NULL</v>
          </cell>
          <cell r="T1827" t="str">
            <v>NULL</v>
          </cell>
          <cell r="U1827" t="str">
            <v>NULL</v>
          </cell>
          <cell r="V1827" t="str">
            <v>NULL</v>
          </cell>
        </row>
        <row r="1828">
          <cell r="A1828" t="str">
            <v>132303</v>
          </cell>
          <cell r="B1828">
            <v>1982.333333</v>
          </cell>
          <cell r="C1828">
            <v>0</v>
          </cell>
          <cell r="D1828">
            <v>0</v>
          </cell>
          <cell r="E1828">
            <v>0</v>
          </cell>
          <cell r="F1828">
            <v>0</v>
          </cell>
          <cell r="G1828">
            <v>0</v>
          </cell>
          <cell r="H1828">
            <v>0</v>
          </cell>
          <cell r="I1828">
            <v>0</v>
          </cell>
          <cell r="J1828">
            <v>0</v>
          </cell>
          <cell r="K1828">
            <v>143.593919</v>
          </cell>
          <cell r="L1828">
            <v>0.64867903316469899</v>
          </cell>
          <cell r="M1828">
            <v>96.181656000000004</v>
          </cell>
          <cell r="N1828">
            <v>0.59865092748735205</v>
          </cell>
          <cell r="O1828">
            <v>37.122005999999999</v>
          </cell>
          <cell r="P1828">
            <v>0.10234337637494</v>
          </cell>
          <cell r="Q1828">
            <v>36.541184000000001</v>
          </cell>
          <cell r="R1828">
            <v>8.7996174079387798E-2</v>
          </cell>
          <cell r="S1828">
            <v>135.13084499999999</v>
          </cell>
          <cell r="T1828">
            <v>0.83196918632643202</v>
          </cell>
          <cell r="U1828">
            <v>60.238308000000004</v>
          </cell>
          <cell r="V1828">
            <v>0.66730861819932497</v>
          </cell>
        </row>
        <row r="1829">
          <cell r="A1829" t="str">
            <v>132304</v>
          </cell>
          <cell r="B1829">
            <v>850</v>
          </cell>
          <cell r="C1829">
            <v>0</v>
          </cell>
          <cell r="D1829">
            <v>0</v>
          </cell>
          <cell r="E1829">
            <v>0</v>
          </cell>
          <cell r="F1829">
            <v>0</v>
          </cell>
          <cell r="G1829">
            <v>0</v>
          </cell>
          <cell r="H1829">
            <v>0</v>
          </cell>
          <cell r="I1829">
            <v>0</v>
          </cell>
          <cell r="J1829">
            <v>0</v>
          </cell>
          <cell r="K1829">
            <v>1193.063776</v>
          </cell>
          <cell r="L1829">
            <v>0.97463002114164898</v>
          </cell>
          <cell r="M1829">
            <v>94.705055999999999</v>
          </cell>
          <cell r="N1829">
            <v>0.25898520084566501</v>
          </cell>
          <cell r="O1829">
            <v>159.14508599999999</v>
          </cell>
          <cell r="P1829">
            <v>0.34186284544523998</v>
          </cell>
          <cell r="Q1829">
            <v>78.643738999999997</v>
          </cell>
          <cell r="R1829">
            <v>0.203684749232343</v>
          </cell>
          <cell r="S1829">
            <v>1335.4884890000001</v>
          </cell>
          <cell r="T1829">
            <v>1.11164274322169</v>
          </cell>
          <cell r="U1829">
            <v>20.686788</v>
          </cell>
          <cell r="V1829">
            <v>0.124401913875598</v>
          </cell>
        </row>
        <row r="1830">
          <cell r="A1830" t="str">
            <v>132901</v>
          </cell>
          <cell r="B1830">
            <v>1</v>
          </cell>
          <cell r="C1830">
            <v>0</v>
          </cell>
          <cell r="D1830">
            <v>0</v>
          </cell>
          <cell r="E1830">
            <v>0</v>
          </cell>
          <cell r="F1830">
            <v>0</v>
          </cell>
          <cell r="G1830">
            <v>0</v>
          </cell>
          <cell r="H1830">
            <v>0</v>
          </cell>
          <cell r="I1830">
            <v>0</v>
          </cell>
          <cell r="J1830">
            <v>0</v>
          </cell>
          <cell r="K1830">
            <v>0</v>
          </cell>
          <cell r="L1830">
            <v>0</v>
          </cell>
          <cell r="M1830">
            <v>0</v>
          </cell>
          <cell r="N1830">
            <v>0</v>
          </cell>
          <cell r="O1830">
            <v>269</v>
          </cell>
          <cell r="P1830">
            <v>1</v>
          </cell>
          <cell r="Q1830">
            <v>269</v>
          </cell>
          <cell r="R1830">
            <v>1</v>
          </cell>
          <cell r="S1830">
            <v>0</v>
          </cell>
          <cell r="T1830">
            <v>0</v>
          </cell>
          <cell r="U1830">
            <v>0</v>
          </cell>
          <cell r="V1830">
            <v>0</v>
          </cell>
        </row>
        <row r="1831">
          <cell r="A1831" t="str">
            <v>133201</v>
          </cell>
          <cell r="B1831">
            <v>1166.8571420000001</v>
          </cell>
          <cell r="C1831">
            <v>131.26054999999999</v>
          </cell>
          <cell r="D1831">
            <v>1.64554794520547</v>
          </cell>
          <cell r="E1831">
            <v>131.26054999999999</v>
          </cell>
          <cell r="F1831">
            <v>1.64554794520547</v>
          </cell>
          <cell r="G1831">
            <v>86.303037000000003</v>
          </cell>
          <cell r="H1831">
            <v>0.381725021349274</v>
          </cell>
          <cell r="I1831">
            <v>86.303037000000003</v>
          </cell>
          <cell r="J1831">
            <v>0.381725021349274</v>
          </cell>
          <cell r="K1831">
            <v>1.8653120000000001</v>
          </cell>
          <cell r="L1831">
            <v>1.19760479041916E-2</v>
          </cell>
          <cell r="M1831">
            <v>1.8653120000000001</v>
          </cell>
          <cell r="N1831">
            <v>1.19760479041916E-2</v>
          </cell>
          <cell r="O1831">
            <v>123.693252</v>
          </cell>
          <cell r="P1831">
            <v>0.77873070325900495</v>
          </cell>
          <cell r="Q1831">
            <v>86.835677000000004</v>
          </cell>
          <cell r="R1831">
            <v>0.68782161234991401</v>
          </cell>
          <cell r="S1831">
            <v>624.09481600000004</v>
          </cell>
          <cell r="T1831">
            <v>0.60824742268041199</v>
          </cell>
          <cell r="U1831">
            <v>65.712470999999994</v>
          </cell>
          <cell r="V1831">
            <v>0.48024054982817799</v>
          </cell>
        </row>
        <row r="1832">
          <cell r="A1832" t="str">
            <v>133202</v>
          </cell>
          <cell r="B1832">
            <v>2078.888888</v>
          </cell>
          <cell r="C1832">
            <v>58.439197999999998</v>
          </cell>
          <cell r="D1832">
            <v>0.28908128908128899</v>
          </cell>
          <cell r="E1832">
            <v>34.623919000000001</v>
          </cell>
          <cell r="F1832">
            <v>0.236171236171236</v>
          </cell>
          <cell r="G1832">
            <v>26.441271</v>
          </cell>
          <cell r="H1832">
            <v>7.5444497837578006E-2</v>
          </cell>
          <cell r="I1832">
            <v>21.389946999999999</v>
          </cell>
          <cell r="J1832">
            <v>6.6314271984622697E-2</v>
          </cell>
          <cell r="K1832">
            <v>91.708580999999995</v>
          </cell>
          <cell r="L1832">
            <v>0.93798076923076901</v>
          </cell>
          <cell r="M1832">
            <v>91.708580999999995</v>
          </cell>
          <cell r="N1832">
            <v>0.93798076923076901</v>
          </cell>
          <cell r="O1832">
            <v>55.725234999999998</v>
          </cell>
          <cell r="P1832">
            <v>0.112554112554112</v>
          </cell>
          <cell r="Q1832">
            <v>5.977849</v>
          </cell>
          <cell r="R1832">
            <v>8.1770081770081701E-2</v>
          </cell>
          <cell r="S1832">
            <v>17.147324999999999</v>
          </cell>
          <cell r="T1832">
            <v>0.15895953757225401</v>
          </cell>
          <cell r="U1832">
            <v>10.915028</v>
          </cell>
          <cell r="V1832">
            <v>0.14691714836223499</v>
          </cell>
        </row>
        <row r="1833">
          <cell r="A1833" t="str">
            <v>133203</v>
          </cell>
          <cell r="B1833">
            <v>2231.888888</v>
          </cell>
          <cell r="C1833">
            <v>83.476596999999998</v>
          </cell>
          <cell r="D1833">
            <v>0.57365376056964801</v>
          </cell>
          <cell r="E1833">
            <v>82.781917000000007</v>
          </cell>
          <cell r="F1833">
            <v>0.55941255006675505</v>
          </cell>
          <cell r="G1833">
            <v>442.23215299999998</v>
          </cell>
          <cell r="H1833">
            <v>1.5066904549509299</v>
          </cell>
          <cell r="I1833">
            <v>71.617125000000001</v>
          </cell>
          <cell r="J1833">
            <v>0.36396074933095401</v>
          </cell>
          <cell r="K1833">
            <v>63.068016999999998</v>
          </cell>
          <cell r="L1833">
            <v>0.35871025526197903</v>
          </cell>
          <cell r="M1833">
            <v>63.068016999999998</v>
          </cell>
          <cell r="N1833">
            <v>0.35871025526197903</v>
          </cell>
          <cell r="O1833">
            <v>193.39309700000001</v>
          </cell>
          <cell r="P1833">
            <v>0.97706834532374098</v>
          </cell>
          <cell r="Q1833">
            <v>88.076235999999994</v>
          </cell>
          <cell r="R1833">
            <v>0.86420863309352502</v>
          </cell>
          <cell r="S1833">
            <v>12.779260000000001</v>
          </cell>
          <cell r="T1833">
            <v>0.11427280939476001</v>
          </cell>
          <cell r="U1833">
            <v>12.470204000000001</v>
          </cell>
          <cell r="V1833">
            <v>0.113821138211382</v>
          </cell>
        </row>
        <row r="1834">
          <cell r="A1834" t="str">
            <v>133501</v>
          </cell>
          <cell r="B1834">
            <v>1447.4</v>
          </cell>
          <cell r="C1834">
            <v>2840.871322</v>
          </cell>
          <cell r="D1834">
            <v>3.0925925925925899</v>
          </cell>
          <cell r="E1834">
            <v>247.39110199999999</v>
          </cell>
          <cell r="F1834">
            <v>1.8203017832647399</v>
          </cell>
          <cell r="G1834">
            <v>220.55647300000001</v>
          </cell>
          <cell r="H1834">
            <v>0.82864976010966396</v>
          </cell>
          <cell r="I1834">
            <v>178.96660900000001</v>
          </cell>
          <cell r="J1834">
            <v>0.72721041809458498</v>
          </cell>
          <cell r="K1834">
            <v>1123.975275</v>
          </cell>
          <cell r="L1834">
            <v>2.7052341597796099</v>
          </cell>
          <cell r="M1834">
            <v>256.27733000000001</v>
          </cell>
          <cell r="N1834">
            <v>0.97451790633608804</v>
          </cell>
          <cell r="O1834">
            <v>187.56353999999999</v>
          </cell>
          <cell r="P1834">
            <v>0.72595155709342496</v>
          </cell>
          <cell r="Q1834">
            <v>99.274821000000003</v>
          </cell>
          <cell r="R1834">
            <v>0.53079584775086497</v>
          </cell>
          <cell r="S1834">
            <v>1590.060025</v>
          </cell>
          <cell r="T1834">
            <v>2.1377371749824299</v>
          </cell>
          <cell r="U1834">
            <v>255.169782</v>
          </cell>
          <cell r="V1834">
            <v>1.0295151089248</v>
          </cell>
        </row>
        <row r="1835">
          <cell r="A1835" t="str">
            <v>133502</v>
          </cell>
          <cell r="B1835">
            <v>258.8</v>
          </cell>
          <cell r="C1835">
            <v>9635.3000219999994</v>
          </cell>
          <cell r="D1835">
            <v>2.22779922779922</v>
          </cell>
          <cell r="E1835">
            <v>93.393513999999996</v>
          </cell>
          <cell r="F1835">
            <v>0.46718146718146703</v>
          </cell>
          <cell r="G1835">
            <v>313.02429899999998</v>
          </cell>
          <cell r="H1835">
            <v>1.2316602316602301</v>
          </cell>
          <cell r="I1835">
            <v>117.038279</v>
          </cell>
          <cell r="J1835">
            <v>0.86486486486486402</v>
          </cell>
          <cell r="K1835">
            <v>162.429293</v>
          </cell>
          <cell r="L1835">
            <v>0.36923076923076897</v>
          </cell>
          <cell r="M1835">
            <v>37.606217000000001</v>
          </cell>
          <cell r="N1835">
            <v>0.21538461538461501</v>
          </cell>
          <cell r="O1835">
            <v>686.80192199999999</v>
          </cell>
          <cell r="P1835">
            <v>1.0499999999999901</v>
          </cell>
          <cell r="Q1835">
            <v>4.5846150000000003</v>
          </cell>
          <cell r="R1835">
            <v>3.4615384615384603E-2</v>
          </cell>
          <cell r="S1835">
            <v>1528.270767</v>
          </cell>
          <cell r="T1835">
            <v>2.70703125</v>
          </cell>
          <cell r="U1835">
            <v>551.73684800000001</v>
          </cell>
          <cell r="V1835">
            <v>2.4921875</v>
          </cell>
        </row>
        <row r="1836">
          <cell r="A1836" t="str">
            <v>133503</v>
          </cell>
          <cell r="B1836">
            <v>645.4</v>
          </cell>
          <cell r="C1836">
            <v>5098.4334930000005</v>
          </cell>
          <cell r="D1836">
            <v>4.1100917431192601</v>
          </cell>
          <cell r="E1836">
            <v>755.71298100000001</v>
          </cell>
          <cell r="F1836">
            <v>3.31192660550458</v>
          </cell>
          <cell r="G1836">
            <v>7067.5124880000003</v>
          </cell>
          <cell r="H1836">
            <v>3.1981566820276401</v>
          </cell>
          <cell r="I1836">
            <v>243.025745</v>
          </cell>
          <cell r="J1836">
            <v>1.76958525345622</v>
          </cell>
          <cell r="K1836">
            <v>129.43230399999999</v>
          </cell>
          <cell r="L1836">
            <v>1.0324074074073999</v>
          </cell>
          <cell r="M1836">
            <v>39.812834000000002</v>
          </cell>
          <cell r="N1836">
            <v>0.39969135802469102</v>
          </cell>
          <cell r="O1836">
            <v>420.05678999999998</v>
          </cell>
          <cell r="P1836">
            <v>1.7029548989113501</v>
          </cell>
          <cell r="Q1836">
            <v>402.81697700000001</v>
          </cell>
          <cell r="R1836">
            <v>1.6656298600310999</v>
          </cell>
          <cell r="S1836">
            <v>295.671605</v>
          </cell>
          <cell r="T1836">
            <v>2.2979397781299502</v>
          </cell>
          <cell r="U1836">
            <v>265.721949</v>
          </cell>
          <cell r="V1836">
            <v>2.22820919175911</v>
          </cell>
        </row>
        <row r="1837">
          <cell r="A1837" t="str">
            <v>133504</v>
          </cell>
          <cell r="B1837">
            <v>705.8</v>
          </cell>
          <cell r="C1837">
            <v>5696.1371939999999</v>
          </cell>
          <cell r="D1837">
            <v>2.3670886075949298</v>
          </cell>
          <cell r="E1837">
            <v>310.35591499999998</v>
          </cell>
          <cell r="F1837">
            <v>1.3895921237693301</v>
          </cell>
          <cell r="G1837">
            <v>85.621747999999997</v>
          </cell>
          <cell r="H1837">
            <v>0.60422535211267603</v>
          </cell>
          <cell r="I1837">
            <v>69.258720999999994</v>
          </cell>
          <cell r="J1837">
            <v>0.53521126760563298</v>
          </cell>
          <cell r="K1837">
            <v>998.16497100000004</v>
          </cell>
          <cell r="L1837">
            <v>1.65254237288135</v>
          </cell>
          <cell r="M1837">
            <v>981.13608699999997</v>
          </cell>
          <cell r="N1837">
            <v>1.60451977401129</v>
          </cell>
          <cell r="O1837">
            <v>296.13376</v>
          </cell>
          <cell r="P1837">
            <v>2.7991452991452901</v>
          </cell>
          <cell r="Q1837">
            <v>293.43867499999999</v>
          </cell>
          <cell r="R1837">
            <v>2.7962962962962901</v>
          </cell>
          <cell r="S1837">
            <v>1518.3840009999999</v>
          </cell>
          <cell r="T1837">
            <v>4.6934097421203402</v>
          </cell>
          <cell r="U1837">
            <v>649.40319899999997</v>
          </cell>
          <cell r="V1837">
            <v>2.96704871060171</v>
          </cell>
        </row>
        <row r="1838">
          <cell r="A1838" t="str">
            <v>133901</v>
          </cell>
          <cell r="B1838">
            <v>814.57142799999997</v>
          </cell>
          <cell r="C1838">
            <v>35.099335000000004</v>
          </cell>
          <cell r="D1838">
            <v>0.23133414932680499</v>
          </cell>
          <cell r="E1838">
            <v>35.099335000000004</v>
          </cell>
          <cell r="F1838">
            <v>0.23133414932680499</v>
          </cell>
          <cell r="G1838">
            <v>570.50918999999999</v>
          </cell>
          <cell r="H1838">
            <v>0.53836784409256999</v>
          </cell>
          <cell r="I1838">
            <v>133.68372099999999</v>
          </cell>
          <cell r="J1838">
            <v>0.42874543239951202</v>
          </cell>
          <cell r="K1838">
            <v>23.796927</v>
          </cell>
          <cell r="L1838">
            <v>0.139194139194139</v>
          </cell>
          <cell r="M1838">
            <v>23.796927</v>
          </cell>
          <cell r="N1838">
            <v>0.139194139194139</v>
          </cell>
          <cell r="O1838">
            <v>208.47065799999999</v>
          </cell>
          <cell r="P1838">
            <v>0.16339066339066299</v>
          </cell>
          <cell r="Q1838">
            <v>13.678419</v>
          </cell>
          <cell r="R1838">
            <v>0.12776412776412699</v>
          </cell>
          <cell r="S1838">
            <v>10.927156</v>
          </cell>
          <cell r="T1838">
            <v>0.15326633165829101</v>
          </cell>
          <cell r="U1838">
            <v>10.927156</v>
          </cell>
          <cell r="V1838">
            <v>0.15326633165829101</v>
          </cell>
        </row>
        <row r="1839">
          <cell r="A1839" t="str">
            <v>133902</v>
          </cell>
          <cell r="B1839">
            <v>1385.8</v>
          </cell>
          <cell r="C1839">
            <v>1616.254093</v>
          </cell>
          <cell r="D1839">
            <v>2.5920471281295998</v>
          </cell>
          <cell r="E1839">
            <v>311.67702400000002</v>
          </cell>
          <cell r="F1839">
            <v>1.2540500736377</v>
          </cell>
          <cell r="G1839">
            <v>3019.334742</v>
          </cell>
          <cell r="H1839">
            <v>3.8144404332129902</v>
          </cell>
          <cell r="I1839">
            <v>521.31441700000005</v>
          </cell>
          <cell r="J1839">
            <v>1.84259927797833</v>
          </cell>
          <cell r="K1839">
            <v>909.54909399999997</v>
          </cell>
          <cell r="L1839">
            <v>1.0842857142857101</v>
          </cell>
          <cell r="M1839">
            <v>199.007071</v>
          </cell>
          <cell r="N1839">
            <v>0.82785714285714196</v>
          </cell>
          <cell r="O1839">
            <v>3104.5189180000002</v>
          </cell>
          <cell r="P1839">
            <v>1.58453757225433</v>
          </cell>
          <cell r="Q1839">
            <v>111.984802</v>
          </cell>
          <cell r="R1839">
            <v>0.57586705202312105</v>
          </cell>
          <cell r="S1839">
            <v>79.979612000000003</v>
          </cell>
          <cell r="T1839">
            <v>0.32310984308131202</v>
          </cell>
          <cell r="U1839">
            <v>78.939598000000004</v>
          </cell>
          <cell r="V1839">
            <v>0.320970042796005</v>
          </cell>
        </row>
        <row r="1840">
          <cell r="A1840" t="str">
            <v>133903</v>
          </cell>
          <cell r="B1840">
            <v>672.2</v>
          </cell>
          <cell r="C1840">
            <v>140.88697999999999</v>
          </cell>
          <cell r="D1840">
            <v>0.46017699115044203</v>
          </cell>
          <cell r="E1840">
            <v>15.170774</v>
          </cell>
          <cell r="F1840">
            <v>8.9970501474926204E-2</v>
          </cell>
          <cell r="G1840">
            <v>979.45518200000004</v>
          </cell>
          <cell r="H1840">
            <v>1.2562592047128101</v>
          </cell>
          <cell r="I1840">
            <v>160.042113</v>
          </cell>
          <cell r="J1840">
            <v>0.55817378497790804</v>
          </cell>
          <cell r="K1840">
            <v>1744.9836539999999</v>
          </cell>
          <cell r="L1840">
            <v>1.75519287833827</v>
          </cell>
          <cell r="M1840">
            <v>502.33481699999999</v>
          </cell>
          <cell r="N1840">
            <v>1.3041543026706199</v>
          </cell>
          <cell r="O1840">
            <v>1588.2852029999999</v>
          </cell>
          <cell r="P1840">
            <v>0.86949924127465805</v>
          </cell>
          <cell r="Q1840">
            <v>39.599215000000001</v>
          </cell>
          <cell r="R1840">
            <v>0.40667678300455201</v>
          </cell>
          <cell r="S1840">
            <v>167.19215</v>
          </cell>
          <cell r="T1840">
            <v>1.15499254843517</v>
          </cell>
          <cell r="U1840">
            <v>147.799105</v>
          </cell>
          <cell r="V1840">
            <v>1.13263785394932</v>
          </cell>
        </row>
        <row r="1841">
          <cell r="A1841" t="str">
            <v>133904</v>
          </cell>
          <cell r="B1841">
            <v>1529.571428</v>
          </cell>
          <cell r="C1841">
            <v>250.571754</v>
          </cell>
          <cell r="D1841">
            <v>0.16122961104140501</v>
          </cell>
          <cell r="E1841">
            <v>1.802754</v>
          </cell>
          <cell r="F1841">
            <v>1.6938519447929699E-2</v>
          </cell>
          <cell r="G1841">
            <v>1833.622304</v>
          </cell>
          <cell r="H1841">
            <v>1.0965200262639501</v>
          </cell>
          <cell r="I1841">
            <v>133.46060900000001</v>
          </cell>
          <cell r="J1841">
            <v>0.69074195666447802</v>
          </cell>
          <cell r="K1841">
            <v>1.175813</v>
          </cell>
          <cell r="L1841">
            <v>1.51715039577836E-2</v>
          </cell>
          <cell r="M1841">
            <v>1.175813</v>
          </cell>
          <cell r="N1841">
            <v>1.51715039577836E-2</v>
          </cell>
          <cell r="O1841">
            <v>6.7212999999999995E-2</v>
          </cell>
          <cell r="P1841">
            <v>1.3114754098360599E-3</v>
          </cell>
          <cell r="Q1841">
            <v>6.7212999999999995E-2</v>
          </cell>
          <cell r="R1841">
            <v>1.3114754098360599E-3</v>
          </cell>
          <cell r="S1841">
            <v>86.134135999999998</v>
          </cell>
          <cell r="T1841">
            <v>1.38617318435754</v>
          </cell>
          <cell r="U1841">
            <v>86.134135999999998</v>
          </cell>
          <cell r="V1841">
            <v>1.38617318435754</v>
          </cell>
        </row>
        <row r="1842">
          <cell r="A1842" t="str">
            <v>134001</v>
          </cell>
          <cell r="B1842">
            <v>918</v>
          </cell>
          <cell r="C1842">
            <v>6529.5788689999999</v>
          </cell>
          <cell r="D1842">
            <v>4.6842105263157796</v>
          </cell>
          <cell r="E1842">
            <v>430.487526</v>
          </cell>
          <cell r="F1842">
            <v>1.5769980506822601</v>
          </cell>
          <cell r="G1842">
            <v>1561.16588</v>
          </cell>
          <cell r="H1842">
            <v>2.7931707317073098</v>
          </cell>
          <cell r="I1842">
            <v>432.02334300000001</v>
          </cell>
          <cell r="J1842">
            <v>2.0907317073170701</v>
          </cell>
          <cell r="K1842">
            <v>988.79615000000001</v>
          </cell>
          <cell r="L1842">
            <v>2.5870841487279801</v>
          </cell>
          <cell r="M1842">
            <v>571.68388700000003</v>
          </cell>
          <cell r="N1842">
            <v>1.8532289628180001</v>
          </cell>
          <cell r="O1842">
            <v>1776.8856740000001</v>
          </cell>
          <cell r="P1842">
            <v>3.1178781925343801</v>
          </cell>
          <cell r="Q1842">
            <v>764.71743600000002</v>
          </cell>
          <cell r="R1842">
            <v>2.4489194499017599</v>
          </cell>
          <cell r="S1842">
            <v>398.63068099999998</v>
          </cell>
          <cell r="T1842">
            <v>1.7776679841897201</v>
          </cell>
          <cell r="U1842">
            <v>231.60317800000001</v>
          </cell>
          <cell r="V1842">
            <v>1.4249011857707501</v>
          </cell>
        </row>
        <row r="1843">
          <cell r="A1843" t="str">
            <v>134002</v>
          </cell>
          <cell r="B1843">
            <v>1041.2</v>
          </cell>
          <cell r="C1843">
            <v>4579.9928650000002</v>
          </cell>
          <cell r="D1843">
            <v>6.4054054054053999</v>
          </cell>
          <cell r="E1843">
            <v>230.39896999999999</v>
          </cell>
          <cell r="F1843">
            <v>2.3074324324324298</v>
          </cell>
          <cell r="G1843">
            <v>1800.287967</v>
          </cell>
          <cell r="H1843">
            <v>4.4186046511627897</v>
          </cell>
          <cell r="I1843">
            <v>720.48733900000002</v>
          </cell>
          <cell r="J1843">
            <v>2.69681309216192</v>
          </cell>
          <cell r="K1843">
            <v>906.35638400000005</v>
          </cell>
          <cell r="L1843">
            <v>4.25452976704055</v>
          </cell>
          <cell r="M1843">
            <v>805.75001399999996</v>
          </cell>
          <cell r="N1843">
            <v>3.9810181190681599</v>
          </cell>
          <cell r="O1843">
            <v>2271.4556029999999</v>
          </cell>
          <cell r="P1843">
            <v>2.8262380538662</v>
          </cell>
          <cell r="Q1843">
            <v>343.47956799999997</v>
          </cell>
          <cell r="R1843">
            <v>1.61251086012163</v>
          </cell>
          <cell r="S1843">
            <v>240.45819299999999</v>
          </cell>
          <cell r="T1843">
            <v>1.24934383202099</v>
          </cell>
          <cell r="U1843">
            <v>176.71592200000001</v>
          </cell>
          <cell r="V1843">
            <v>1.1819772528433901</v>
          </cell>
        </row>
        <row r="1844">
          <cell r="A1844" t="str">
            <v>134701</v>
          </cell>
          <cell r="B1844">
            <v>425.33333299999998</v>
          </cell>
          <cell r="C1844">
            <v>100.281443</v>
          </cell>
          <cell r="D1844">
            <v>0.63145539906103199</v>
          </cell>
          <cell r="E1844">
            <v>100.281443</v>
          </cell>
          <cell r="F1844">
            <v>0.63145539906103199</v>
          </cell>
          <cell r="G1844">
            <v>75.711941999999993</v>
          </cell>
          <cell r="H1844">
            <v>0.374117647058823</v>
          </cell>
          <cell r="I1844">
            <v>49.566198</v>
          </cell>
          <cell r="J1844">
            <v>0.315294117647058</v>
          </cell>
          <cell r="K1844">
            <v>477.016548</v>
          </cell>
          <cell r="L1844">
            <v>0.52470588235294102</v>
          </cell>
          <cell r="M1844">
            <v>61.141137000000001</v>
          </cell>
          <cell r="N1844">
            <v>0.27058823529411702</v>
          </cell>
          <cell r="O1844">
            <v>677.79639899999995</v>
          </cell>
          <cell r="P1844">
            <v>0.66901408450704203</v>
          </cell>
          <cell r="Q1844">
            <v>15.650233999999999</v>
          </cell>
          <cell r="R1844">
            <v>0.129107981220657</v>
          </cell>
          <cell r="S1844">
            <v>1921.745136</v>
          </cell>
          <cell r="T1844">
            <v>1.8635294117647001</v>
          </cell>
          <cell r="U1844">
            <v>276.20945</v>
          </cell>
          <cell r="V1844">
            <v>0.69176470588235195</v>
          </cell>
        </row>
        <row r="1845">
          <cell r="A1845" t="str">
            <v>134702</v>
          </cell>
          <cell r="B1845">
            <v>2032.8</v>
          </cell>
          <cell r="C1845">
            <v>453.88541099999998</v>
          </cell>
          <cell r="D1845">
            <v>1.5863697705802899</v>
          </cell>
          <cell r="E1845">
            <v>242.39828900000001</v>
          </cell>
          <cell r="F1845">
            <v>0.86099865047233404</v>
          </cell>
          <cell r="G1845">
            <v>512.22863600000005</v>
          </cell>
          <cell r="H1845">
            <v>1.88040478380864</v>
          </cell>
          <cell r="I1845">
            <v>228.398762</v>
          </cell>
          <cell r="J1845">
            <v>1.4843606255749699</v>
          </cell>
          <cell r="K1845">
            <v>865.18049599999995</v>
          </cell>
          <cell r="L1845">
            <v>2.8183072677092902</v>
          </cell>
          <cell r="M1845">
            <v>538.34095300000001</v>
          </cell>
          <cell r="N1845">
            <v>2.5906163753449798</v>
          </cell>
          <cell r="O1845">
            <v>885.54970700000001</v>
          </cell>
          <cell r="P1845">
            <v>1.57644341801385</v>
          </cell>
          <cell r="Q1845">
            <v>53.561546999999997</v>
          </cell>
          <cell r="R1845">
            <v>0.38845265588914502</v>
          </cell>
          <cell r="S1845">
            <v>2296.1515899999999</v>
          </cell>
          <cell r="T1845">
            <v>2.51867219917012</v>
          </cell>
          <cell r="U1845">
            <v>182.47703999999999</v>
          </cell>
          <cell r="V1845">
            <v>1.28676809589672</v>
          </cell>
        </row>
        <row r="1846">
          <cell r="A1846" t="str">
            <v>134801</v>
          </cell>
          <cell r="B1846">
            <v>604.20000000000005</v>
          </cell>
          <cell r="C1846">
            <v>570.33047899999997</v>
          </cell>
          <cell r="D1846">
            <v>0.43275862068965498</v>
          </cell>
          <cell r="E1846">
            <v>45.577688999999999</v>
          </cell>
          <cell r="F1846">
            <v>0.29310344827586199</v>
          </cell>
          <cell r="G1846">
            <v>141.075636</v>
          </cell>
          <cell r="H1846">
            <v>1.79666666666666</v>
          </cell>
          <cell r="I1846">
            <v>134.51645500000001</v>
          </cell>
          <cell r="J1846">
            <v>1.7933333333333299</v>
          </cell>
          <cell r="K1846">
            <v>480.99870199999998</v>
          </cell>
          <cell r="L1846">
            <v>4.6385737439222003</v>
          </cell>
          <cell r="M1846">
            <v>374.23835700000001</v>
          </cell>
          <cell r="N1846">
            <v>4.2495948136142596</v>
          </cell>
          <cell r="O1846">
            <v>598.61701500000004</v>
          </cell>
          <cell r="P1846">
            <v>2.7274193548387</v>
          </cell>
          <cell r="Q1846">
            <v>598.19967699999995</v>
          </cell>
          <cell r="R1846">
            <v>2.7193548387096702</v>
          </cell>
          <cell r="S1846">
            <v>185.896163</v>
          </cell>
          <cell r="T1846">
            <v>0.83609271523178796</v>
          </cell>
          <cell r="U1846">
            <v>107.44635700000001</v>
          </cell>
          <cell r="V1846">
            <v>0.67549668874172097</v>
          </cell>
        </row>
        <row r="1847">
          <cell r="A1847" t="str">
            <v>134802</v>
          </cell>
          <cell r="B1847">
            <v>1120.444444</v>
          </cell>
          <cell r="C1847">
            <v>103.99647299999999</v>
          </cell>
          <cell r="D1847">
            <v>0.10341726618704999</v>
          </cell>
          <cell r="E1847">
            <v>9.1682659999999991</v>
          </cell>
          <cell r="F1847">
            <v>8.0035971223021501E-2</v>
          </cell>
          <cell r="G1847">
            <v>34.634946999999997</v>
          </cell>
          <cell r="H1847">
            <v>0.13357079252003501</v>
          </cell>
          <cell r="I1847">
            <v>13.488319000000001</v>
          </cell>
          <cell r="J1847">
            <v>4.1852181656277798E-2</v>
          </cell>
          <cell r="K1847">
            <v>7.2590779999999997</v>
          </cell>
          <cell r="L1847">
            <v>0.112488928255093</v>
          </cell>
          <cell r="M1847">
            <v>5.9970470000000002</v>
          </cell>
          <cell r="N1847">
            <v>3.8972542072630602E-2</v>
          </cell>
          <cell r="O1847">
            <v>5.800281</v>
          </cell>
          <cell r="P1847">
            <v>2.84697508896797E-2</v>
          </cell>
          <cell r="Q1847">
            <v>5.800281</v>
          </cell>
          <cell r="R1847">
            <v>2.84697508896797E-2</v>
          </cell>
          <cell r="S1847">
            <v>37.109557000000002</v>
          </cell>
          <cell r="T1847">
            <v>8.7813620071684501E-2</v>
          </cell>
          <cell r="U1847">
            <v>6.495908</v>
          </cell>
          <cell r="V1847">
            <v>6.8100358422939003E-2</v>
          </cell>
        </row>
        <row r="1848">
          <cell r="A1848" t="str">
            <v>134803</v>
          </cell>
          <cell r="B1848">
            <v>70.8</v>
          </cell>
          <cell r="C1848">
            <v>114.213173</v>
          </cell>
          <cell r="D1848">
            <v>2.07042253521126</v>
          </cell>
          <cell r="E1848">
            <v>114.213173</v>
          </cell>
          <cell r="F1848">
            <v>2.07042253521126</v>
          </cell>
          <cell r="G1848">
            <v>213.123043</v>
          </cell>
          <cell r="H1848">
            <v>1.51428571428571</v>
          </cell>
          <cell r="I1848">
            <v>213.123043</v>
          </cell>
          <cell r="J1848">
            <v>1.51428571428571</v>
          </cell>
          <cell r="K1848">
            <v>290.71995299999998</v>
          </cell>
          <cell r="L1848">
            <v>1.70422535211267</v>
          </cell>
          <cell r="M1848">
            <v>290.71995299999998</v>
          </cell>
          <cell r="N1848">
            <v>1.70422535211267</v>
          </cell>
          <cell r="O1848">
            <v>111.103809</v>
          </cell>
          <cell r="P1848">
            <v>2</v>
          </cell>
          <cell r="Q1848">
            <v>0</v>
          </cell>
          <cell r="R1848">
            <v>0</v>
          </cell>
          <cell r="S1848">
            <v>6.2604160000000002</v>
          </cell>
          <cell r="T1848">
            <v>4.1666666666666602E-2</v>
          </cell>
          <cell r="U1848">
            <v>6.2604160000000002</v>
          </cell>
          <cell r="V1848">
            <v>4.1666666666666602E-2</v>
          </cell>
        </row>
        <row r="1849">
          <cell r="A1849" t="str">
            <v>135201</v>
          </cell>
          <cell r="B1849">
            <v>1121.5999999999999</v>
          </cell>
          <cell r="C1849">
            <v>5495.8972759999997</v>
          </cell>
          <cell r="D1849">
            <v>5.4611801242236</v>
          </cell>
          <cell r="E1849">
            <v>1509.1009240000001</v>
          </cell>
          <cell r="F1849">
            <v>3.3757763975155202</v>
          </cell>
          <cell r="G1849">
            <v>684.60381099999995</v>
          </cell>
          <cell r="H1849">
            <v>2.0071599045345998</v>
          </cell>
          <cell r="I1849">
            <v>91.278097000000002</v>
          </cell>
          <cell r="J1849">
            <v>0.77804295942720703</v>
          </cell>
          <cell r="K1849">
            <v>1473.610717</v>
          </cell>
          <cell r="L1849">
            <v>2.3110932475884201</v>
          </cell>
          <cell r="M1849">
            <v>110.343649</v>
          </cell>
          <cell r="N1849">
            <v>1.4011254019292601</v>
          </cell>
          <cell r="O1849">
            <v>208.11120299999999</v>
          </cell>
          <cell r="P1849">
            <v>1.5903614457831301</v>
          </cell>
          <cell r="Q1849">
            <v>186.80989199999999</v>
          </cell>
          <cell r="R1849">
            <v>1.4008032128514001</v>
          </cell>
          <cell r="S1849">
            <v>6822.577886</v>
          </cell>
          <cell r="T1849">
            <v>5.6839080459770104</v>
          </cell>
          <cell r="U1849">
            <v>511.369731</v>
          </cell>
          <cell r="V1849">
            <v>1.80788177339901</v>
          </cell>
        </row>
        <row r="1850">
          <cell r="A1850" t="str">
            <v>135202</v>
          </cell>
          <cell r="B1850">
            <v>775.6</v>
          </cell>
          <cell r="C1850">
            <v>2916.5444480000001</v>
          </cell>
          <cell r="D1850">
            <v>4.65337954939341</v>
          </cell>
          <cell r="E1850">
            <v>459.52173699999997</v>
          </cell>
          <cell r="F1850">
            <v>3.9306759098786799</v>
          </cell>
          <cell r="G1850">
            <v>282.91129699999999</v>
          </cell>
          <cell r="H1850">
            <v>1.9243119266055</v>
          </cell>
          <cell r="I1850">
            <v>141.61151100000001</v>
          </cell>
          <cell r="J1850">
            <v>1.31536697247706</v>
          </cell>
          <cell r="K1850">
            <v>2123.3995679999998</v>
          </cell>
          <cell r="L1850">
            <v>1.3854289071680299</v>
          </cell>
          <cell r="M1850">
            <v>96.869016000000002</v>
          </cell>
          <cell r="N1850">
            <v>0.54876615746180901</v>
          </cell>
          <cell r="O1850">
            <v>110.83735900000001</v>
          </cell>
          <cell r="P1850">
            <v>0.50560398505603898</v>
          </cell>
          <cell r="Q1850">
            <v>21.922540000000001</v>
          </cell>
          <cell r="R1850">
            <v>0.306351183063511</v>
          </cell>
          <cell r="S1850">
            <v>3441.004042</v>
          </cell>
          <cell r="T1850">
            <v>6.41290322580645</v>
          </cell>
          <cell r="U1850">
            <v>774.95144000000005</v>
          </cell>
          <cell r="V1850">
            <v>3.0709677419354802</v>
          </cell>
        </row>
        <row r="1851">
          <cell r="A1851" t="str">
            <v>135301</v>
          </cell>
          <cell r="B1851">
            <v>981</v>
          </cell>
          <cell r="C1851">
            <v>45.298090999999999</v>
          </cell>
          <cell r="D1851">
            <v>0.115971515768056</v>
          </cell>
          <cell r="E1851">
            <v>6.693676</v>
          </cell>
          <cell r="F1851">
            <v>5.7985757884028398E-2</v>
          </cell>
          <cell r="G1851">
            <v>59.352558999999999</v>
          </cell>
          <cell r="H1851">
            <v>0.17700915564598099</v>
          </cell>
          <cell r="I1851">
            <v>56.283431</v>
          </cell>
          <cell r="J1851">
            <v>0.17497456765005001</v>
          </cell>
          <cell r="K1851">
            <v>148.01927499999999</v>
          </cell>
          <cell r="L1851">
            <v>1.01422764227642</v>
          </cell>
          <cell r="M1851">
            <v>148.01927499999999</v>
          </cell>
          <cell r="N1851">
            <v>1.01422764227642</v>
          </cell>
          <cell r="O1851">
            <v>118.61685300000001</v>
          </cell>
          <cell r="P1851">
            <v>1.1818181818181801</v>
          </cell>
          <cell r="Q1851">
            <v>118.61685300000001</v>
          </cell>
          <cell r="R1851">
            <v>1.1818181818181801</v>
          </cell>
          <cell r="S1851">
            <v>99.523421999999997</v>
          </cell>
          <cell r="T1851">
            <v>1.01131687242798</v>
          </cell>
          <cell r="U1851">
            <v>99.523421999999997</v>
          </cell>
          <cell r="V1851">
            <v>1.01131687242798</v>
          </cell>
        </row>
        <row r="1852">
          <cell r="A1852" t="str">
            <v>135302</v>
          </cell>
          <cell r="B1852">
            <v>1412.125</v>
          </cell>
          <cell r="C1852">
            <v>1923.560418</v>
          </cell>
          <cell r="D1852">
            <v>2.2655807365439</v>
          </cell>
          <cell r="E1852">
            <v>94.557573000000005</v>
          </cell>
          <cell r="F1852">
            <v>1.24929178470254</v>
          </cell>
          <cell r="G1852">
            <v>52.652208000000002</v>
          </cell>
          <cell r="H1852">
            <v>0.20818630910374</v>
          </cell>
          <cell r="I1852">
            <v>52.652208000000002</v>
          </cell>
          <cell r="J1852">
            <v>0.20818630910374</v>
          </cell>
          <cell r="K1852">
            <v>218.57773</v>
          </cell>
          <cell r="L1852">
            <v>1.71115819209039</v>
          </cell>
          <cell r="M1852">
            <v>218.57773</v>
          </cell>
          <cell r="N1852">
            <v>1.71115819209039</v>
          </cell>
          <cell r="O1852">
            <v>270.45241700000003</v>
          </cell>
          <cell r="P1852">
            <v>2.18825194621372</v>
          </cell>
          <cell r="Q1852">
            <v>220.595057</v>
          </cell>
          <cell r="R1852">
            <v>1.7883934890304301</v>
          </cell>
          <cell r="S1852">
            <v>141.95658499999999</v>
          </cell>
          <cell r="T1852">
            <v>1.78891257995735</v>
          </cell>
          <cell r="U1852">
            <v>141.87797900000001</v>
          </cell>
          <cell r="V1852">
            <v>1.7874911158493201</v>
          </cell>
        </row>
        <row r="1853">
          <cell r="A1853" t="str">
            <v>135303</v>
          </cell>
          <cell r="B1853">
            <v>694.75</v>
          </cell>
          <cell r="C1853">
            <v>313.22153100000003</v>
          </cell>
          <cell r="D1853">
            <v>0.14396284829721301</v>
          </cell>
          <cell r="E1853">
            <v>3.23685</v>
          </cell>
          <cell r="F1853">
            <v>2.3219814241486E-2</v>
          </cell>
          <cell r="G1853">
            <v>0.36889100000000002</v>
          </cell>
          <cell r="H1853">
            <v>4.64396284829721E-3</v>
          </cell>
          <cell r="I1853">
            <v>0.36889100000000002</v>
          </cell>
          <cell r="J1853">
            <v>4.64396284829721E-3</v>
          </cell>
          <cell r="K1853">
            <v>162.24151000000001</v>
          </cell>
          <cell r="L1853">
            <v>1.1230529595015499</v>
          </cell>
          <cell r="M1853">
            <v>162.24151000000001</v>
          </cell>
          <cell r="N1853">
            <v>1.1230529595015499</v>
          </cell>
          <cell r="O1853">
            <v>105.834838</v>
          </cell>
          <cell r="P1853">
            <v>1.04517133956386</v>
          </cell>
          <cell r="Q1853">
            <v>105.638577</v>
          </cell>
          <cell r="R1853">
            <v>1.0436137071650999</v>
          </cell>
          <cell r="S1853">
            <v>81.478964000000005</v>
          </cell>
          <cell r="T1853">
            <v>0.76859504132231404</v>
          </cell>
          <cell r="U1853">
            <v>81.185496999999998</v>
          </cell>
          <cell r="V1853">
            <v>0.76623376623376604</v>
          </cell>
        </row>
        <row r="1854">
          <cell r="A1854" t="str">
            <v>135304</v>
          </cell>
          <cell r="B1854">
            <v>93</v>
          </cell>
          <cell r="C1854">
            <v>0</v>
          </cell>
          <cell r="D1854">
            <v>0</v>
          </cell>
          <cell r="E1854">
            <v>0</v>
          </cell>
          <cell r="F1854">
            <v>0</v>
          </cell>
          <cell r="G1854">
            <v>0</v>
          </cell>
          <cell r="H1854">
            <v>0</v>
          </cell>
          <cell r="I1854">
            <v>0</v>
          </cell>
          <cell r="J1854">
            <v>0</v>
          </cell>
          <cell r="K1854">
            <v>0</v>
          </cell>
          <cell r="L1854">
            <v>0</v>
          </cell>
          <cell r="M1854">
            <v>0</v>
          </cell>
          <cell r="N1854">
            <v>0</v>
          </cell>
          <cell r="O1854">
            <v>101</v>
          </cell>
          <cell r="P1854">
            <v>1</v>
          </cell>
          <cell r="Q1854">
            <v>101</v>
          </cell>
          <cell r="R1854">
            <v>1</v>
          </cell>
          <cell r="S1854">
            <v>85.85</v>
          </cell>
          <cell r="T1854">
            <v>1</v>
          </cell>
          <cell r="U1854">
            <v>85.85</v>
          </cell>
          <cell r="V1854">
            <v>1</v>
          </cell>
        </row>
        <row r="1855">
          <cell r="A1855" t="str">
            <v>135601</v>
          </cell>
          <cell r="B1855">
            <v>1090.4000000000001</v>
          </cell>
          <cell r="C1855">
            <v>1300.15284</v>
          </cell>
          <cell r="D1855">
            <v>3.3867502238137801</v>
          </cell>
          <cell r="E1855">
            <v>521.43954199999996</v>
          </cell>
          <cell r="F1855">
            <v>1.89883616830796</v>
          </cell>
          <cell r="G1855">
            <v>573.09716900000001</v>
          </cell>
          <cell r="H1855">
            <v>1.9735883424408001</v>
          </cell>
          <cell r="I1855">
            <v>229.127273</v>
          </cell>
          <cell r="J1855">
            <v>1.2422586520947101</v>
          </cell>
          <cell r="K1855">
            <v>589.99371099999996</v>
          </cell>
          <cell r="L1855">
            <v>1.2032967032966999</v>
          </cell>
          <cell r="M1855">
            <v>130.52600699999999</v>
          </cell>
          <cell r="N1855">
            <v>0.59706959706959695</v>
          </cell>
          <cell r="O1855">
            <v>156.52762799999999</v>
          </cell>
          <cell r="P1855">
            <v>0.99167437557816795</v>
          </cell>
          <cell r="Q1855">
            <v>154.495698</v>
          </cell>
          <cell r="R1855">
            <v>0.98797409805735403</v>
          </cell>
          <cell r="S1855">
            <v>6467.3579570000002</v>
          </cell>
          <cell r="T1855">
            <v>3.43233082706766</v>
          </cell>
          <cell r="U1855">
            <v>201.008004</v>
          </cell>
          <cell r="V1855">
            <v>0.44642857142857101</v>
          </cell>
        </row>
        <row r="1856">
          <cell r="A1856" t="str">
            <v>135602</v>
          </cell>
          <cell r="B1856">
            <v>1015.4</v>
          </cell>
          <cell r="C1856">
            <v>190.58231599999999</v>
          </cell>
          <cell r="D1856">
            <v>0.54118773946360099</v>
          </cell>
          <cell r="E1856">
            <v>46.506653999999997</v>
          </cell>
          <cell r="F1856">
            <v>0.33045977011494199</v>
          </cell>
          <cell r="G1856">
            <v>130.92856</v>
          </cell>
          <cell r="H1856">
            <v>0.9521484375</v>
          </cell>
          <cell r="I1856">
            <v>99.214194000000006</v>
          </cell>
          <cell r="J1856">
            <v>0.708984375</v>
          </cell>
          <cell r="K1856">
            <v>740.32408999999996</v>
          </cell>
          <cell r="L1856">
            <v>1.6460176991150399</v>
          </cell>
          <cell r="M1856">
            <v>249.99059299999999</v>
          </cell>
          <cell r="N1856">
            <v>1.0462143559488599</v>
          </cell>
          <cell r="O1856">
            <v>606.16541900000004</v>
          </cell>
          <cell r="P1856">
            <v>1.5573280159521401</v>
          </cell>
          <cell r="Q1856">
            <v>297.53059100000002</v>
          </cell>
          <cell r="R1856">
            <v>1.4815553339980001</v>
          </cell>
          <cell r="S1856">
            <v>4567.9898540000004</v>
          </cell>
          <cell r="T1856">
            <v>3.22042467138523</v>
          </cell>
          <cell r="U1856">
            <v>178.404179</v>
          </cell>
          <cell r="V1856">
            <v>0.71789686552072796</v>
          </cell>
        </row>
        <row r="1857">
          <cell r="A1857" t="str">
            <v>135701</v>
          </cell>
          <cell r="B1857">
            <v>1</v>
          </cell>
          <cell r="C1857">
            <v>0</v>
          </cell>
          <cell r="D1857">
            <v>0</v>
          </cell>
          <cell r="E1857">
            <v>0</v>
          </cell>
          <cell r="F1857">
            <v>0</v>
          </cell>
          <cell r="G1857">
            <v>0</v>
          </cell>
          <cell r="H1857">
            <v>0</v>
          </cell>
          <cell r="I1857">
            <v>0</v>
          </cell>
          <cell r="J1857">
            <v>0</v>
          </cell>
          <cell r="K1857">
            <v>0</v>
          </cell>
          <cell r="L1857">
            <v>0</v>
          </cell>
          <cell r="M1857">
            <v>0</v>
          </cell>
          <cell r="N1857">
            <v>0</v>
          </cell>
          <cell r="O1857">
            <v>326</v>
          </cell>
          <cell r="P1857">
            <v>1</v>
          </cell>
          <cell r="Q1857">
            <v>326</v>
          </cell>
          <cell r="R1857">
            <v>1</v>
          </cell>
          <cell r="S1857">
            <v>0</v>
          </cell>
          <cell r="T1857">
            <v>0</v>
          </cell>
          <cell r="U1857">
            <v>0</v>
          </cell>
          <cell r="V1857">
            <v>0</v>
          </cell>
        </row>
        <row r="1858">
          <cell r="A1858" t="str">
            <v>135901</v>
          </cell>
          <cell r="B1858">
            <v>775.4</v>
          </cell>
          <cell r="C1858">
            <v>5802.5690210000002</v>
          </cell>
          <cell r="D1858">
            <v>7.2987179487179397</v>
          </cell>
          <cell r="E1858">
            <v>536.613831</v>
          </cell>
          <cell r="F1858">
            <v>4.2538461538461503</v>
          </cell>
          <cell r="G1858">
            <v>1834.5316740000001</v>
          </cell>
          <cell r="H1858">
            <v>4.1887034659820204</v>
          </cell>
          <cell r="I1858">
            <v>684.502838</v>
          </cell>
          <cell r="J1858">
            <v>2.36970474967907</v>
          </cell>
          <cell r="K1858">
            <v>82.688687999999999</v>
          </cell>
          <cell r="L1858">
            <v>0.34193548387096701</v>
          </cell>
          <cell r="M1858">
            <v>33.190645000000004</v>
          </cell>
          <cell r="N1858">
            <v>0.209032258064516</v>
          </cell>
          <cell r="O1858">
            <v>293.12108999999998</v>
          </cell>
          <cell r="P1858">
            <v>1.1894329896907201</v>
          </cell>
          <cell r="Q1858">
            <v>158.01778300000001</v>
          </cell>
          <cell r="R1858">
            <v>1.0850515463917501</v>
          </cell>
          <cell r="S1858">
            <v>3050.327162</v>
          </cell>
          <cell r="T1858">
            <v>2.0925684485006499</v>
          </cell>
          <cell r="U1858">
            <v>149.108518</v>
          </cell>
          <cell r="V1858">
            <v>0.78878748370273699</v>
          </cell>
        </row>
        <row r="1859">
          <cell r="A1859" t="str">
            <v>135902</v>
          </cell>
          <cell r="B1859">
            <v>962.2</v>
          </cell>
          <cell r="C1859">
            <v>1963.749611</v>
          </cell>
          <cell r="D1859">
            <v>2.65705458290422</v>
          </cell>
          <cell r="E1859">
            <v>348.20280200000002</v>
          </cell>
          <cell r="F1859">
            <v>1.5087538619979399</v>
          </cell>
          <cell r="G1859">
            <v>1418.662493</v>
          </cell>
          <cell r="H1859">
            <v>2.9080459770114899</v>
          </cell>
          <cell r="I1859">
            <v>330.03439800000001</v>
          </cell>
          <cell r="J1859">
            <v>1.7136886102403299</v>
          </cell>
          <cell r="K1859">
            <v>270.06571000000002</v>
          </cell>
          <cell r="L1859">
            <v>1.6538060479666301</v>
          </cell>
          <cell r="M1859">
            <v>248.04963499999999</v>
          </cell>
          <cell r="N1859">
            <v>1.6006256517205399</v>
          </cell>
          <cell r="O1859">
            <v>40.622244000000002</v>
          </cell>
          <cell r="P1859">
            <v>0.24817518248175099</v>
          </cell>
          <cell r="Q1859">
            <v>26.359801000000001</v>
          </cell>
          <cell r="R1859">
            <v>0.201251303441084</v>
          </cell>
          <cell r="S1859">
            <v>315.20967100000001</v>
          </cell>
          <cell r="T1859">
            <v>0.66735751295336698</v>
          </cell>
          <cell r="U1859">
            <v>127.35632099999999</v>
          </cell>
          <cell r="V1859">
            <v>0.55854922279792696</v>
          </cell>
        </row>
        <row r="1860">
          <cell r="A1860" t="str">
            <v>135903</v>
          </cell>
          <cell r="B1860">
            <v>1504.4</v>
          </cell>
          <cell r="C1860">
            <v>584.41908100000001</v>
          </cell>
          <cell r="D1860">
            <v>1.0905035054174601</v>
          </cell>
          <cell r="E1860">
            <v>78.303625999999994</v>
          </cell>
          <cell r="F1860">
            <v>0.42383683875079597</v>
          </cell>
          <cell r="G1860">
            <v>2068.7501219999999</v>
          </cell>
          <cell r="H1860">
            <v>1.54993597951344</v>
          </cell>
          <cell r="I1860">
            <v>77.222486000000004</v>
          </cell>
          <cell r="J1860">
            <v>0.52560819462227903</v>
          </cell>
          <cell r="K1860">
            <v>49.184731999999997</v>
          </cell>
          <cell r="L1860">
            <v>0.30897435897435799</v>
          </cell>
          <cell r="M1860">
            <v>30.258098</v>
          </cell>
          <cell r="N1860">
            <v>0.22692307692307601</v>
          </cell>
          <cell r="O1860">
            <v>29.412573999999999</v>
          </cell>
          <cell r="P1860">
            <v>0.21522921522921501</v>
          </cell>
          <cell r="Q1860">
            <v>22.545791000000001</v>
          </cell>
          <cell r="R1860">
            <v>0.20279720279720201</v>
          </cell>
          <cell r="S1860">
            <v>141.347689</v>
          </cell>
          <cell r="T1860">
            <v>0.31476683937823802</v>
          </cell>
          <cell r="U1860">
            <v>60.932059000000002</v>
          </cell>
          <cell r="V1860">
            <v>0.21437823834196801</v>
          </cell>
        </row>
        <row r="1861">
          <cell r="A1861" t="str">
            <v>135904</v>
          </cell>
          <cell r="B1861">
            <v>1256</v>
          </cell>
          <cell r="C1861">
            <v>1574.507783</v>
          </cell>
          <cell r="D1861">
            <v>1.2876386687797099</v>
          </cell>
          <cell r="E1861">
            <v>171.40209400000001</v>
          </cell>
          <cell r="F1861">
            <v>0.53486529318541898</v>
          </cell>
          <cell r="G1861">
            <v>529.69892000000004</v>
          </cell>
          <cell r="H1861">
            <v>0.85406698564593297</v>
          </cell>
          <cell r="I1861">
            <v>251.17174</v>
          </cell>
          <cell r="J1861">
            <v>0.44736842105263103</v>
          </cell>
          <cell r="K1861">
            <v>113.926883</v>
          </cell>
          <cell r="L1861">
            <v>0.26353503184713301</v>
          </cell>
          <cell r="M1861">
            <v>112.538747</v>
          </cell>
          <cell r="N1861">
            <v>0.24920382165605001</v>
          </cell>
          <cell r="O1861">
            <v>154.09802099999999</v>
          </cell>
          <cell r="P1861">
            <v>0.56175298804780804</v>
          </cell>
          <cell r="Q1861">
            <v>48.792749000000001</v>
          </cell>
          <cell r="R1861">
            <v>0.34581673306772898</v>
          </cell>
          <cell r="S1861">
            <v>100.25211400000001</v>
          </cell>
          <cell r="T1861">
            <v>0.94732641660015904</v>
          </cell>
          <cell r="U1861">
            <v>46.916452999999997</v>
          </cell>
          <cell r="V1861">
            <v>0.734237829209896</v>
          </cell>
        </row>
        <row r="1862">
          <cell r="A1862" t="str">
            <v>135905</v>
          </cell>
          <cell r="B1862">
            <v>77</v>
          </cell>
          <cell r="C1862">
            <v>1.1318239999999999</v>
          </cell>
          <cell r="D1862">
            <v>1.26582278481012E-2</v>
          </cell>
          <cell r="E1862">
            <v>1.1318239999999999</v>
          </cell>
          <cell r="F1862">
            <v>1.26582278481012E-2</v>
          </cell>
          <cell r="G1862">
            <v>26.971114</v>
          </cell>
          <cell r="H1862">
            <v>3.8461538461538401E-2</v>
          </cell>
          <cell r="I1862">
            <v>13.394173</v>
          </cell>
          <cell r="J1862">
            <v>1.2820512820512799E-2</v>
          </cell>
          <cell r="K1862">
            <v>52.100665999999997</v>
          </cell>
          <cell r="L1862">
            <v>1.0133333333333301</v>
          </cell>
          <cell r="M1862">
            <v>52.100665999999997</v>
          </cell>
          <cell r="N1862">
            <v>1.0133333333333301</v>
          </cell>
          <cell r="O1862">
            <v>51.808</v>
          </cell>
          <cell r="P1862">
            <v>0.33333333333333298</v>
          </cell>
          <cell r="Q1862">
            <v>51.808</v>
          </cell>
          <cell r="R1862">
            <v>0.33333333333333298</v>
          </cell>
          <cell r="S1862">
            <v>77.766017000000005</v>
          </cell>
          <cell r="T1862">
            <v>0.32467532467532401</v>
          </cell>
          <cell r="U1862">
            <v>77.766017000000005</v>
          </cell>
          <cell r="V1862">
            <v>0.32467532467532401</v>
          </cell>
        </row>
        <row r="1863">
          <cell r="A1863" t="str">
            <v>136001</v>
          </cell>
          <cell r="B1863">
            <v>759.66666599999996</v>
          </cell>
          <cell r="C1863">
            <v>457.36005</v>
          </cell>
          <cell r="D1863">
            <v>0.75714285714285701</v>
          </cell>
          <cell r="E1863">
            <v>257.55760199999997</v>
          </cell>
          <cell r="F1863">
            <v>0.607792207792207</v>
          </cell>
          <cell r="G1863">
            <v>243.6095</v>
          </cell>
          <cell r="H1863">
            <v>1.22294654498044</v>
          </cell>
          <cell r="I1863">
            <v>109.144542</v>
          </cell>
          <cell r="J1863">
            <v>0.94915254237288105</v>
          </cell>
          <cell r="K1863">
            <v>138.85298499999999</v>
          </cell>
          <cell r="L1863">
            <v>0.83926218708827405</v>
          </cell>
          <cell r="M1863">
            <v>133.78807599999999</v>
          </cell>
          <cell r="N1863">
            <v>0.79973649538866898</v>
          </cell>
          <cell r="O1863">
            <v>384.04182100000003</v>
          </cell>
          <cell r="P1863">
            <v>1.56515957446808</v>
          </cell>
          <cell r="Q1863">
            <v>294.16077100000001</v>
          </cell>
          <cell r="R1863">
            <v>1.47074468085106</v>
          </cell>
          <cell r="S1863">
            <v>583.79709800000001</v>
          </cell>
          <cell r="T1863">
            <v>2.6950067476383199</v>
          </cell>
          <cell r="U1863">
            <v>583.79709800000001</v>
          </cell>
          <cell r="V1863">
            <v>2.6950067476383199</v>
          </cell>
        </row>
        <row r="1864">
          <cell r="A1864" t="str">
            <v>136002</v>
          </cell>
          <cell r="B1864">
            <v>1366</v>
          </cell>
          <cell r="C1864">
            <v>611.06844999999998</v>
          </cell>
          <cell r="D1864">
            <v>1.07977883096366</v>
          </cell>
          <cell r="E1864">
            <v>451.39016800000002</v>
          </cell>
          <cell r="F1864">
            <v>1.0173775671406</v>
          </cell>
          <cell r="G1864">
            <v>374.20997899999998</v>
          </cell>
          <cell r="H1864">
            <v>0.92417739628039997</v>
          </cell>
          <cell r="I1864">
            <v>176.684574</v>
          </cell>
          <cell r="J1864">
            <v>0.76108726752503497</v>
          </cell>
          <cell r="K1864">
            <v>240.17504099999999</v>
          </cell>
          <cell r="L1864">
            <v>0.90121689334287702</v>
          </cell>
          <cell r="M1864">
            <v>140.03116199999999</v>
          </cell>
          <cell r="N1864">
            <v>0.753042233357193</v>
          </cell>
          <cell r="O1864">
            <v>384.58981899999998</v>
          </cell>
          <cell r="P1864">
            <v>1.58050541516245</v>
          </cell>
          <cell r="Q1864">
            <v>332.543947</v>
          </cell>
          <cell r="R1864">
            <v>1.55234657039711</v>
          </cell>
          <cell r="S1864">
            <v>660.22929799999997</v>
          </cell>
          <cell r="T1864">
            <v>1.93569364161849</v>
          </cell>
          <cell r="U1864">
            <v>516.59160599999996</v>
          </cell>
          <cell r="V1864">
            <v>1.7651734104046199</v>
          </cell>
        </row>
        <row r="1865">
          <cell r="A1865" t="str">
            <v>136601</v>
          </cell>
          <cell r="B1865">
            <v>1346.6666660000001</v>
          </cell>
          <cell r="C1865">
            <v>266.09903800000001</v>
          </cell>
          <cell r="D1865">
            <v>0.492614475627769</v>
          </cell>
          <cell r="E1865">
            <v>42.983117</v>
          </cell>
          <cell r="F1865">
            <v>0.31240768094534699</v>
          </cell>
          <cell r="G1865">
            <v>166.373604</v>
          </cell>
          <cell r="H1865">
            <v>0.24260355029585701</v>
          </cell>
          <cell r="I1865">
            <v>47.989227999999997</v>
          </cell>
          <cell r="J1865">
            <v>0.13165680473372701</v>
          </cell>
          <cell r="K1865">
            <v>377.800049</v>
          </cell>
          <cell r="L1865">
            <v>1.0902311707680801</v>
          </cell>
          <cell r="M1865">
            <v>376.34825999999998</v>
          </cell>
          <cell r="N1865">
            <v>1.0835197613721099</v>
          </cell>
          <cell r="O1865">
            <v>80.695807000000002</v>
          </cell>
          <cell r="P1865">
            <v>0.91294642857142805</v>
          </cell>
          <cell r="Q1865">
            <v>79.32929</v>
          </cell>
          <cell r="R1865">
            <v>0.90104166666666596</v>
          </cell>
          <cell r="S1865">
            <v>133.371287</v>
          </cell>
          <cell r="T1865">
            <v>0.62481315396113601</v>
          </cell>
          <cell r="U1865">
            <v>133.371287</v>
          </cell>
          <cell r="V1865">
            <v>0.62481315396113601</v>
          </cell>
        </row>
        <row r="1866">
          <cell r="A1866" t="str">
            <v>136602</v>
          </cell>
          <cell r="B1866">
            <v>828</v>
          </cell>
          <cell r="C1866">
            <v>1289.8672779999999</v>
          </cell>
          <cell r="D1866">
            <v>1.8813559322033799</v>
          </cell>
          <cell r="E1866">
            <v>188.29683600000001</v>
          </cell>
          <cell r="F1866">
            <v>1.1900726392251799</v>
          </cell>
          <cell r="G1866">
            <v>242.841857</v>
          </cell>
          <cell r="H1866">
            <v>1.2884848484848399</v>
          </cell>
          <cell r="I1866">
            <v>242.52478300000001</v>
          </cell>
          <cell r="J1866">
            <v>1.2860606060605999</v>
          </cell>
          <cell r="K1866">
            <v>762.88443900000004</v>
          </cell>
          <cell r="L1866">
            <v>3.0845410628019301</v>
          </cell>
          <cell r="M1866">
            <v>500.62620700000002</v>
          </cell>
          <cell r="N1866">
            <v>2.6582125603864699</v>
          </cell>
          <cell r="O1866">
            <v>17.844823999999999</v>
          </cell>
          <cell r="P1866">
            <v>0.31167268351383798</v>
          </cell>
          <cell r="Q1866">
            <v>17.504511999999998</v>
          </cell>
          <cell r="R1866">
            <v>0.30685920577617298</v>
          </cell>
          <cell r="S1866">
            <v>129.39893799999999</v>
          </cell>
          <cell r="T1866">
            <v>0.70793269230769196</v>
          </cell>
          <cell r="U1866">
            <v>129.39893799999999</v>
          </cell>
          <cell r="V1866">
            <v>0.70793269230769196</v>
          </cell>
        </row>
        <row r="1867">
          <cell r="A1867" t="str">
            <v>136603</v>
          </cell>
          <cell r="B1867">
            <v>1</v>
          </cell>
          <cell r="C1867">
            <v>0</v>
          </cell>
          <cell r="D1867">
            <v>0</v>
          </cell>
          <cell r="E1867">
            <v>0</v>
          </cell>
          <cell r="F1867">
            <v>0</v>
          </cell>
          <cell r="G1867">
            <v>0</v>
          </cell>
          <cell r="H1867">
            <v>0</v>
          </cell>
          <cell r="I1867">
            <v>0</v>
          </cell>
          <cell r="J1867">
            <v>0</v>
          </cell>
          <cell r="K1867">
            <v>494</v>
          </cell>
          <cell r="L1867">
            <v>2</v>
          </cell>
          <cell r="M1867">
            <v>494</v>
          </cell>
          <cell r="N1867">
            <v>2</v>
          </cell>
          <cell r="O1867">
            <v>0</v>
          </cell>
          <cell r="P1867">
            <v>0</v>
          </cell>
          <cell r="Q1867">
            <v>0</v>
          </cell>
          <cell r="R1867">
            <v>0</v>
          </cell>
          <cell r="S1867">
            <v>0</v>
          </cell>
          <cell r="T1867">
            <v>0</v>
          </cell>
          <cell r="U1867">
            <v>0</v>
          </cell>
          <cell r="V1867">
            <v>0</v>
          </cell>
        </row>
        <row r="1868">
          <cell r="A1868" t="str">
            <v>136801</v>
          </cell>
          <cell r="B1868">
            <v>2030.1666660000001</v>
          </cell>
          <cell r="C1868">
            <v>10.348329</v>
          </cell>
          <cell r="D1868">
            <v>8.2591493570721999E-2</v>
          </cell>
          <cell r="E1868">
            <v>10.348329</v>
          </cell>
          <cell r="F1868">
            <v>8.2591493570721999E-2</v>
          </cell>
          <cell r="G1868">
            <v>38.920811</v>
          </cell>
          <cell r="H1868">
            <v>0.16395864106351499</v>
          </cell>
          <cell r="I1868">
            <v>38.920811</v>
          </cell>
          <cell r="J1868">
            <v>0.16395864106351499</v>
          </cell>
          <cell r="K1868">
            <v>638.31405099999995</v>
          </cell>
          <cell r="L1868">
            <v>2.64928676832267</v>
          </cell>
          <cell r="M1868">
            <v>491.67679099999998</v>
          </cell>
          <cell r="N1868">
            <v>2.5769798327594602</v>
          </cell>
          <cell r="O1868">
            <v>235.21405999999999</v>
          </cell>
          <cell r="P1868">
            <v>0.99360865290068801</v>
          </cell>
          <cell r="Q1868">
            <v>235.21405999999999</v>
          </cell>
          <cell r="R1868">
            <v>0.99360865290068801</v>
          </cell>
          <cell r="S1868">
            <v>167.02201600000001</v>
          </cell>
          <cell r="T1868">
            <v>0.84467455621301701</v>
          </cell>
          <cell r="U1868">
            <v>167.02201600000001</v>
          </cell>
          <cell r="V1868">
            <v>0.84467455621301701</v>
          </cell>
        </row>
        <row r="1869">
          <cell r="A1869" t="str">
            <v>136802</v>
          </cell>
          <cell r="B1869">
            <v>112.2</v>
          </cell>
          <cell r="C1869">
            <v>0</v>
          </cell>
          <cell r="D1869">
            <v>0</v>
          </cell>
          <cell r="E1869">
            <v>0</v>
          </cell>
          <cell r="F1869">
            <v>0</v>
          </cell>
          <cell r="G1869">
            <v>63.928272999999997</v>
          </cell>
          <cell r="H1869">
            <v>0.36607142857142799</v>
          </cell>
          <cell r="I1869">
            <v>63.928272999999997</v>
          </cell>
          <cell r="J1869">
            <v>0.36607142857142799</v>
          </cell>
          <cell r="K1869">
            <v>81.359758999999997</v>
          </cell>
          <cell r="L1869">
            <v>2.0180180180180098</v>
          </cell>
          <cell r="M1869">
            <v>81.359758999999997</v>
          </cell>
          <cell r="N1869">
            <v>2.0180180180180098</v>
          </cell>
          <cell r="O1869">
            <v>0.94575699999999996</v>
          </cell>
          <cell r="P1869">
            <v>9.0909090909090905E-3</v>
          </cell>
          <cell r="Q1869">
            <v>0.94575699999999996</v>
          </cell>
          <cell r="R1869">
            <v>9.0909090909090905E-3</v>
          </cell>
          <cell r="S1869">
            <v>6.7024840000000001</v>
          </cell>
          <cell r="T1869">
            <v>6.14035087719298E-2</v>
          </cell>
          <cell r="U1869">
            <v>1.8166659999999999</v>
          </cell>
          <cell r="V1869">
            <v>5.2631578947368397E-2</v>
          </cell>
        </row>
        <row r="1870">
          <cell r="A1870" t="str">
            <v>136803</v>
          </cell>
          <cell r="B1870">
            <v>30</v>
          </cell>
          <cell r="C1870">
            <v>0</v>
          </cell>
          <cell r="D1870">
            <v>0</v>
          </cell>
          <cell r="E1870">
            <v>0</v>
          </cell>
          <cell r="F1870">
            <v>0</v>
          </cell>
          <cell r="G1870">
            <v>16.107776999999999</v>
          </cell>
          <cell r="H1870">
            <v>6.6666666666666596E-2</v>
          </cell>
          <cell r="I1870">
            <v>16.107776999999999</v>
          </cell>
          <cell r="J1870">
            <v>6.6666666666666596E-2</v>
          </cell>
          <cell r="K1870">
            <v>370.96666599999998</v>
          </cell>
          <cell r="L1870">
            <v>2</v>
          </cell>
          <cell r="M1870">
            <v>250.25</v>
          </cell>
          <cell r="N1870">
            <v>1</v>
          </cell>
          <cell r="O1870">
            <v>0</v>
          </cell>
          <cell r="P1870">
            <v>0</v>
          </cell>
          <cell r="Q1870">
            <v>0</v>
          </cell>
          <cell r="R1870">
            <v>0</v>
          </cell>
          <cell r="S1870">
            <v>0</v>
          </cell>
          <cell r="T1870">
            <v>0</v>
          </cell>
          <cell r="U1870">
            <v>0</v>
          </cell>
          <cell r="V1870">
            <v>0</v>
          </cell>
        </row>
        <row r="1871">
          <cell r="A1871" t="str">
            <v>136804</v>
          </cell>
          <cell r="B1871">
            <v>55</v>
          </cell>
          <cell r="C1871">
            <v>2.2009799999999999</v>
          </cell>
          <cell r="D1871">
            <v>1.8181818181818101E-2</v>
          </cell>
          <cell r="E1871">
            <v>2.2009799999999999</v>
          </cell>
          <cell r="F1871">
            <v>1.8181818181818101E-2</v>
          </cell>
          <cell r="G1871">
            <v>105.663484</v>
          </cell>
          <cell r="H1871">
            <v>1.0181818181818101</v>
          </cell>
          <cell r="I1871">
            <v>0</v>
          </cell>
          <cell r="J1871">
            <v>0</v>
          </cell>
          <cell r="K1871">
            <v>0.80272699999999997</v>
          </cell>
          <cell r="L1871">
            <v>1.8181818181818101E-2</v>
          </cell>
          <cell r="M1871">
            <v>0.80272699999999997</v>
          </cell>
          <cell r="N1871">
            <v>1.8181818181818101E-2</v>
          </cell>
          <cell r="O1871">
            <v>30.837575000000001</v>
          </cell>
          <cell r="P1871">
            <v>0.18181818181818099</v>
          </cell>
          <cell r="Q1871">
            <v>30.837575000000001</v>
          </cell>
          <cell r="R1871">
            <v>0.18181818181818099</v>
          </cell>
          <cell r="S1871">
            <v>4.6509090000000004</v>
          </cell>
          <cell r="T1871">
            <v>7.2727272727272696E-2</v>
          </cell>
          <cell r="U1871">
            <v>4.6509090000000004</v>
          </cell>
          <cell r="V1871">
            <v>7.2727272727272696E-2</v>
          </cell>
        </row>
        <row r="1872">
          <cell r="A1872" t="str">
            <v>136805</v>
          </cell>
          <cell r="B1872">
            <v>1730.375</v>
          </cell>
          <cell r="C1872">
            <v>275.54326500000002</v>
          </cell>
          <cell r="D1872">
            <v>1.9729990356798399</v>
          </cell>
          <cell r="E1872">
            <v>274.94784900000002</v>
          </cell>
          <cell r="F1872">
            <v>1.97203471552555</v>
          </cell>
          <cell r="G1872">
            <v>297.34872100000001</v>
          </cell>
          <cell r="H1872">
            <v>2.4225983076157198</v>
          </cell>
          <cell r="I1872">
            <v>224.027715</v>
          </cell>
          <cell r="J1872">
            <v>2.3529118964658999</v>
          </cell>
          <cell r="K1872">
            <v>13.990705999999999</v>
          </cell>
          <cell r="L1872">
            <v>0.114762386248736</v>
          </cell>
          <cell r="M1872">
            <v>13.990705999999999</v>
          </cell>
          <cell r="N1872">
            <v>0.114762386248736</v>
          </cell>
          <cell r="O1872">
            <v>132.01184699999999</v>
          </cell>
          <cell r="P1872">
            <v>0.51309707241910596</v>
          </cell>
          <cell r="Q1872">
            <v>132.01184699999999</v>
          </cell>
          <cell r="R1872">
            <v>0.51309707241910596</v>
          </cell>
          <cell r="S1872">
            <v>483.77906400000001</v>
          </cell>
          <cell r="T1872">
            <v>2.13434396236278</v>
          </cell>
          <cell r="U1872">
            <v>472.93006600000001</v>
          </cell>
          <cell r="V1872">
            <v>2.07997909043387</v>
          </cell>
        </row>
        <row r="1873">
          <cell r="A1873" t="str">
            <v>136806</v>
          </cell>
          <cell r="B1873">
            <v>156.83333300000001</v>
          </cell>
          <cell r="C1873">
            <v>0.76682799999999995</v>
          </cell>
          <cell r="D1873">
            <v>6.13496932515337E-3</v>
          </cell>
          <cell r="E1873">
            <v>0.76682799999999995</v>
          </cell>
          <cell r="F1873">
            <v>6.13496932515337E-3</v>
          </cell>
          <cell r="G1873">
            <v>173.596439</v>
          </cell>
          <cell r="H1873">
            <v>1.25308641975308</v>
          </cell>
          <cell r="I1873">
            <v>173.596439</v>
          </cell>
          <cell r="J1873">
            <v>1.25308641975308</v>
          </cell>
          <cell r="K1873">
            <v>44.447308</v>
          </cell>
          <cell r="L1873">
            <v>0.20496894409937799</v>
          </cell>
          <cell r="M1873">
            <v>44.447308</v>
          </cell>
          <cell r="N1873">
            <v>0.20496894409937799</v>
          </cell>
          <cell r="O1873">
            <v>47.327776999999998</v>
          </cell>
          <cell r="P1873">
            <v>0.25786163522012501</v>
          </cell>
          <cell r="Q1873">
            <v>47.327776999999998</v>
          </cell>
          <cell r="R1873">
            <v>0.25786163522012501</v>
          </cell>
          <cell r="S1873">
            <v>16.355968000000001</v>
          </cell>
          <cell r="T1873">
            <v>5.4054054054054002E-2</v>
          </cell>
          <cell r="U1873">
            <v>10.779842</v>
          </cell>
          <cell r="V1873">
            <v>4.7297297297297203E-2</v>
          </cell>
        </row>
        <row r="1874">
          <cell r="A1874" t="str">
            <v>136901</v>
          </cell>
          <cell r="B1874">
            <v>5.25</v>
          </cell>
          <cell r="C1874">
            <v>99.244200000000006</v>
          </cell>
          <cell r="D1874">
            <v>0.8</v>
          </cell>
          <cell r="E1874">
            <v>99.244200000000006</v>
          </cell>
          <cell r="F1874">
            <v>0.8</v>
          </cell>
          <cell r="G1874">
            <v>44</v>
          </cell>
          <cell r="H1874">
            <v>1</v>
          </cell>
          <cell r="I1874">
            <v>44</v>
          </cell>
          <cell r="J1874">
            <v>1</v>
          </cell>
          <cell r="K1874">
            <v>209</v>
          </cell>
          <cell r="L1874">
            <v>1</v>
          </cell>
          <cell r="M1874">
            <v>209</v>
          </cell>
          <cell r="N1874">
            <v>1</v>
          </cell>
          <cell r="O1874">
            <v>2887.625</v>
          </cell>
          <cell r="P1874">
            <v>0.83333333333333304</v>
          </cell>
          <cell r="Q1874">
            <v>0</v>
          </cell>
          <cell r="R1874">
            <v>0</v>
          </cell>
          <cell r="S1874">
            <v>0</v>
          </cell>
          <cell r="T1874">
            <v>0</v>
          </cell>
          <cell r="U1874">
            <v>0</v>
          </cell>
          <cell r="V1874">
            <v>0</v>
          </cell>
        </row>
        <row r="1875">
          <cell r="A1875" t="str">
            <v>137002</v>
          </cell>
          <cell r="B1875">
            <v>475.625</v>
          </cell>
          <cell r="C1875">
            <v>356.22524900000002</v>
          </cell>
          <cell r="D1875">
            <v>0.45378151260504201</v>
          </cell>
          <cell r="E1875">
            <v>356.22524900000002</v>
          </cell>
          <cell r="F1875">
            <v>0.45378151260504201</v>
          </cell>
          <cell r="G1875">
            <v>794.15603199999998</v>
          </cell>
          <cell r="H1875">
            <v>1.9208333333333301</v>
          </cell>
          <cell r="I1875">
            <v>127.43561699999999</v>
          </cell>
          <cell r="J1875">
            <v>0.41458333333333303</v>
          </cell>
          <cell r="K1875">
            <v>1976.707654</v>
          </cell>
          <cell r="L1875">
            <v>1.4175365344467601</v>
          </cell>
          <cell r="M1875">
            <v>51.086499000000003</v>
          </cell>
          <cell r="N1875">
            <v>0.41544885177453</v>
          </cell>
          <cell r="O1875">
            <v>249.00798599999999</v>
          </cell>
          <cell r="P1875">
            <v>1.2395833333333299</v>
          </cell>
          <cell r="Q1875">
            <v>94.314860999999993</v>
          </cell>
          <cell r="R1875">
            <v>1.05416666666666</v>
          </cell>
          <cell r="S1875">
            <v>56.570250999999999</v>
          </cell>
          <cell r="T1875">
            <v>1.1818181818181801</v>
          </cell>
          <cell r="U1875">
            <v>56.570250999999999</v>
          </cell>
          <cell r="V1875">
            <v>1.1818181818181801</v>
          </cell>
        </row>
        <row r="1876">
          <cell r="A1876" t="str">
            <v>137003</v>
          </cell>
          <cell r="B1876">
            <v>67.400000000000006</v>
          </cell>
          <cell r="C1876">
            <v>0</v>
          </cell>
          <cell r="D1876">
            <v>0</v>
          </cell>
          <cell r="E1876">
            <v>0</v>
          </cell>
          <cell r="F1876">
            <v>0</v>
          </cell>
          <cell r="G1876">
            <v>417.25082600000002</v>
          </cell>
          <cell r="H1876">
            <v>0.97014925373134298</v>
          </cell>
          <cell r="I1876">
            <v>1.24196</v>
          </cell>
          <cell r="J1876">
            <v>1.4925373134328301E-2</v>
          </cell>
          <cell r="K1876">
            <v>3.5242640000000001</v>
          </cell>
          <cell r="L1876">
            <v>0.13235294117647001</v>
          </cell>
          <cell r="M1876">
            <v>3.5242640000000001</v>
          </cell>
          <cell r="N1876">
            <v>0.13235294117647001</v>
          </cell>
          <cell r="O1876">
            <v>196.88186200000001</v>
          </cell>
          <cell r="P1876">
            <v>1.0588235294117601</v>
          </cell>
          <cell r="Q1876">
            <v>196.88186200000001</v>
          </cell>
          <cell r="R1876">
            <v>1.0588235294117601</v>
          </cell>
          <cell r="S1876">
            <v>16.780844999999999</v>
          </cell>
          <cell r="T1876">
            <v>1.1044776119402899</v>
          </cell>
          <cell r="U1876">
            <v>16.780844999999999</v>
          </cell>
          <cell r="V1876">
            <v>1.1044776119402899</v>
          </cell>
        </row>
        <row r="1877">
          <cell r="A1877" t="str">
            <v>137101</v>
          </cell>
          <cell r="B1877">
            <v>1071.8</v>
          </cell>
          <cell r="C1877">
            <v>794.12158699999998</v>
          </cell>
          <cell r="D1877">
            <v>2.2868927589367498</v>
          </cell>
          <cell r="E1877">
            <v>273.45518299999998</v>
          </cell>
          <cell r="F1877">
            <v>1.0586617781851499</v>
          </cell>
          <cell r="G1877">
            <v>505.513893</v>
          </cell>
          <cell r="H1877">
            <v>2.5462962962962901</v>
          </cell>
          <cell r="I1877">
            <v>353.72558199999997</v>
          </cell>
          <cell r="J1877">
            <v>2.2759259259259199</v>
          </cell>
          <cell r="K1877">
            <v>2576.9985409999999</v>
          </cell>
          <cell r="L1877">
            <v>5.4469273743016702</v>
          </cell>
          <cell r="M1877">
            <v>633.53233999999998</v>
          </cell>
          <cell r="N1877">
            <v>3.1443202979515799</v>
          </cell>
          <cell r="O1877">
            <v>933.85160099999996</v>
          </cell>
          <cell r="P1877">
            <v>4.3477851083883099</v>
          </cell>
          <cell r="Q1877">
            <v>444.44759599999998</v>
          </cell>
          <cell r="R1877">
            <v>2.8793590951932102</v>
          </cell>
          <cell r="S1877">
            <v>4009.884536</v>
          </cell>
          <cell r="T1877">
            <v>6.65337132003798</v>
          </cell>
          <cell r="U1877">
            <v>925.114419</v>
          </cell>
          <cell r="V1877">
            <v>4.78442545109211</v>
          </cell>
        </row>
        <row r="1878">
          <cell r="A1878" t="str">
            <v>137102</v>
          </cell>
          <cell r="B1878">
            <v>974.2</v>
          </cell>
          <cell r="C1878">
            <v>2725.8317259999999</v>
          </cell>
          <cell r="D1878">
            <v>3.4746588693957099</v>
          </cell>
          <cell r="E1878">
            <v>416.86586899999998</v>
          </cell>
          <cell r="F1878">
            <v>2.66861598440545</v>
          </cell>
          <cell r="G1878">
            <v>555.35519899999997</v>
          </cell>
          <cell r="H1878">
            <v>0.37955465587044501</v>
          </cell>
          <cell r="I1878">
            <v>38.366714000000002</v>
          </cell>
          <cell r="J1878">
            <v>8.0971659919028299E-2</v>
          </cell>
          <cell r="K1878">
            <v>233.93566999999999</v>
          </cell>
          <cell r="L1878">
            <v>0.78915046059365401</v>
          </cell>
          <cell r="M1878">
            <v>94.395138000000003</v>
          </cell>
          <cell r="N1878">
            <v>0.61821903787103305</v>
          </cell>
          <cell r="O1878">
            <v>413.996802</v>
          </cell>
          <cell r="P1878">
            <v>0.96454640250260604</v>
          </cell>
          <cell r="Q1878">
            <v>129.014216</v>
          </cell>
          <cell r="R1878">
            <v>0.50052137643378503</v>
          </cell>
          <cell r="S1878">
            <v>1035.924176</v>
          </cell>
          <cell r="T1878">
            <v>1.89793702497285</v>
          </cell>
          <cell r="U1878">
            <v>40.281649999999999</v>
          </cell>
          <cell r="V1878">
            <v>0.30727470141150898</v>
          </cell>
        </row>
        <row r="1879">
          <cell r="A1879" t="str">
            <v>137201</v>
          </cell>
          <cell r="B1879">
            <v>794.4</v>
          </cell>
          <cell r="C1879">
            <v>2055.024555</v>
          </cell>
          <cell r="D1879">
            <v>2.6952736318407902</v>
          </cell>
          <cell r="E1879">
            <v>178.146424</v>
          </cell>
          <cell r="F1879">
            <v>1.0024875621890501</v>
          </cell>
          <cell r="G1879">
            <v>488.89730500000002</v>
          </cell>
          <cell r="H1879">
            <v>2.7331670822942602</v>
          </cell>
          <cell r="I1879">
            <v>353.49239599999999</v>
          </cell>
          <cell r="J1879">
            <v>2.6097256857855302</v>
          </cell>
          <cell r="K1879">
            <v>446.30151000000001</v>
          </cell>
          <cell r="L1879">
            <v>2.05037783375314</v>
          </cell>
          <cell r="M1879">
            <v>290.78650199999998</v>
          </cell>
          <cell r="N1879">
            <v>1.54911838790931</v>
          </cell>
          <cell r="O1879">
            <v>410.03044899999998</v>
          </cell>
          <cell r="P1879">
            <v>0.98218829516539397</v>
          </cell>
          <cell r="Q1879">
            <v>77.959754000000004</v>
          </cell>
          <cell r="R1879">
            <v>0.51399491094147498</v>
          </cell>
          <cell r="S1879">
            <v>411.073239</v>
          </cell>
          <cell r="T1879">
            <v>1.1081424936386699</v>
          </cell>
          <cell r="U1879">
            <v>292.41181</v>
          </cell>
          <cell r="V1879">
            <v>0.72646310432569905</v>
          </cell>
        </row>
        <row r="1880">
          <cell r="A1880" t="str">
            <v>137202</v>
          </cell>
          <cell r="B1880">
            <v>671.6</v>
          </cell>
          <cell r="C1880">
            <v>2191.7040000000002</v>
          </cell>
          <cell r="D1880">
            <v>2.9732937685459899</v>
          </cell>
          <cell r="E1880">
            <v>239.65692100000001</v>
          </cell>
          <cell r="F1880">
            <v>1.74777448071216</v>
          </cell>
          <cell r="G1880">
            <v>910.98449700000003</v>
          </cell>
          <cell r="H1880">
            <v>0.84077380952380898</v>
          </cell>
          <cell r="I1880">
            <v>109.564187</v>
          </cell>
          <cell r="J1880">
            <v>0.64285714285714202</v>
          </cell>
          <cell r="K1880">
            <v>956.51935700000001</v>
          </cell>
          <cell r="L1880">
            <v>2.3822222222222198</v>
          </cell>
          <cell r="M1880">
            <v>577.33540700000003</v>
          </cell>
          <cell r="N1880">
            <v>1.46518518518518</v>
          </cell>
          <cell r="O1880">
            <v>385.72314299999999</v>
          </cell>
          <cell r="P1880">
            <v>2.1345291479820601</v>
          </cell>
          <cell r="Q1880">
            <v>231.53804099999999</v>
          </cell>
          <cell r="R1880">
            <v>2.0747384155455899</v>
          </cell>
          <cell r="S1880">
            <v>682.98859700000003</v>
          </cell>
          <cell r="T1880">
            <v>1.9760479041916099</v>
          </cell>
          <cell r="U1880">
            <v>322.34638200000001</v>
          </cell>
          <cell r="V1880">
            <v>1.57784431137724</v>
          </cell>
        </row>
        <row r="1881">
          <cell r="A1881" t="str">
            <v>137301</v>
          </cell>
          <cell r="B1881">
            <v>1803.2222220000001</v>
          </cell>
          <cell r="C1881">
            <v>22.477243999999999</v>
          </cell>
          <cell r="D1881">
            <v>3.4806629834254102E-2</v>
          </cell>
          <cell r="E1881">
            <v>3.0670820000000001</v>
          </cell>
          <cell r="F1881">
            <v>8.2872928176795507E-3</v>
          </cell>
          <cell r="G1881">
            <v>367.71815099999998</v>
          </cell>
          <cell r="H1881">
            <v>0.43687707641196</v>
          </cell>
          <cell r="I1881">
            <v>10.837432</v>
          </cell>
          <cell r="J1881">
            <v>0.13289036544850399</v>
          </cell>
          <cell r="K1881">
            <v>127.154647</v>
          </cell>
          <cell r="L1881">
            <v>1.07261640798226</v>
          </cell>
          <cell r="M1881">
            <v>106.38274199999999</v>
          </cell>
          <cell r="N1881">
            <v>1.0548780487804801</v>
          </cell>
          <cell r="O1881">
            <v>0.24374599999999999</v>
          </cell>
          <cell r="P1881">
            <v>8.3379655364091108E-3</v>
          </cell>
          <cell r="Q1881">
            <v>0.24374599999999999</v>
          </cell>
          <cell r="R1881">
            <v>8.3379655364091108E-3</v>
          </cell>
          <cell r="S1881">
            <v>260.40419600000001</v>
          </cell>
          <cell r="T1881">
            <v>1.05905292479108</v>
          </cell>
          <cell r="U1881">
            <v>259.57226500000002</v>
          </cell>
          <cell r="V1881">
            <v>1.0579387186629501</v>
          </cell>
        </row>
        <row r="1882">
          <cell r="A1882" t="str">
            <v>137302</v>
          </cell>
          <cell r="B1882">
            <v>2503</v>
          </cell>
          <cell r="C1882">
            <v>1096.738229</v>
          </cell>
          <cell r="D1882">
            <v>3.0125810141059799</v>
          </cell>
          <cell r="E1882">
            <v>187.19069300000001</v>
          </cell>
          <cell r="F1882">
            <v>1.4738848646587801</v>
          </cell>
          <cell r="G1882">
            <v>308.88392700000003</v>
          </cell>
          <cell r="H1882">
            <v>1.6627543035993699</v>
          </cell>
          <cell r="I1882">
            <v>75.165728999999999</v>
          </cell>
          <cell r="J1882">
            <v>0.78286384976525802</v>
          </cell>
          <cell r="K1882">
            <v>341.32817299999999</v>
          </cell>
          <cell r="L1882">
            <v>1.9661914460285099</v>
          </cell>
          <cell r="M1882">
            <v>321.27043400000002</v>
          </cell>
          <cell r="N1882">
            <v>1.82077393075356</v>
          </cell>
          <cell r="O1882">
            <v>83.336872999999997</v>
          </cell>
          <cell r="P1882">
            <v>0.54945054945054905</v>
          </cell>
          <cell r="Q1882">
            <v>55.720016999999999</v>
          </cell>
          <cell r="R1882">
            <v>0.32112332112332098</v>
          </cell>
          <cell r="S1882">
            <v>488.33287200000001</v>
          </cell>
          <cell r="T1882">
            <v>1.4261551155115499</v>
          </cell>
          <cell r="U1882">
            <v>39.624993000000003</v>
          </cell>
          <cell r="V1882">
            <v>0.367986798679867</v>
          </cell>
        </row>
        <row r="1883">
          <cell r="A1883" t="str">
            <v>137303</v>
          </cell>
          <cell r="B1883">
            <v>227.11111099999999</v>
          </cell>
          <cell r="C1883">
            <v>533.40057200000001</v>
          </cell>
          <cell r="D1883">
            <v>1.62499999999999</v>
          </cell>
          <cell r="E1883">
            <v>240.82885899999999</v>
          </cell>
          <cell r="F1883">
            <v>1.4913793103448201</v>
          </cell>
          <cell r="G1883">
            <v>963.75379999999996</v>
          </cell>
          <cell r="H1883">
            <v>0.75770925110132104</v>
          </cell>
          <cell r="I1883">
            <v>44.638638</v>
          </cell>
          <cell r="J1883">
            <v>0.20264317180616701</v>
          </cell>
          <cell r="K1883">
            <v>1208.5021380000001</v>
          </cell>
          <cell r="L1883">
            <v>10.0840707964601</v>
          </cell>
          <cell r="M1883">
            <v>1151.5252210000001</v>
          </cell>
          <cell r="N1883">
            <v>10</v>
          </cell>
          <cell r="O1883">
            <v>344.84111000000001</v>
          </cell>
          <cell r="P1883">
            <v>0.42666666666666597</v>
          </cell>
          <cell r="Q1883">
            <v>40.555925000000002</v>
          </cell>
          <cell r="R1883">
            <v>0.20444444444444401</v>
          </cell>
          <cell r="S1883">
            <v>19.495460999999999</v>
          </cell>
          <cell r="T1883">
            <v>0.19642857142857101</v>
          </cell>
          <cell r="U1883">
            <v>19.495460999999999</v>
          </cell>
          <cell r="V1883">
            <v>0.19642857142857101</v>
          </cell>
        </row>
        <row r="1884">
          <cell r="A1884" t="str">
            <v>137801</v>
          </cell>
          <cell r="B1884">
            <v>294.60000000000002</v>
          </cell>
          <cell r="C1884">
            <v>2677.8971120000001</v>
          </cell>
          <cell r="D1884">
            <v>2.7210031347962298</v>
          </cell>
          <cell r="E1884">
            <v>345.27200599999998</v>
          </cell>
          <cell r="F1884">
            <v>1.92163009404388</v>
          </cell>
          <cell r="G1884">
            <v>1676.8872899999999</v>
          </cell>
          <cell r="H1884">
            <v>3.40445859872611</v>
          </cell>
          <cell r="I1884">
            <v>243.66881799999999</v>
          </cell>
          <cell r="J1884">
            <v>1.25477707006369</v>
          </cell>
          <cell r="K1884">
            <v>546.70210899999995</v>
          </cell>
          <cell r="L1884">
            <v>1.07278481012658</v>
          </cell>
          <cell r="M1884">
            <v>309.92415599999998</v>
          </cell>
          <cell r="N1884">
            <v>0.870253164556962</v>
          </cell>
          <cell r="O1884">
            <v>578.97929599999998</v>
          </cell>
          <cell r="P1884">
            <v>0.91349480968858099</v>
          </cell>
          <cell r="Q1884">
            <v>300.02952699999997</v>
          </cell>
          <cell r="R1884">
            <v>0.847750865051903</v>
          </cell>
          <cell r="S1884">
            <v>4879.7986510000001</v>
          </cell>
          <cell r="T1884">
            <v>2.9404255319148902</v>
          </cell>
          <cell r="U1884">
            <v>101.455602</v>
          </cell>
          <cell r="V1884">
            <v>0.74468085106382897</v>
          </cell>
        </row>
        <row r="1885">
          <cell r="A1885" t="str">
            <v>137802</v>
          </cell>
          <cell r="B1885">
            <v>279.88888800000001</v>
          </cell>
          <cell r="C1885">
            <v>1724.6515730000001</v>
          </cell>
          <cell r="D1885">
            <v>1.8692307692307599</v>
          </cell>
          <cell r="E1885">
            <v>566.54603099999997</v>
          </cell>
          <cell r="F1885">
            <v>1.2307692307692299</v>
          </cell>
          <cell r="G1885">
            <v>16.583285</v>
          </cell>
          <cell r="H1885">
            <v>0.209302325581395</v>
          </cell>
          <cell r="I1885">
            <v>16.583285</v>
          </cell>
          <cell r="J1885">
            <v>0.209302325581395</v>
          </cell>
          <cell r="K1885">
            <v>988.05577300000004</v>
          </cell>
          <cell r="L1885">
            <v>1.1023622047243999</v>
          </cell>
          <cell r="M1885">
            <v>90.403805000000006</v>
          </cell>
          <cell r="N1885">
            <v>0.84251968503937003</v>
          </cell>
          <cell r="O1885">
            <v>241.993336</v>
          </cell>
          <cell r="P1885">
            <v>1.1720047449584801</v>
          </cell>
          <cell r="Q1885">
            <v>76.065223000000003</v>
          </cell>
          <cell r="R1885">
            <v>0.70462633451957202</v>
          </cell>
          <cell r="S1885">
            <v>389.14561300000003</v>
          </cell>
          <cell r="T1885">
            <v>1.6631578947368399</v>
          </cell>
          <cell r="U1885">
            <v>270.12649099999999</v>
          </cell>
          <cell r="V1885">
            <v>1.62105263157894</v>
          </cell>
        </row>
        <row r="1886">
          <cell r="A1886" t="str">
            <v>137804</v>
          </cell>
          <cell r="B1886">
            <v>1383.4</v>
          </cell>
          <cell r="C1886">
            <v>3229.4840389999999</v>
          </cell>
          <cell r="D1886">
            <v>1.5324675324675301</v>
          </cell>
          <cell r="E1886">
            <v>128.04950500000001</v>
          </cell>
          <cell r="F1886">
            <v>0.57689678742310302</v>
          </cell>
          <cell r="G1886">
            <v>357.61176499999999</v>
          </cell>
          <cell r="H1886">
            <v>1.06456043956043</v>
          </cell>
          <cell r="I1886">
            <v>129.401973</v>
          </cell>
          <cell r="J1886">
            <v>0.74038461538461497</v>
          </cell>
          <cell r="K1886">
            <v>837.172417</v>
          </cell>
          <cell r="L1886">
            <v>2.6037344398340201</v>
          </cell>
          <cell r="M1886">
            <v>218.27444600000001</v>
          </cell>
          <cell r="N1886">
            <v>1.63070539419087</v>
          </cell>
          <cell r="O1886">
            <v>386.56907799999999</v>
          </cell>
          <cell r="P1886">
            <v>2.4750499001996</v>
          </cell>
          <cell r="Q1886">
            <v>322.13315</v>
          </cell>
          <cell r="R1886">
            <v>2.1956087824351198</v>
          </cell>
          <cell r="S1886">
            <v>2442.1349230000001</v>
          </cell>
          <cell r="T1886">
            <v>4.1232258064516101</v>
          </cell>
          <cell r="U1886">
            <v>758.43844000000001</v>
          </cell>
          <cell r="V1886">
            <v>2.5122580645161201</v>
          </cell>
        </row>
        <row r="1887">
          <cell r="A1887" t="str">
            <v>137805</v>
          </cell>
          <cell r="B1887">
            <v>827.44444399999998</v>
          </cell>
          <cell r="C1887">
            <v>2137.6263749999998</v>
          </cell>
          <cell r="D1887">
            <v>2.4656084656084598</v>
          </cell>
          <cell r="E1887">
            <v>127.65486900000001</v>
          </cell>
          <cell r="F1887">
            <v>1.47089947089947</v>
          </cell>
          <cell r="G1887">
            <v>308.79805800000003</v>
          </cell>
          <cell r="H1887">
            <v>1.0635775862068899</v>
          </cell>
          <cell r="I1887">
            <v>303.78492499999999</v>
          </cell>
          <cell r="J1887">
            <v>1.0484913793103401</v>
          </cell>
          <cell r="K1887">
            <v>121.007041</v>
          </cell>
          <cell r="L1887">
            <v>1.10589519650655</v>
          </cell>
          <cell r="M1887">
            <v>103.65704100000001</v>
          </cell>
          <cell r="N1887">
            <v>0.99563318777292498</v>
          </cell>
          <cell r="O1887">
            <v>104.73230100000001</v>
          </cell>
          <cell r="P1887">
            <v>1.1967213114754001</v>
          </cell>
          <cell r="Q1887">
            <v>104.73230100000001</v>
          </cell>
          <cell r="R1887">
            <v>1.1967213114754001</v>
          </cell>
          <cell r="S1887">
            <v>387.153685</v>
          </cell>
          <cell r="T1887">
            <v>2.0803030303030301</v>
          </cell>
          <cell r="U1887">
            <v>188.24409</v>
          </cell>
          <cell r="V1887">
            <v>1.0848484848484801</v>
          </cell>
        </row>
        <row r="1888">
          <cell r="A1888" t="str">
            <v>138101</v>
          </cell>
          <cell r="B1888">
            <v>974.55555500000003</v>
          </cell>
          <cell r="C1888">
            <v>116.757761</v>
          </cell>
          <cell r="D1888">
            <v>0.45352400408580101</v>
          </cell>
          <cell r="E1888">
            <v>116.757761</v>
          </cell>
          <cell r="F1888">
            <v>0.45352400408580101</v>
          </cell>
          <cell r="G1888">
            <v>453.81689399999999</v>
          </cell>
          <cell r="H1888">
            <v>1.80530071355759</v>
          </cell>
          <cell r="I1888">
            <v>441.93313499999999</v>
          </cell>
          <cell r="J1888">
            <v>1.7818552497451501</v>
          </cell>
          <cell r="K1888">
            <v>620.09243400000003</v>
          </cell>
          <cell r="L1888">
            <v>0.74795081967213095</v>
          </cell>
          <cell r="M1888">
            <v>67.217213000000001</v>
          </cell>
          <cell r="N1888">
            <v>0.36372950819672101</v>
          </cell>
          <cell r="O1888">
            <v>864.68814499999996</v>
          </cell>
          <cell r="P1888">
            <v>1.4429599177800601</v>
          </cell>
          <cell r="Q1888">
            <v>245.08792299999999</v>
          </cell>
          <cell r="R1888">
            <v>0.95786228160328801</v>
          </cell>
          <cell r="S1888">
            <v>312.46105899999998</v>
          </cell>
          <cell r="T1888">
            <v>1.3167701863354</v>
          </cell>
          <cell r="U1888">
            <v>237.394634</v>
          </cell>
          <cell r="V1888">
            <v>1.1345755693581701</v>
          </cell>
        </row>
        <row r="1889">
          <cell r="A1889" t="str">
            <v>138102</v>
          </cell>
          <cell r="B1889">
            <v>1087.5999999999999</v>
          </cell>
          <cell r="C1889">
            <v>77.761182000000005</v>
          </cell>
          <cell r="D1889">
            <v>0.56903353057199202</v>
          </cell>
          <cell r="E1889">
            <v>77.573318</v>
          </cell>
          <cell r="F1889">
            <v>0.56607495069033498</v>
          </cell>
          <cell r="G1889">
            <v>369.31172700000002</v>
          </cell>
          <cell r="H1889">
            <v>1.12096774193548</v>
          </cell>
          <cell r="I1889">
            <v>362.50126999999998</v>
          </cell>
          <cell r="J1889">
            <v>1.1146953405017901</v>
          </cell>
          <cell r="K1889">
            <v>698.29518800000005</v>
          </cell>
          <cell r="L1889">
            <v>2.5044964028776899</v>
          </cell>
          <cell r="M1889">
            <v>201.48541599999999</v>
          </cell>
          <cell r="N1889">
            <v>1.4451438848920799</v>
          </cell>
          <cell r="O1889">
            <v>45.971335000000003</v>
          </cell>
          <cell r="P1889">
            <v>0.36627379873073401</v>
          </cell>
          <cell r="Q1889">
            <v>43.267150000000001</v>
          </cell>
          <cell r="R1889">
            <v>0.36536718041704402</v>
          </cell>
          <cell r="S1889">
            <v>257.48981300000003</v>
          </cell>
          <cell r="T1889">
            <v>1.2470265324794101</v>
          </cell>
          <cell r="U1889">
            <v>252.92721800000001</v>
          </cell>
          <cell r="V1889">
            <v>1.2442817932296399</v>
          </cell>
        </row>
        <row r="1890">
          <cell r="A1890" t="str">
            <v>138301</v>
          </cell>
          <cell r="B1890">
            <v>477.4</v>
          </cell>
          <cell r="C1890">
            <v>48.502484000000003</v>
          </cell>
          <cell r="D1890">
            <v>0.45614035087719201</v>
          </cell>
          <cell r="E1890">
            <v>41.018571000000001</v>
          </cell>
          <cell r="F1890">
            <v>0.41403508771929798</v>
          </cell>
          <cell r="G1890">
            <v>1975.4235289999999</v>
          </cell>
          <cell r="H1890">
            <v>3.1263736263736202</v>
          </cell>
          <cell r="I1890">
            <v>532.87786400000005</v>
          </cell>
          <cell r="J1890">
            <v>2.4523809523809499</v>
          </cell>
          <cell r="K1890">
            <v>863.36419100000001</v>
          </cell>
          <cell r="L1890">
            <v>1.8364661654135299</v>
          </cell>
          <cell r="M1890">
            <v>701.08170399999995</v>
          </cell>
          <cell r="N1890">
            <v>1.12218045112781</v>
          </cell>
          <cell r="O1890">
            <v>577.64826200000005</v>
          </cell>
          <cell r="P1890">
            <v>0.61389961389961301</v>
          </cell>
          <cell r="Q1890">
            <v>11.023166</v>
          </cell>
          <cell r="R1890">
            <v>6.1776061776061701E-2</v>
          </cell>
          <cell r="S1890">
            <v>681.18474900000001</v>
          </cell>
          <cell r="T1890">
            <v>1.12055335968379</v>
          </cell>
          <cell r="U1890">
            <v>582.20741099999998</v>
          </cell>
          <cell r="V1890">
            <v>1.0553359683794401</v>
          </cell>
        </row>
        <row r="1891">
          <cell r="A1891" t="str">
            <v>138302</v>
          </cell>
          <cell r="B1891">
            <v>1203.777777</v>
          </cell>
          <cell r="C1891">
            <v>1145.1913440000001</v>
          </cell>
          <cell r="D1891">
            <v>6.4176000000000002</v>
          </cell>
          <cell r="E1891">
            <v>1145.1913440000001</v>
          </cell>
          <cell r="F1891">
            <v>6.4176000000000002</v>
          </cell>
          <cell r="G1891">
            <v>2549.6622750000001</v>
          </cell>
          <cell r="H1891">
            <v>6.2467637540452996</v>
          </cell>
          <cell r="I1891">
            <v>1446.888414</v>
          </cell>
          <cell r="J1891">
            <v>5.21601941747572</v>
          </cell>
          <cell r="K1891">
            <v>3273.8248549999998</v>
          </cell>
          <cell r="L1891">
            <v>6.0880658436213899</v>
          </cell>
          <cell r="M1891">
            <v>1160.8546220000001</v>
          </cell>
          <cell r="N1891">
            <v>4.5769547325102797</v>
          </cell>
          <cell r="O1891">
            <v>222.40965199999999</v>
          </cell>
          <cell r="P1891">
            <v>2.38865368331922</v>
          </cell>
          <cell r="Q1891">
            <v>202.84851800000001</v>
          </cell>
          <cell r="R1891">
            <v>2.3209144792548599</v>
          </cell>
          <cell r="S1891">
            <v>658.98805900000002</v>
          </cell>
          <cell r="T1891">
            <v>1.1741379310344799</v>
          </cell>
          <cell r="U1891">
            <v>97.363748999999999</v>
          </cell>
          <cell r="V1891">
            <v>0.69741379310344798</v>
          </cell>
        </row>
        <row r="1892">
          <cell r="A1892" t="str">
            <v>138303</v>
          </cell>
          <cell r="B1892">
            <v>934.2</v>
          </cell>
          <cell r="C1892">
            <v>1199.23829</v>
          </cell>
          <cell r="D1892">
            <v>2.1940298507462601</v>
          </cell>
          <cell r="E1892">
            <v>484.82665100000003</v>
          </cell>
          <cell r="F1892">
            <v>1.53917910447761</v>
          </cell>
          <cell r="G1892">
            <v>1159.7021649999999</v>
          </cell>
          <cell r="H1892">
            <v>3.4528122020972298</v>
          </cell>
          <cell r="I1892">
            <v>487.77356600000002</v>
          </cell>
          <cell r="J1892">
            <v>3.0581506196377499</v>
          </cell>
          <cell r="K1892">
            <v>5542.1876179999999</v>
          </cell>
          <cell r="L1892">
            <v>3.60516252390057</v>
          </cell>
          <cell r="M1892">
            <v>438.03879799999999</v>
          </cell>
          <cell r="N1892">
            <v>1.8738049713193099</v>
          </cell>
          <cell r="O1892">
            <v>1446.9699310000001</v>
          </cell>
          <cell r="P1892">
            <v>3.01072124756335</v>
          </cell>
          <cell r="Q1892">
            <v>372.43953800000003</v>
          </cell>
          <cell r="R1892">
            <v>1.64717348927875</v>
          </cell>
          <cell r="S1892">
            <v>3116.0149070000002</v>
          </cell>
          <cell r="T1892">
            <v>4.2307692307692299</v>
          </cell>
          <cell r="U1892">
            <v>308.77994699999999</v>
          </cell>
          <cell r="V1892">
            <v>1.3698224852070999</v>
          </cell>
        </row>
        <row r="1893">
          <cell r="A1893" t="str">
            <v>139201</v>
          </cell>
          <cell r="B1893">
            <v>1</v>
          </cell>
          <cell r="C1893">
            <v>0</v>
          </cell>
          <cell r="D1893">
            <v>0</v>
          </cell>
          <cell r="E1893">
            <v>0</v>
          </cell>
          <cell r="F1893">
            <v>0</v>
          </cell>
          <cell r="G1893">
            <v>0</v>
          </cell>
          <cell r="H1893">
            <v>0</v>
          </cell>
          <cell r="I1893">
            <v>0</v>
          </cell>
          <cell r="J1893">
            <v>0</v>
          </cell>
          <cell r="K1893">
            <v>0</v>
          </cell>
          <cell r="L1893">
            <v>0</v>
          </cell>
          <cell r="M1893">
            <v>0</v>
          </cell>
          <cell r="N1893">
            <v>0</v>
          </cell>
          <cell r="O1893">
            <v>0</v>
          </cell>
          <cell r="P1893">
            <v>0</v>
          </cell>
          <cell r="Q1893">
            <v>0</v>
          </cell>
          <cell r="R1893">
            <v>0</v>
          </cell>
          <cell r="S1893">
            <v>250</v>
          </cell>
          <cell r="T1893">
            <v>1</v>
          </cell>
          <cell r="U1893">
            <v>250</v>
          </cell>
          <cell r="V1893">
            <v>1</v>
          </cell>
        </row>
        <row r="1894">
          <cell r="A1894" t="str">
            <v>139501</v>
          </cell>
          <cell r="B1894">
            <v>1729.6</v>
          </cell>
          <cell r="C1894">
            <v>3059.3842119999999</v>
          </cell>
          <cell r="D1894">
            <v>7.1902901785714199</v>
          </cell>
          <cell r="E1894">
            <v>699.03337299999998</v>
          </cell>
          <cell r="F1894">
            <v>5.7020089285714199</v>
          </cell>
          <cell r="G1894">
            <v>834.65915500000006</v>
          </cell>
          <cell r="H1894">
            <v>2.7216846898121698</v>
          </cell>
          <cell r="I1894">
            <v>481.49409100000003</v>
          </cell>
          <cell r="J1894">
            <v>2.2794536141149599</v>
          </cell>
          <cell r="K1894">
            <v>1610.3815990000001</v>
          </cell>
          <cell r="L1894">
            <v>2.1551724137931001</v>
          </cell>
          <cell r="M1894">
            <v>229.474492</v>
          </cell>
          <cell r="N1894">
            <v>1.0683908045977</v>
          </cell>
          <cell r="O1894">
            <v>563.99333000000001</v>
          </cell>
          <cell r="P1894">
            <v>2.8425381903642699</v>
          </cell>
          <cell r="Q1894">
            <v>267.83485999999999</v>
          </cell>
          <cell r="R1894">
            <v>1.20446533490011</v>
          </cell>
          <cell r="S1894">
            <v>1255.4564459999999</v>
          </cell>
          <cell r="T1894">
            <v>2.9112854556427199</v>
          </cell>
          <cell r="U1894">
            <v>273.23804999999999</v>
          </cell>
          <cell r="V1894">
            <v>1.29511164755582</v>
          </cell>
        </row>
        <row r="1895">
          <cell r="A1895" t="str">
            <v>139502</v>
          </cell>
          <cell r="B1895">
            <v>1609.4</v>
          </cell>
          <cell r="C1895">
            <v>4508.3202149999997</v>
          </cell>
          <cell r="D1895">
            <v>3.99816176470588</v>
          </cell>
          <cell r="E1895">
            <v>363.53532000000001</v>
          </cell>
          <cell r="F1895">
            <v>2.7310049019607798</v>
          </cell>
          <cell r="G1895">
            <v>524.29320099999995</v>
          </cell>
          <cell r="H1895">
            <v>1.0160791589363001</v>
          </cell>
          <cell r="I1895">
            <v>112.12109700000001</v>
          </cell>
          <cell r="J1895">
            <v>0.77798392084106305</v>
          </cell>
          <cell r="K1895">
            <v>691.19130399999995</v>
          </cell>
          <cell r="L1895">
            <v>1.18525402726146</v>
          </cell>
          <cell r="M1895">
            <v>49.059230999999997</v>
          </cell>
          <cell r="N1895">
            <v>0.39653035935563802</v>
          </cell>
          <cell r="O1895">
            <v>507.05586099999999</v>
          </cell>
          <cell r="P1895">
            <v>2.96933667083854</v>
          </cell>
          <cell r="Q1895">
            <v>488.27991200000002</v>
          </cell>
          <cell r="R1895">
            <v>2.8554443053817198</v>
          </cell>
          <cell r="S1895">
            <v>1880.0402260000001</v>
          </cell>
          <cell r="T1895">
            <v>4.7484237074401001</v>
          </cell>
          <cell r="U1895">
            <v>414.58287000000001</v>
          </cell>
          <cell r="V1895">
            <v>2.0283732660781801</v>
          </cell>
        </row>
        <row r="1896">
          <cell r="A1896" t="str">
            <v>140201</v>
          </cell>
          <cell r="B1896">
            <v>1648.6666660000001</v>
          </cell>
          <cell r="C1896">
            <v>40.822974000000002</v>
          </cell>
          <cell r="D1896">
            <v>0.26201923076923</v>
          </cell>
          <cell r="E1896">
            <v>40.822974000000002</v>
          </cell>
          <cell r="F1896">
            <v>0.26201923076923</v>
          </cell>
          <cell r="G1896">
            <v>542.73441800000001</v>
          </cell>
          <cell r="H1896">
            <v>1.0701754385964899</v>
          </cell>
          <cell r="I1896">
            <v>131.48481000000001</v>
          </cell>
          <cell r="J1896">
            <v>0.79310344827586199</v>
          </cell>
          <cell r="K1896">
            <v>2211.1091929999998</v>
          </cell>
          <cell r="L1896">
            <v>3.0555891238670601</v>
          </cell>
          <cell r="M1896">
            <v>389.91995900000001</v>
          </cell>
          <cell r="N1896">
            <v>1.8719033232628299</v>
          </cell>
          <cell r="O1896">
            <v>775.96279000000004</v>
          </cell>
          <cell r="P1896">
            <v>1.8214936247723099</v>
          </cell>
          <cell r="Q1896">
            <v>120.343604</v>
          </cell>
          <cell r="R1896">
            <v>0.68306010928961702</v>
          </cell>
          <cell r="S1896">
            <v>363.68060600000001</v>
          </cell>
          <cell r="T1896">
            <v>1.06495098039215</v>
          </cell>
          <cell r="U1896">
            <v>207.782659</v>
          </cell>
          <cell r="V1896">
            <v>0.86825980392156799</v>
          </cell>
        </row>
        <row r="1897">
          <cell r="A1897" t="str">
            <v>140202</v>
          </cell>
          <cell r="B1897">
            <v>443.44444399999998</v>
          </cell>
          <cell r="C1897">
            <v>9.9241919999999997</v>
          </cell>
          <cell r="D1897">
            <v>7.5789473684210504E-2</v>
          </cell>
          <cell r="E1897">
            <v>9.9241919999999997</v>
          </cell>
          <cell r="F1897">
            <v>7.5789473684210504E-2</v>
          </cell>
          <cell r="G1897">
            <v>1143.8061399999999</v>
          </cell>
          <cell r="H1897">
            <v>0.948936170212765</v>
          </cell>
          <cell r="I1897">
            <v>9.1193650000000002</v>
          </cell>
          <cell r="J1897">
            <v>6.1702127659574398E-2</v>
          </cell>
          <cell r="K1897">
            <v>4430.4068079999997</v>
          </cell>
          <cell r="L1897">
            <v>4.2437923250564298</v>
          </cell>
          <cell r="M1897">
            <v>156.86497299999999</v>
          </cell>
          <cell r="N1897">
            <v>1</v>
          </cell>
          <cell r="O1897">
            <v>604.69062599999995</v>
          </cell>
          <cell r="P1897">
            <v>2.2447058823529402</v>
          </cell>
          <cell r="Q1897">
            <v>212.98380299999999</v>
          </cell>
          <cell r="R1897">
            <v>1.1811764705882299</v>
          </cell>
          <cell r="S1897">
            <v>152.52567300000001</v>
          </cell>
          <cell r="T1897">
            <v>1.5023809523809499</v>
          </cell>
          <cell r="U1897">
            <v>84.067896000000005</v>
          </cell>
          <cell r="V1897">
            <v>1</v>
          </cell>
        </row>
        <row r="1898">
          <cell r="A1898" t="str">
            <v>140401</v>
          </cell>
          <cell r="B1898">
            <v>4095.2</v>
          </cell>
          <cell r="C1898">
            <v>301.506507</v>
          </cell>
          <cell r="D1898">
            <v>1.61990049751243</v>
          </cell>
          <cell r="E1898">
            <v>297.13270799999998</v>
          </cell>
          <cell r="F1898">
            <v>1.5952736318407901</v>
          </cell>
          <cell r="G1898">
            <v>1009.7280469999999</v>
          </cell>
          <cell r="H1898">
            <v>2.1402365435674602</v>
          </cell>
          <cell r="I1898">
            <v>356.92135500000001</v>
          </cell>
          <cell r="J1898">
            <v>1.7680424812937401</v>
          </cell>
          <cell r="K1898">
            <v>4672.1819459999997</v>
          </cell>
          <cell r="L1898">
            <v>6.13757253384912</v>
          </cell>
          <cell r="M1898">
            <v>410.75404500000002</v>
          </cell>
          <cell r="N1898">
            <v>2.31528046421663</v>
          </cell>
          <cell r="O1898">
            <v>432.49957999999998</v>
          </cell>
          <cell r="P1898">
            <v>1.45818093148012</v>
          </cell>
          <cell r="Q1898">
            <v>291.25176299999998</v>
          </cell>
          <cell r="R1898">
            <v>1.28334552548158</v>
          </cell>
          <cell r="S1898">
            <v>1733.0053800000001</v>
          </cell>
          <cell r="T1898">
            <v>5.1467124631992096</v>
          </cell>
          <cell r="U1898">
            <v>1216.912953</v>
          </cell>
          <cell r="V1898">
            <v>4.3493621197252201</v>
          </cell>
        </row>
        <row r="1899">
          <cell r="A1899" t="str">
            <v>140402</v>
          </cell>
          <cell r="B1899">
            <v>1646</v>
          </cell>
          <cell r="C1899">
            <v>136.53675100000001</v>
          </cell>
          <cell r="D1899">
            <v>0.58918918918918906</v>
          </cell>
          <cell r="E1899">
            <v>136.20041499999999</v>
          </cell>
          <cell r="F1899">
            <v>0.58858858858858798</v>
          </cell>
          <cell r="G1899">
            <v>944.80135800000005</v>
          </cell>
          <cell r="H1899">
            <v>2.6945962355798398</v>
          </cell>
          <cell r="I1899">
            <v>417.026163</v>
          </cell>
          <cell r="J1899">
            <v>1.88281724347298</v>
          </cell>
          <cell r="K1899">
            <v>1616.3946719999999</v>
          </cell>
          <cell r="L1899">
            <v>3.3837772397094401</v>
          </cell>
          <cell r="M1899">
            <v>491.86937999999998</v>
          </cell>
          <cell r="N1899">
            <v>2.4715496368038701</v>
          </cell>
          <cell r="O1899">
            <v>786.89176699999996</v>
          </cell>
          <cell r="P1899">
            <v>1.85870889159561</v>
          </cell>
          <cell r="Q1899">
            <v>523.93797099999995</v>
          </cell>
          <cell r="R1899">
            <v>1.58647990255785</v>
          </cell>
          <cell r="S1899">
            <v>739.29356399999995</v>
          </cell>
          <cell r="T1899">
            <v>4.1428571428571397</v>
          </cell>
          <cell r="U1899">
            <v>435.81322799999998</v>
          </cell>
          <cell r="V1899">
            <v>3.3854679802955601</v>
          </cell>
        </row>
        <row r="1900">
          <cell r="A1900" t="str">
            <v>140701</v>
          </cell>
          <cell r="B1900">
            <v>1256.1111109999999</v>
          </cell>
          <cell r="C1900">
            <v>60.380329000000003</v>
          </cell>
          <cell r="D1900">
            <v>0.42576590730557701</v>
          </cell>
          <cell r="E1900">
            <v>60.380329000000003</v>
          </cell>
          <cell r="F1900">
            <v>0.42576590730557701</v>
          </cell>
          <cell r="G1900">
            <v>214.33987999999999</v>
          </cell>
          <cell r="H1900">
            <v>1.06714060031595</v>
          </cell>
          <cell r="I1900">
            <v>190.04978299999999</v>
          </cell>
          <cell r="J1900">
            <v>1.021327014218</v>
          </cell>
          <cell r="K1900">
            <v>1258.806666</v>
          </cell>
          <cell r="L1900">
            <v>1.9565217391304299</v>
          </cell>
          <cell r="M1900">
            <v>237.769631</v>
          </cell>
          <cell r="N1900">
            <v>1.4252964426877399</v>
          </cell>
          <cell r="O1900">
            <v>686.981764</v>
          </cell>
          <cell r="P1900">
            <v>1.17703349282296</v>
          </cell>
          <cell r="Q1900">
            <v>100.120321</v>
          </cell>
          <cell r="R1900">
            <v>0.47368421052631499</v>
          </cell>
          <cell r="S1900">
            <v>227.44894300000001</v>
          </cell>
          <cell r="T1900">
            <v>1.072298943948</v>
          </cell>
          <cell r="U1900">
            <v>223.48559399999999</v>
          </cell>
          <cell r="V1900">
            <v>1.0373679935012099</v>
          </cell>
        </row>
        <row r="1901">
          <cell r="A1901" t="str">
            <v>140702</v>
          </cell>
          <cell r="B1901">
            <v>1335.8</v>
          </cell>
          <cell r="C1901">
            <v>610.79981299999997</v>
          </cell>
          <cell r="D1901">
            <v>1.8291721419185201</v>
          </cell>
          <cell r="E1901">
            <v>606.44037300000002</v>
          </cell>
          <cell r="F1901">
            <v>1.8120893561103799</v>
          </cell>
          <cell r="G1901">
            <v>130.85260199999999</v>
          </cell>
          <cell r="H1901">
            <v>0.75417501670006604</v>
          </cell>
          <cell r="I1901">
            <v>86.200337000000005</v>
          </cell>
          <cell r="J1901">
            <v>0.70941883767534997</v>
          </cell>
          <cell r="K1901">
            <v>273.87818900000002</v>
          </cell>
          <cell r="L1901">
            <v>1.4935854152599499</v>
          </cell>
          <cell r="M1901">
            <v>111.296916</v>
          </cell>
          <cell r="N1901">
            <v>0.47332883187035701</v>
          </cell>
          <cell r="O1901">
            <v>322.60486700000001</v>
          </cell>
          <cell r="P1901">
            <v>0.59165526675786495</v>
          </cell>
          <cell r="Q1901">
            <v>289.13627400000001</v>
          </cell>
          <cell r="R1901">
            <v>0.57181942544459596</v>
          </cell>
          <cell r="S1901">
            <v>554.513238</v>
          </cell>
          <cell r="T1901">
            <v>1.9073071718538499</v>
          </cell>
          <cell r="U1901">
            <v>412.927999</v>
          </cell>
          <cell r="V1901">
            <v>1.7902571041948501</v>
          </cell>
        </row>
        <row r="1902">
          <cell r="A1902" t="str">
            <v>140703</v>
          </cell>
          <cell r="B1902">
            <v>995</v>
          </cell>
          <cell r="C1902">
            <v>96.800773000000007</v>
          </cell>
          <cell r="D1902">
            <v>0.36150234741783999</v>
          </cell>
          <cell r="E1902">
            <v>52.284162000000002</v>
          </cell>
          <cell r="F1902">
            <v>0.266666666666666</v>
          </cell>
          <cell r="G1902">
            <v>1161.896465</v>
          </cell>
          <cell r="H1902">
            <v>1.5809893307468399</v>
          </cell>
          <cell r="I1902">
            <v>209.195346</v>
          </cell>
          <cell r="J1902">
            <v>0.56741028128031001</v>
          </cell>
          <cell r="K1902">
            <v>650.728253</v>
          </cell>
          <cell r="L1902">
            <v>1.4684418145956599</v>
          </cell>
          <cell r="M1902">
            <v>75.471794000000003</v>
          </cell>
          <cell r="N1902">
            <v>0.36883629191321399</v>
          </cell>
          <cell r="O1902">
            <v>170.215338</v>
          </cell>
          <cell r="P1902">
            <v>0.60685483870967705</v>
          </cell>
          <cell r="Q1902">
            <v>81.168346</v>
          </cell>
          <cell r="R1902">
            <v>0.39919354838709598</v>
          </cell>
          <cell r="S1902">
            <v>138.93659700000001</v>
          </cell>
          <cell r="T1902">
            <v>0.46620847651775399</v>
          </cell>
          <cell r="U1902">
            <v>95.043126999999998</v>
          </cell>
          <cell r="V1902">
            <v>0.432989690721649</v>
          </cell>
        </row>
        <row r="1903">
          <cell r="A1903" t="str">
            <v>141201</v>
          </cell>
          <cell r="B1903">
            <v>5599.8</v>
          </cell>
          <cell r="C1903">
            <v>199.14387300000001</v>
          </cell>
          <cell r="D1903">
            <v>1.65596737010108</v>
          </cell>
          <cell r="E1903">
            <v>197.36697100000001</v>
          </cell>
          <cell r="F1903">
            <v>1.65277531477212</v>
          </cell>
          <cell r="G1903">
            <v>471.95936699999999</v>
          </cell>
          <cell r="H1903">
            <v>2.2866038071517498</v>
          </cell>
          <cell r="I1903">
            <v>347.29316699999998</v>
          </cell>
          <cell r="J1903">
            <v>2.0370040917986101</v>
          </cell>
          <cell r="K1903">
            <v>1052.536814</v>
          </cell>
          <cell r="L1903">
            <v>2.5305976806422801</v>
          </cell>
          <cell r="M1903">
            <v>273.11069500000002</v>
          </cell>
          <cell r="N1903">
            <v>1.08474576271186</v>
          </cell>
          <cell r="O1903">
            <v>933.90093999999999</v>
          </cell>
          <cell r="P1903">
            <v>2.34922911437791</v>
          </cell>
          <cell r="Q1903">
            <v>354.70100300000001</v>
          </cell>
          <cell r="R1903">
            <v>1.8486912871997101</v>
          </cell>
          <cell r="S1903">
            <v>459.132318</v>
          </cell>
          <cell r="T1903">
            <v>1.8401727861771</v>
          </cell>
          <cell r="U1903">
            <v>224.02765099999999</v>
          </cell>
          <cell r="V1903">
            <v>0.70914326853851595</v>
          </cell>
        </row>
        <row r="1904">
          <cell r="A1904" t="str">
            <v>141202</v>
          </cell>
          <cell r="B1904">
            <v>1031.1111109999999</v>
          </cell>
          <cell r="C1904">
            <v>244.76242999999999</v>
          </cell>
          <cell r="D1904">
            <v>1.35796545105566</v>
          </cell>
          <cell r="E1904">
            <v>244.76242999999999</v>
          </cell>
          <cell r="F1904">
            <v>1.35796545105566</v>
          </cell>
          <cell r="G1904">
            <v>1668.283727</v>
          </cell>
          <cell r="H1904">
            <v>2.07788461538461</v>
          </cell>
          <cell r="I1904">
            <v>376.62981300000001</v>
          </cell>
          <cell r="J1904">
            <v>1.2384615384615301</v>
          </cell>
          <cell r="K1904">
            <v>2117.2180530000001</v>
          </cell>
          <cell r="L1904">
            <v>1.40367860600193</v>
          </cell>
          <cell r="M1904">
            <v>124.038028</v>
          </cell>
          <cell r="N1904">
            <v>0.58954501452081298</v>
          </cell>
          <cell r="O1904">
            <v>573.35864100000003</v>
          </cell>
          <cell r="P1904">
            <v>1.09454191033138</v>
          </cell>
          <cell r="Q1904">
            <v>303.69122800000002</v>
          </cell>
          <cell r="R1904">
            <v>0.74561403508771895</v>
          </cell>
          <cell r="S1904">
            <v>222.73460700000001</v>
          </cell>
          <cell r="T1904">
            <v>0.77352941176470502</v>
          </cell>
          <cell r="U1904">
            <v>217.34861100000001</v>
          </cell>
          <cell r="V1904">
            <v>0.75686274509803897</v>
          </cell>
        </row>
        <row r="1905">
          <cell r="A1905" t="str">
            <v>141801</v>
          </cell>
          <cell r="B1905">
            <v>747.88888799999995</v>
          </cell>
          <cell r="C1905">
            <v>15.957109000000001</v>
          </cell>
          <cell r="D1905">
            <v>3.3548387096774102E-2</v>
          </cell>
          <cell r="E1905">
            <v>15.957109000000001</v>
          </cell>
          <cell r="F1905">
            <v>3.3548387096774102E-2</v>
          </cell>
          <cell r="G1905">
            <v>441.65611699999999</v>
          </cell>
          <cell r="H1905">
            <v>0.234070221066319</v>
          </cell>
          <cell r="I1905">
            <v>8.0109370000000002</v>
          </cell>
          <cell r="J1905">
            <v>5.4616384915474603E-2</v>
          </cell>
          <cell r="K1905">
            <v>161.105951</v>
          </cell>
          <cell r="L1905">
            <v>1.0873015873015801</v>
          </cell>
          <cell r="M1905">
            <v>59.715100999999997</v>
          </cell>
          <cell r="N1905">
            <v>1.04100529100529</v>
          </cell>
          <cell r="O1905">
            <v>222.62799799999999</v>
          </cell>
          <cell r="P1905">
            <v>1.44368131868131</v>
          </cell>
          <cell r="Q1905">
            <v>105.140956</v>
          </cell>
          <cell r="R1905">
            <v>1.07280219780219</v>
          </cell>
          <cell r="S1905">
            <v>700.39912600000002</v>
          </cell>
          <cell r="T1905">
            <v>2.3103448275862002</v>
          </cell>
          <cell r="U1905">
            <v>604.57397700000001</v>
          </cell>
          <cell r="V1905">
            <v>2.2496551724137901</v>
          </cell>
        </row>
        <row r="1906">
          <cell r="A1906" t="str">
            <v>141802</v>
          </cell>
          <cell r="B1906">
            <v>1042.6666660000001</v>
          </cell>
          <cell r="C1906">
            <v>94.570756000000003</v>
          </cell>
          <cell r="D1906">
            <v>0.79395604395604302</v>
          </cell>
          <cell r="E1906">
            <v>94.570756000000003</v>
          </cell>
          <cell r="F1906">
            <v>0.79395604395604302</v>
          </cell>
          <cell r="G1906">
            <v>856.32773699999996</v>
          </cell>
          <cell r="H1906">
            <v>1.41238938053097</v>
          </cell>
          <cell r="I1906">
            <v>92.449163999999996</v>
          </cell>
          <cell r="J1906">
            <v>0.58849557522123797</v>
          </cell>
          <cell r="K1906">
            <v>377.39444400000002</v>
          </cell>
          <cell r="L1906">
            <v>2.2488888888888798</v>
          </cell>
          <cell r="M1906">
            <v>309.67829599999999</v>
          </cell>
          <cell r="N1906">
            <v>2.1928888888888798</v>
          </cell>
          <cell r="O1906">
            <v>822.80499799999996</v>
          </cell>
          <cell r="P1906">
            <v>2.4275000000000002</v>
          </cell>
          <cell r="Q1906">
            <v>253.40837400000001</v>
          </cell>
          <cell r="R1906">
            <v>1.96</v>
          </cell>
          <cell r="S1906">
            <v>458.899449</v>
          </cell>
          <cell r="T1906">
            <v>2.2612282309807501</v>
          </cell>
          <cell r="U1906">
            <v>443.34145999999998</v>
          </cell>
          <cell r="V1906">
            <v>2.2291475710357398</v>
          </cell>
        </row>
        <row r="1907">
          <cell r="A1907" t="str">
            <v>141901</v>
          </cell>
          <cell r="B1907">
            <v>1</v>
          </cell>
          <cell r="C1907">
            <v>0</v>
          </cell>
          <cell r="D1907">
            <v>0</v>
          </cell>
          <cell r="E1907">
            <v>0</v>
          </cell>
          <cell r="F1907">
            <v>0</v>
          </cell>
          <cell r="G1907">
            <v>0</v>
          </cell>
          <cell r="H1907">
            <v>0</v>
          </cell>
          <cell r="I1907">
            <v>0</v>
          </cell>
          <cell r="J1907">
            <v>0</v>
          </cell>
          <cell r="K1907">
            <v>881.96666600000003</v>
          </cell>
          <cell r="L1907">
            <v>1</v>
          </cell>
          <cell r="M1907">
            <v>0</v>
          </cell>
          <cell r="N1907">
            <v>0</v>
          </cell>
          <cell r="O1907">
            <v>0</v>
          </cell>
          <cell r="P1907">
            <v>0</v>
          </cell>
          <cell r="Q1907">
            <v>0</v>
          </cell>
          <cell r="R1907">
            <v>0</v>
          </cell>
          <cell r="S1907">
            <v>0</v>
          </cell>
          <cell r="T1907">
            <v>0</v>
          </cell>
          <cell r="U1907">
            <v>0</v>
          </cell>
          <cell r="V1907">
            <v>0</v>
          </cell>
        </row>
        <row r="1908">
          <cell r="A1908" t="str">
            <v>142701</v>
          </cell>
          <cell r="B1908">
            <v>1166</v>
          </cell>
          <cell r="C1908">
            <v>701.07631300000003</v>
          </cell>
          <cell r="D1908">
            <v>1.2034188034188</v>
          </cell>
          <cell r="E1908">
            <v>232.183832</v>
          </cell>
          <cell r="F1908">
            <v>0.55811965811965802</v>
          </cell>
          <cell r="G1908">
            <v>1215.3166229999999</v>
          </cell>
          <cell r="H1908">
            <v>1.35299145299145</v>
          </cell>
          <cell r="I1908">
            <v>161.00896800000001</v>
          </cell>
          <cell r="J1908">
            <v>0.56581196581196502</v>
          </cell>
          <cell r="K1908">
            <v>1031.8311650000001</v>
          </cell>
          <cell r="L1908">
            <v>1.12061591103507</v>
          </cell>
          <cell r="M1908">
            <v>125.435999</v>
          </cell>
          <cell r="N1908">
            <v>0.44995722840034202</v>
          </cell>
          <cell r="O1908">
            <v>72.655994000000007</v>
          </cell>
          <cell r="P1908">
            <v>0.327896995708154</v>
          </cell>
          <cell r="Q1908">
            <v>51.546551999999998</v>
          </cell>
          <cell r="R1908">
            <v>0.28927038626609403</v>
          </cell>
          <cell r="S1908">
            <v>114.207453</v>
          </cell>
          <cell r="T1908">
            <v>1.06920415224913</v>
          </cell>
          <cell r="U1908">
            <v>38.260278999999997</v>
          </cell>
          <cell r="V1908">
            <v>0.26038062283737001</v>
          </cell>
        </row>
        <row r="1909">
          <cell r="A1909" t="str">
            <v>142702</v>
          </cell>
          <cell r="B1909">
            <v>2679.6</v>
          </cell>
          <cell r="C1909">
            <v>250.13740999999999</v>
          </cell>
          <cell r="D1909">
            <v>0.53792851932895602</v>
          </cell>
          <cell r="E1909">
            <v>115.094835</v>
          </cell>
          <cell r="F1909">
            <v>0.45404814004376298</v>
          </cell>
          <cell r="G1909">
            <v>214.246861</v>
          </cell>
          <cell r="H1909">
            <v>0.74269005847953196</v>
          </cell>
          <cell r="I1909">
            <v>52.75094</v>
          </cell>
          <cell r="J1909">
            <v>0.180555555555555</v>
          </cell>
          <cell r="K1909">
            <v>162.72279800000001</v>
          </cell>
          <cell r="L1909">
            <v>1.1008804108584</v>
          </cell>
          <cell r="M1909">
            <v>160.24932100000001</v>
          </cell>
          <cell r="N1909">
            <v>1.0997798972853901</v>
          </cell>
          <cell r="O1909">
            <v>41.105888</v>
          </cell>
          <cell r="P1909">
            <v>0.16881547139403699</v>
          </cell>
          <cell r="Q1909">
            <v>36.468271000000001</v>
          </cell>
          <cell r="R1909">
            <v>0.166398066075745</v>
          </cell>
          <cell r="S1909">
            <v>114.660133</v>
          </cell>
          <cell r="T1909">
            <v>1.2171828908554501</v>
          </cell>
          <cell r="U1909">
            <v>81.704104999999998</v>
          </cell>
          <cell r="V1909">
            <v>1.00073746312684</v>
          </cell>
        </row>
        <row r="1910">
          <cell r="A1910" t="str">
            <v>142703</v>
          </cell>
          <cell r="B1910">
            <v>2912.8</v>
          </cell>
          <cell r="C1910">
            <v>208.84467100000001</v>
          </cell>
          <cell r="D1910">
            <v>0.31239212978943698</v>
          </cell>
          <cell r="E1910">
            <v>101.454579</v>
          </cell>
          <cell r="F1910">
            <v>0.23472557818432799</v>
          </cell>
          <cell r="G1910">
            <v>906.50752999999997</v>
          </cell>
          <cell r="H1910">
            <v>2.50362193859951</v>
          </cell>
          <cell r="I1910">
            <v>212.23411400000001</v>
          </cell>
          <cell r="J1910">
            <v>1.3001034839599801</v>
          </cell>
          <cell r="K1910">
            <v>554.27864499999998</v>
          </cell>
          <cell r="L1910">
            <v>0.59519665854507398</v>
          </cell>
          <cell r="M1910">
            <v>136.682828</v>
          </cell>
          <cell r="N1910">
            <v>0.42046641141663699</v>
          </cell>
          <cell r="O1910">
            <v>431.52953100000002</v>
          </cell>
          <cell r="P1910">
            <v>2.2027903958468502</v>
          </cell>
          <cell r="Q1910">
            <v>267.19024400000001</v>
          </cell>
          <cell r="R1910">
            <v>2.0288773523685899</v>
          </cell>
          <cell r="S1910">
            <v>75.566844000000003</v>
          </cell>
          <cell r="T1910">
            <v>7.3586917881265507E-2</v>
          </cell>
          <cell r="U1910">
            <v>13.325376</v>
          </cell>
          <cell r="V1910">
            <v>4.2303590472804797E-2</v>
          </cell>
        </row>
        <row r="1911">
          <cell r="A1911" t="str">
            <v>143301</v>
          </cell>
          <cell r="B1911">
            <v>1</v>
          </cell>
          <cell r="C1911">
            <v>0</v>
          </cell>
          <cell r="D1911">
            <v>0</v>
          </cell>
          <cell r="E1911">
            <v>0</v>
          </cell>
          <cell r="F1911">
            <v>0</v>
          </cell>
          <cell r="G1911">
            <v>0</v>
          </cell>
          <cell r="H1911">
            <v>0</v>
          </cell>
          <cell r="I1911">
            <v>0</v>
          </cell>
          <cell r="J1911">
            <v>0</v>
          </cell>
          <cell r="K1911">
            <v>0</v>
          </cell>
          <cell r="L1911">
            <v>0</v>
          </cell>
          <cell r="M1911">
            <v>0</v>
          </cell>
          <cell r="N1911">
            <v>0</v>
          </cell>
          <cell r="O1911">
            <v>0</v>
          </cell>
          <cell r="P1911">
            <v>0</v>
          </cell>
          <cell r="Q1911">
            <v>0</v>
          </cell>
          <cell r="R1911">
            <v>0</v>
          </cell>
          <cell r="S1911">
            <v>183</v>
          </cell>
          <cell r="T1911">
            <v>1</v>
          </cell>
          <cell r="U1911">
            <v>183</v>
          </cell>
          <cell r="V1911">
            <v>1</v>
          </cell>
        </row>
        <row r="1912">
          <cell r="A1912" t="str">
            <v>144201</v>
          </cell>
          <cell r="B1912">
            <v>564.33333300000004</v>
          </cell>
          <cell r="C1912">
            <v>12.976794999999999</v>
          </cell>
          <cell r="D1912">
            <v>3.9402173913043403E-2</v>
          </cell>
          <cell r="E1912">
            <v>12.976794999999999</v>
          </cell>
          <cell r="F1912">
            <v>3.9402173913043403E-2</v>
          </cell>
          <cell r="G1912">
            <v>23.652947000000001</v>
          </cell>
          <cell r="H1912">
            <v>0.15040650406504</v>
          </cell>
          <cell r="I1912">
            <v>23.652947000000001</v>
          </cell>
          <cell r="J1912">
            <v>0.15040650406504</v>
          </cell>
          <cell r="K1912">
            <v>74.854164999999995</v>
          </cell>
          <cell r="L1912">
            <v>0.44701086956521702</v>
          </cell>
          <cell r="M1912">
            <v>58.953010999999996</v>
          </cell>
          <cell r="N1912">
            <v>0.42934782608695599</v>
          </cell>
          <cell r="O1912">
            <v>386.26939299999998</v>
          </cell>
          <cell r="P1912">
            <v>0.75909090909090904</v>
          </cell>
          <cell r="Q1912">
            <v>113.70757500000001</v>
          </cell>
          <cell r="R1912">
            <v>0.70454545454545403</v>
          </cell>
          <cell r="S1912">
            <v>0</v>
          </cell>
          <cell r="T1912">
            <v>0</v>
          </cell>
          <cell r="U1912">
            <v>0</v>
          </cell>
          <cell r="V1912">
            <v>0</v>
          </cell>
        </row>
        <row r="1913">
          <cell r="A1913" t="str">
            <v>144202</v>
          </cell>
          <cell r="B1913">
            <v>985.125</v>
          </cell>
          <cell r="C1913">
            <v>63.202590000000001</v>
          </cell>
          <cell r="D1913">
            <v>0.66329625884732002</v>
          </cell>
          <cell r="E1913">
            <v>63.202590000000001</v>
          </cell>
          <cell r="F1913">
            <v>0.66329625884732002</v>
          </cell>
          <cell r="G1913">
            <v>0.59922600000000004</v>
          </cell>
          <cell r="H1913">
            <v>7.0850202429149703E-3</v>
          </cell>
          <cell r="I1913">
            <v>0.59922600000000004</v>
          </cell>
          <cell r="J1913">
            <v>7.0850202429149703E-3</v>
          </cell>
          <cell r="K1913">
            <v>438.61907000000002</v>
          </cell>
          <cell r="L1913">
            <v>1.0060975609756</v>
          </cell>
          <cell r="M1913">
            <v>0.87474499999999999</v>
          </cell>
          <cell r="N1913">
            <v>7.11382113821138E-3</v>
          </cell>
          <cell r="O1913">
            <v>1142.1006600000001</v>
          </cell>
          <cell r="P1913">
            <v>0.44862665310274602</v>
          </cell>
          <cell r="Q1913">
            <v>11.485045</v>
          </cell>
          <cell r="R1913">
            <v>4.7812817904374298E-2</v>
          </cell>
          <cell r="S1913">
            <v>34.770505999999997</v>
          </cell>
          <cell r="T1913">
            <v>0.44060913705583699</v>
          </cell>
          <cell r="U1913">
            <v>34.527461000000002</v>
          </cell>
          <cell r="V1913">
            <v>0.43959390862944098</v>
          </cell>
        </row>
        <row r="1914">
          <cell r="A1914" t="str">
            <v>144301</v>
          </cell>
          <cell r="B1914">
            <v>1135</v>
          </cell>
          <cell r="C1914">
            <v>324.92069099999998</v>
          </cell>
          <cell r="D1914">
            <v>2.4287072243346</v>
          </cell>
          <cell r="E1914">
            <v>309.91972900000002</v>
          </cell>
          <cell r="F1914">
            <v>2.30988593155893</v>
          </cell>
          <cell r="G1914">
            <v>288.397627</v>
          </cell>
          <cell r="H1914">
            <v>0.98722316865417303</v>
          </cell>
          <cell r="I1914">
            <v>148.28028399999999</v>
          </cell>
          <cell r="J1914">
            <v>0.713798977853492</v>
          </cell>
          <cell r="K1914">
            <v>856.55472999999995</v>
          </cell>
          <cell r="L1914">
            <v>2.0980392156862702</v>
          </cell>
          <cell r="M1914">
            <v>477.01136600000001</v>
          </cell>
          <cell r="N1914">
            <v>1.5166240409207099</v>
          </cell>
          <cell r="O1914">
            <v>126.91668</v>
          </cell>
          <cell r="P1914">
            <v>0.57583547557840598</v>
          </cell>
          <cell r="Q1914">
            <v>86.880148000000005</v>
          </cell>
          <cell r="R1914">
            <v>0.49357326478149099</v>
          </cell>
          <cell r="S1914">
            <v>357.86615499999999</v>
          </cell>
          <cell r="T1914">
            <v>1.4472497745716799</v>
          </cell>
          <cell r="U1914">
            <v>280.91792900000002</v>
          </cell>
          <cell r="V1914">
            <v>1.39044183949504</v>
          </cell>
        </row>
        <row r="1915">
          <cell r="A1915" t="str">
            <v>144302</v>
          </cell>
          <cell r="B1915">
            <v>1676.5555549999999</v>
          </cell>
          <cell r="C1915">
            <v>166.48820599999999</v>
          </cell>
          <cell r="D1915">
            <v>1.1440144014401401</v>
          </cell>
          <cell r="E1915">
            <v>166.48820599999999</v>
          </cell>
          <cell r="F1915">
            <v>1.1440144014401401</v>
          </cell>
          <cell r="G1915">
            <v>164.56268299999999</v>
          </cell>
          <cell r="H1915">
            <v>0.377790497996565</v>
          </cell>
          <cell r="I1915">
            <v>21.312611</v>
          </cell>
          <cell r="J1915">
            <v>0.191757298225529</v>
          </cell>
          <cell r="K1915">
            <v>1027.3089729999999</v>
          </cell>
          <cell r="L1915">
            <v>2.9722850678733002</v>
          </cell>
          <cell r="M1915">
            <v>831.75806899999998</v>
          </cell>
          <cell r="N1915">
            <v>2.6046380090497698</v>
          </cell>
          <cell r="O1915">
            <v>139.89379500000001</v>
          </cell>
          <cell r="P1915">
            <v>1.5733711048158601</v>
          </cell>
          <cell r="Q1915">
            <v>126.12474899999999</v>
          </cell>
          <cell r="R1915">
            <v>1.55637393767705</v>
          </cell>
          <cell r="S1915">
            <v>324.65540199999998</v>
          </cell>
          <cell r="T1915">
            <v>1.75190169689877</v>
          </cell>
          <cell r="U1915">
            <v>307.90141399999999</v>
          </cell>
          <cell r="V1915">
            <v>1.70040959625511</v>
          </cell>
        </row>
        <row r="1916">
          <cell r="A1916" t="str">
            <v>145001</v>
          </cell>
          <cell r="B1916">
            <v>1</v>
          </cell>
          <cell r="C1916">
            <v>0</v>
          </cell>
          <cell r="D1916">
            <v>0</v>
          </cell>
          <cell r="E1916">
            <v>0</v>
          </cell>
          <cell r="F1916">
            <v>0</v>
          </cell>
          <cell r="G1916">
            <v>0</v>
          </cell>
          <cell r="H1916">
            <v>0</v>
          </cell>
          <cell r="I1916">
            <v>0</v>
          </cell>
          <cell r="J1916">
            <v>0</v>
          </cell>
          <cell r="K1916">
            <v>75.166666000000006</v>
          </cell>
          <cell r="L1916">
            <v>1</v>
          </cell>
          <cell r="M1916">
            <v>75.166666000000006</v>
          </cell>
          <cell r="N1916">
            <v>1</v>
          </cell>
          <cell r="O1916">
            <v>0</v>
          </cell>
          <cell r="P1916">
            <v>0</v>
          </cell>
          <cell r="Q1916">
            <v>0</v>
          </cell>
          <cell r="R1916">
            <v>0</v>
          </cell>
          <cell r="S1916">
            <v>0</v>
          </cell>
          <cell r="T1916">
            <v>0</v>
          </cell>
          <cell r="U1916">
            <v>0</v>
          </cell>
          <cell r="V1916">
            <v>0</v>
          </cell>
        </row>
        <row r="1917">
          <cell r="A1917" t="str">
            <v>145101</v>
          </cell>
          <cell r="B1917">
            <v>531.5</v>
          </cell>
          <cell r="C1917">
            <v>82.68253</v>
          </cell>
          <cell r="D1917">
            <v>0.49253731343283502</v>
          </cell>
          <cell r="E1917">
            <v>82.68253</v>
          </cell>
          <cell r="F1917">
            <v>0.49253731343283502</v>
          </cell>
          <cell r="G1917">
            <v>138.58902599999999</v>
          </cell>
          <cell r="H1917">
            <v>0.218455743879472</v>
          </cell>
          <cell r="I1917">
            <v>44.397390000000001</v>
          </cell>
          <cell r="J1917">
            <v>0.13935969868173201</v>
          </cell>
          <cell r="K1917">
            <v>1012.013057</v>
          </cell>
          <cell r="L1917">
            <v>3.4067796610169401</v>
          </cell>
          <cell r="M1917">
            <v>693.30138099999999</v>
          </cell>
          <cell r="N1917">
            <v>2.2090395480225902</v>
          </cell>
          <cell r="O1917">
            <v>1137.917387</v>
          </cell>
          <cell r="P1917">
            <v>2.3201506591337</v>
          </cell>
          <cell r="Q1917">
            <v>450.34704900000003</v>
          </cell>
          <cell r="R1917">
            <v>2.0169491525423702</v>
          </cell>
          <cell r="S1917">
            <v>842.52389900000003</v>
          </cell>
          <cell r="T1917">
            <v>3.8452830188679199</v>
          </cell>
          <cell r="U1917">
            <v>842.52389900000003</v>
          </cell>
          <cell r="V1917">
            <v>3.8452830188679199</v>
          </cell>
        </row>
        <row r="1918">
          <cell r="A1918" t="str">
            <v>145102</v>
          </cell>
          <cell r="B1918">
            <v>1663.777777</v>
          </cell>
          <cell r="C1918">
            <v>1374.3810550000001</v>
          </cell>
          <cell r="D1918">
            <v>2.01317365269461</v>
          </cell>
          <cell r="E1918">
            <v>1374.3810550000001</v>
          </cell>
          <cell r="F1918">
            <v>2.01317365269461</v>
          </cell>
          <cell r="G1918">
            <v>942.32824900000003</v>
          </cell>
          <cell r="H1918">
            <v>3.7007779772591198</v>
          </cell>
          <cell r="I1918">
            <v>553.25586999999996</v>
          </cell>
          <cell r="J1918">
            <v>2.7684021543985602</v>
          </cell>
          <cell r="K1918">
            <v>1300.1309249999999</v>
          </cell>
          <cell r="L1918">
            <v>1.7140287769784099</v>
          </cell>
          <cell r="M1918">
            <v>441.11740600000002</v>
          </cell>
          <cell r="N1918">
            <v>1.1762589928057501</v>
          </cell>
          <cell r="O1918">
            <v>1505.1662650000001</v>
          </cell>
          <cell r="P1918">
            <v>4.6462093862815799</v>
          </cell>
          <cell r="Q1918">
            <v>374.66373800000002</v>
          </cell>
          <cell r="R1918">
            <v>2.9476534296028798</v>
          </cell>
          <cell r="S1918">
            <v>828.07950700000004</v>
          </cell>
          <cell r="T1918">
            <v>4.6565717746820097</v>
          </cell>
          <cell r="U1918">
            <v>578.35247300000003</v>
          </cell>
          <cell r="V1918">
            <v>3.53906723198061</v>
          </cell>
        </row>
        <row r="1919">
          <cell r="A1919" t="str">
            <v>145501</v>
          </cell>
          <cell r="B1919">
            <v>1</v>
          </cell>
          <cell r="C1919">
            <v>0</v>
          </cell>
          <cell r="D1919">
            <v>0</v>
          </cell>
          <cell r="E1919">
            <v>0</v>
          </cell>
          <cell r="F1919">
            <v>0</v>
          </cell>
          <cell r="G1919">
            <v>0</v>
          </cell>
          <cell r="H1919">
            <v>0</v>
          </cell>
          <cell r="I1919">
            <v>0</v>
          </cell>
          <cell r="J1919">
            <v>0</v>
          </cell>
          <cell r="K1919">
            <v>490.25</v>
          </cell>
          <cell r="L1919">
            <v>1</v>
          </cell>
          <cell r="M1919">
            <v>490.25</v>
          </cell>
          <cell r="N1919">
            <v>1</v>
          </cell>
          <cell r="O1919">
            <v>0</v>
          </cell>
          <cell r="P1919">
            <v>0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  <cell r="V1919">
            <v>0</v>
          </cell>
        </row>
        <row r="1920">
          <cell r="A1920" t="str">
            <v>147201</v>
          </cell>
          <cell r="B1920">
            <v>1315.8</v>
          </cell>
          <cell r="C1920">
            <v>276.38100600000001</v>
          </cell>
          <cell r="D1920">
            <v>1.2206325301204799</v>
          </cell>
          <cell r="E1920">
            <v>275.381281</v>
          </cell>
          <cell r="F1920">
            <v>1.2153614457831301</v>
          </cell>
          <cell r="G1920">
            <v>63.287115</v>
          </cell>
          <cell r="H1920">
            <v>2.1060606060606002</v>
          </cell>
          <cell r="I1920">
            <v>27.538315999999998</v>
          </cell>
          <cell r="J1920">
            <v>1.1037878787878701</v>
          </cell>
          <cell r="K1920">
            <v>981.34096999999997</v>
          </cell>
          <cell r="L1920">
            <v>1.26934749620637</v>
          </cell>
          <cell r="M1920">
            <v>114.30643600000001</v>
          </cell>
          <cell r="N1920">
            <v>0.45978755690439999</v>
          </cell>
          <cell r="O1920">
            <v>222.095877</v>
          </cell>
          <cell r="P1920">
            <v>0.89847328244274804</v>
          </cell>
          <cell r="Q1920">
            <v>190.366781</v>
          </cell>
          <cell r="R1920">
            <v>0.85267175572519005</v>
          </cell>
          <cell r="S1920">
            <v>2170.3088760000001</v>
          </cell>
          <cell r="T1920">
            <v>1.59324635456638</v>
          </cell>
          <cell r="U1920">
            <v>93.448195999999996</v>
          </cell>
          <cell r="V1920">
            <v>0.486569455103607</v>
          </cell>
        </row>
        <row r="1921">
          <cell r="A1921" t="str">
            <v>147202</v>
          </cell>
          <cell r="B1921">
            <v>618.79999999999995</v>
          </cell>
          <cell r="C1921">
            <v>204.053021</v>
          </cell>
          <cell r="D1921">
            <v>1.6672</v>
          </cell>
          <cell r="E1921">
            <v>158.424598</v>
          </cell>
          <cell r="F1921">
            <v>1.4816</v>
          </cell>
          <cell r="G1921">
            <v>855.57354399999997</v>
          </cell>
          <cell r="H1921">
            <v>2.7214170692431501</v>
          </cell>
          <cell r="I1921">
            <v>236.938254</v>
          </cell>
          <cell r="J1921">
            <v>1.34782608695652</v>
          </cell>
          <cell r="K1921">
            <v>1222.4229929999999</v>
          </cell>
          <cell r="L1921">
            <v>2.3263327948303698</v>
          </cell>
          <cell r="M1921">
            <v>231.961927</v>
          </cell>
          <cell r="N1921">
            <v>1.1890145395799601</v>
          </cell>
          <cell r="O1921">
            <v>1092.1842779999999</v>
          </cell>
          <cell r="P1921">
            <v>3.0923824959481299</v>
          </cell>
          <cell r="Q1921">
            <v>781.02277100000003</v>
          </cell>
          <cell r="R1921">
            <v>2.42787682333873</v>
          </cell>
          <cell r="S1921">
            <v>348.540031</v>
          </cell>
          <cell r="T1921">
            <v>1.2189542483660101</v>
          </cell>
          <cell r="U1921">
            <v>236.13970499999999</v>
          </cell>
          <cell r="V1921">
            <v>0.947712418300653</v>
          </cell>
        </row>
        <row r="1922">
          <cell r="A1922" t="str">
            <v>147301</v>
          </cell>
          <cell r="B1922">
            <v>2142.125</v>
          </cell>
          <cell r="C1922">
            <v>136.74046300000001</v>
          </cell>
          <cell r="D1922">
            <v>1.0386245878473801</v>
          </cell>
          <cell r="E1922">
            <v>136.74046300000001</v>
          </cell>
          <cell r="F1922">
            <v>1.0386245878473801</v>
          </cell>
          <cell r="G1922">
            <v>171.82200700000001</v>
          </cell>
          <cell r="H1922">
            <v>1.21596244131455</v>
          </cell>
          <cell r="I1922">
            <v>120.754148</v>
          </cell>
          <cell r="J1922">
            <v>1.1920187793427199</v>
          </cell>
          <cell r="K1922">
            <v>521.223613</v>
          </cell>
          <cell r="L1922">
            <v>2.1400375939849599</v>
          </cell>
          <cell r="M1922">
            <v>46.102083</v>
          </cell>
          <cell r="N1922">
            <v>1.10150375939849</v>
          </cell>
          <cell r="O1922">
            <v>9.7541069999999994</v>
          </cell>
          <cell r="P1922">
            <v>9.4073377234242694E-2</v>
          </cell>
          <cell r="Q1922">
            <v>9.7541069999999994</v>
          </cell>
          <cell r="R1922">
            <v>9.4073377234242694E-2</v>
          </cell>
          <cell r="S1922">
            <v>218.31714600000001</v>
          </cell>
          <cell r="T1922">
            <v>1.0178408051235099</v>
          </cell>
          <cell r="U1922">
            <v>216.79791</v>
          </cell>
          <cell r="V1922">
            <v>1.01692589204025</v>
          </cell>
        </row>
        <row r="1923">
          <cell r="A1923" t="str">
            <v>147302</v>
          </cell>
          <cell r="B1923">
            <v>1</v>
          </cell>
          <cell r="C1923">
            <v>0</v>
          </cell>
          <cell r="D1923">
            <v>0</v>
          </cell>
          <cell r="E1923">
            <v>0</v>
          </cell>
          <cell r="F1923">
            <v>0</v>
          </cell>
          <cell r="G1923">
            <v>184326.36666500001</v>
          </cell>
          <cell r="H1923">
            <v>2116</v>
          </cell>
          <cell r="I1923">
            <v>184326.36666500001</v>
          </cell>
          <cell r="J1923">
            <v>2116</v>
          </cell>
          <cell r="K1923">
            <v>0</v>
          </cell>
          <cell r="L1923">
            <v>0</v>
          </cell>
          <cell r="M1923">
            <v>0</v>
          </cell>
          <cell r="N1923">
            <v>0</v>
          </cell>
          <cell r="O1923">
            <v>0</v>
          </cell>
          <cell r="P1923">
            <v>0</v>
          </cell>
          <cell r="Q1923">
            <v>0</v>
          </cell>
          <cell r="R1923">
            <v>0</v>
          </cell>
          <cell r="S1923">
            <v>0</v>
          </cell>
          <cell r="T1923">
            <v>0</v>
          </cell>
          <cell r="U1923">
            <v>0</v>
          </cell>
          <cell r="V1923">
            <v>0</v>
          </cell>
        </row>
        <row r="1924">
          <cell r="A1924" t="str">
            <v>147303</v>
          </cell>
          <cell r="B1924">
            <v>297.2</v>
          </cell>
          <cell r="C1924">
            <v>0</v>
          </cell>
          <cell r="D1924">
            <v>0</v>
          </cell>
          <cell r="E1924">
            <v>0</v>
          </cell>
          <cell r="F1924">
            <v>0</v>
          </cell>
          <cell r="G1924">
            <v>146.67041800000001</v>
          </cell>
          <cell r="H1924">
            <v>0.26910299003322202</v>
          </cell>
          <cell r="I1924">
            <v>146.67041800000001</v>
          </cell>
          <cell r="J1924">
            <v>0.26910299003322202</v>
          </cell>
          <cell r="K1924">
            <v>39.088405000000002</v>
          </cell>
          <cell r="L1924">
            <v>1.0200668896320999</v>
          </cell>
          <cell r="M1924">
            <v>21.126588000000002</v>
          </cell>
          <cell r="N1924">
            <v>0.88628762541806005</v>
          </cell>
          <cell r="O1924">
            <v>7.900506</v>
          </cell>
          <cell r="P1924">
            <v>2.7027027027027001E-2</v>
          </cell>
          <cell r="Q1924">
            <v>7.900506</v>
          </cell>
          <cell r="R1924">
            <v>2.7027027027027001E-2</v>
          </cell>
          <cell r="S1924">
            <v>10.747995</v>
          </cell>
          <cell r="T1924">
            <v>0.116838487972508</v>
          </cell>
          <cell r="U1924">
            <v>10.747995</v>
          </cell>
          <cell r="V1924">
            <v>0.116838487972508</v>
          </cell>
        </row>
        <row r="1925">
          <cell r="A1925" t="str">
            <v>147501</v>
          </cell>
          <cell r="B1925">
            <v>355.22222199999999</v>
          </cell>
          <cell r="C1925">
            <v>6521.420239</v>
          </cell>
          <cell r="D1925">
            <v>8.74482758620689</v>
          </cell>
          <cell r="E1925">
            <v>2402.973176</v>
          </cell>
          <cell r="F1925">
            <v>6.1310344827586203</v>
          </cell>
          <cell r="G1925">
            <v>240.14125100000001</v>
          </cell>
          <cell r="H1925">
            <v>0.40521327014218</v>
          </cell>
          <cell r="I1925">
            <v>45.231468999999997</v>
          </cell>
          <cell r="J1925">
            <v>0.24881516587677699</v>
          </cell>
          <cell r="K1925">
            <v>69.144668999999993</v>
          </cell>
          <cell r="L1925">
            <v>0.32219570405727899</v>
          </cell>
          <cell r="M1925">
            <v>69.144668999999993</v>
          </cell>
          <cell r="N1925">
            <v>0.32219570405727899</v>
          </cell>
          <cell r="O1925">
            <v>78.411311999999995</v>
          </cell>
          <cell r="P1925">
            <v>0.11835748792270499</v>
          </cell>
          <cell r="Q1925">
            <v>78.110990000000001</v>
          </cell>
          <cell r="R1925">
            <v>0.115942028985507</v>
          </cell>
          <cell r="S1925">
            <v>4300.2487330000004</v>
          </cell>
          <cell r="T1925">
            <v>3.5147058823529398</v>
          </cell>
          <cell r="U1925">
            <v>260.28958299999999</v>
          </cell>
          <cell r="V1925">
            <v>1.67156862745098</v>
          </cell>
        </row>
        <row r="1926">
          <cell r="A1926" t="str">
            <v>147502</v>
          </cell>
          <cell r="B1926">
            <v>778.4</v>
          </cell>
          <cell r="C1926">
            <v>3813.5127189999998</v>
          </cell>
          <cell r="D1926">
            <v>3.61779448621553</v>
          </cell>
          <cell r="E1926">
            <v>496.46071599999999</v>
          </cell>
          <cell r="F1926">
            <v>2.35338345864661</v>
          </cell>
          <cell r="G1926">
            <v>265.42528299999998</v>
          </cell>
          <cell r="H1926">
            <v>0.65443037974683504</v>
          </cell>
          <cell r="I1926">
            <v>37.972383000000001</v>
          </cell>
          <cell r="J1926">
            <v>0.40632911392405002</v>
          </cell>
          <cell r="K1926">
            <v>283.95881300000002</v>
          </cell>
          <cell r="L1926">
            <v>1.39692701664532</v>
          </cell>
          <cell r="M1926">
            <v>262.24417399999999</v>
          </cell>
          <cell r="N1926">
            <v>1.38796414852752</v>
          </cell>
          <cell r="O1926">
            <v>152.851258</v>
          </cell>
          <cell r="P1926">
            <v>0.82552083333333304</v>
          </cell>
          <cell r="Q1926">
            <v>112.990234</v>
          </cell>
          <cell r="R1926">
            <v>0.57682291666666596</v>
          </cell>
          <cell r="S1926">
            <v>4430.4802639999998</v>
          </cell>
          <cell r="T1926">
            <v>3.4662251655629102</v>
          </cell>
          <cell r="U1926">
            <v>236.081986</v>
          </cell>
          <cell r="V1926">
            <v>1.5231788079470101</v>
          </cell>
        </row>
        <row r="1927">
          <cell r="A1927" t="str">
            <v>147601</v>
          </cell>
          <cell r="B1927">
            <v>1603</v>
          </cell>
          <cell r="C1927">
            <v>66.452676999999994</v>
          </cell>
          <cell r="D1927">
            <v>0.17805383022774299</v>
          </cell>
          <cell r="E1927">
            <v>50.888590000000001</v>
          </cell>
          <cell r="F1927">
            <v>0.16977225672877799</v>
          </cell>
          <cell r="G1927">
            <v>214.58654000000001</v>
          </cell>
          <cell r="H1927">
            <v>0.50845070422535199</v>
          </cell>
          <cell r="I1927">
            <v>182.67836800000001</v>
          </cell>
          <cell r="J1927">
            <v>0.46197183098591499</v>
          </cell>
          <cell r="K1927">
            <v>181.591004</v>
          </cell>
          <cell r="L1927">
            <v>1.5574468085106301</v>
          </cell>
          <cell r="M1927">
            <v>62.508156</v>
          </cell>
          <cell r="N1927">
            <v>0.54680851063829705</v>
          </cell>
          <cell r="O1927">
            <v>5.3750879999999999</v>
          </cell>
          <cell r="P1927">
            <v>2.45128849780012E-2</v>
          </cell>
          <cell r="Q1927">
            <v>3.8751410000000002</v>
          </cell>
          <cell r="R1927">
            <v>2.3255813953488299E-2</v>
          </cell>
          <cell r="S1927">
            <v>254.278188</v>
          </cell>
          <cell r="T1927">
            <v>1.34965034965034</v>
          </cell>
          <cell r="U1927">
            <v>207.47743500000001</v>
          </cell>
          <cell r="V1927">
            <v>1.2470862470862401</v>
          </cell>
        </row>
        <row r="1928">
          <cell r="A1928" t="str">
            <v>147602</v>
          </cell>
          <cell r="B1928">
            <v>1244.888888</v>
          </cell>
          <cell r="C1928">
            <v>1572.4738480000001</v>
          </cell>
          <cell r="D1928">
            <v>2.65947242206235</v>
          </cell>
          <cell r="E1928">
            <v>447.94948299999999</v>
          </cell>
          <cell r="F1928">
            <v>2.2062350119904002</v>
          </cell>
          <cell r="G1928">
            <v>90.214331999999999</v>
          </cell>
          <cell r="H1928">
            <v>0.10871302957633799</v>
          </cell>
          <cell r="I1928">
            <v>2.23203</v>
          </cell>
          <cell r="J1928">
            <v>1.9984012789768101E-2</v>
          </cell>
          <cell r="K1928">
            <v>335.927977</v>
          </cell>
          <cell r="L1928">
            <v>1.2852564102564099</v>
          </cell>
          <cell r="M1928">
            <v>218.21350100000001</v>
          </cell>
          <cell r="N1928">
            <v>1.1001602564102499</v>
          </cell>
          <cell r="O1928">
            <v>383.565562</v>
          </cell>
          <cell r="P1928">
            <v>1.27683615819209</v>
          </cell>
          <cell r="Q1928">
            <v>383.01455399999998</v>
          </cell>
          <cell r="R1928">
            <v>1.2687651331719101</v>
          </cell>
          <cell r="S1928">
            <v>140.42712</v>
          </cell>
          <cell r="T1928">
            <v>1.1109298531810701</v>
          </cell>
          <cell r="U1928">
            <v>140.42712</v>
          </cell>
          <cell r="V1928">
            <v>1.1109298531810701</v>
          </cell>
        </row>
        <row r="1929">
          <cell r="A1929" t="str">
            <v>147801</v>
          </cell>
          <cell r="B1929">
            <v>906.11111100000005</v>
          </cell>
          <cell r="C1929">
            <v>40.596601</v>
          </cell>
          <cell r="D1929">
            <v>0.32091097308488598</v>
          </cell>
          <cell r="E1929">
            <v>40.596601</v>
          </cell>
          <cell r="F1929">
            <v>0.32091097308488598</v>
          </cell>
          <cell r="G1929">
            <v>225.26529400000001</v>
          </cell>
          <cell r="H1929">
            <v>1.8148535564853501</v>
          </cell>
          <cell r="I1929">
            <v>181.85773599999999</v>
          </cell>
          <cell r="J1929">
            <v>1.53033472803347</v>
          </cell>
          <cell r="K1929">
            <v>1187.421323</v>
          </cell>
          <cell r="L1929">
            <v>2.1053180396246001</v>
          </cell>
          <cell r="M1929">
            <v>318.200399</v>
          </cell>
          <cell r="N1929">
            <v>1.1428571428571399</v>
          </cell>
          <cell r="O1929">
            <v>91.505069000000006</v>
          </cell>
          <cell r="P1929">
            <v>0.17812500000000001</v>
          </cell>
          <cell r="Q1929">
            <v>3.4454509999999998</v>
          </cell>
          <cell r="R1929">
            <v>4.0625000000000001E-2</v>
          </cell>
          <cell r="S1929">
            <v>281.507543</v>
          </cell>
          <cell r="T1929">
            <v>1.8158168574401601</v>
          </cell>
          <cell r="U1929">
            <v>278.56761999999998</v>
          </cell>
          <cell r="V1929">
            <v>1.81269510926118</v>
          </cell>
        </row>
        <row r="1930">
          <cell r="A1930" t="str">
            <v>147802</v>
          </cell>
          <cell r="B1930">
            <v>290.875</v>
          </cell>
          <cell r="C1930">
            <v>4.7149239999999999</v>
          </cell>
          <cell r="D1930">
            <v>3.4722222222222199E-3</v>
          </cell>
          <cell r="E1930">
            <v>4.7149239999999999</v>
          </cell>
          <cell r="F1930">
            <v>3.4722222222222199E-3</v>
          </cell>
          <cell r="G1930">
            <v>133.49803900000001</v>
          </cell>
          <cell r="H1930">
            <v>1.02768166089965</v>
          </cell>
          <cell r="I1930">
            <v>133.49803900000001</v>
          </cell>
          <cell r="J1930">
            <v>1.02768166089965</v>
          </cell>
          <cell r="K1930">
            <v>166.30409299999999</v>
          </cell>
          <cell r="L1930">
            <v>0.23529411764705799</v>
          </cell>
          <cell r="M1930">
            <v>3.9063430000000001</v>
          </cell>
          <cell r="N1930">
            <v>7.6124567474048402E-2</v>
          </cell>
          <cell r="O1930">
            <v>197.827777</v>
          </cell>
          <cell r="P1930">
            <v>0.77663230240549797</v>
          </cell>
          <cell r="Q1930">
            <v>112.93453599999999</v>
          </cell>
          <cell r="R1930">
            <v>0.72852233676975897</v>
          </cell>
          <cell r="S1930">
            <v>510.58604400000002</v>
          </cell>
          <cell r="T1930">
            <v>2.1694915254237199</v>
          </cell>
          <cell r="U1930">
            <v>497.95892600000002</v>
          </cell>
          <cell r="V1930">
            <v>2.1559322033898298</v>
          </cell>
        </row>
        <row r="1931">
          <cell r="A1931" t="str">
            <v>147901</v>
          </cell>
          <cell r="B1931">
            <v>1150.2</v>
          </cell>
          <cell r="C1931">
            <v>219.540762</v>
          </cell>
          <cell r="D1931">
            <v>0.48229342327149999</v>
          </cell>
          <cell r="E1931">
            <v>73.222408999999999</v>
          </cell>
          <cell r="F1931">
            <v>0.40303541315345598</v>
          </cell>
          <cell r="G1931">
            <v>468.29700700000001</v>
          </cell>
          <cell r="H1931">
            <v>1.3834459459459401</v>
          </cell>
          <cell r="I1931">
            <v>153.72371100000001</v>
          </cell>
          <cell r="J1931">
            <v>1.09881756756756</v>
          </cell>
          <cell r="K1931">
            <v>2755.715729</v>
          </cell>
          <cell r="L1931">
            <v>3.6212765957446802</v>
          </cell>
          <cell r="M1931">
            <v>961.22859500000004</v>
          </cell>
          <cell r="N1931">
            <v>1.88</v>
          </cell>
          <cell r="O1931">
            <v>537.43852400000003</v>
          </cell>
          <cell r="P1931">
            <v>3.3999999999999901</v>
          </cell>
          <cell r="Q1931">
            <v>507.421177</v>
          </cell>
          <cell r="R1931">
            <v>3.3319148936170202</v>
          </cell>
          <cell r="S1931">
            <v>893.33142399999997</v>
          </cell>
          <cell r="T1931">
            <v>3.3055286129970902</v>
          </cell>
          <cell r="U1931">
            <v>683.44236899999999</v>
          </cell>
          <cell r="V1931">
            <v>3.1726479146459701</v>
          </cell>
        </row>
        <row r="1932">
          <cell r="A1932" t="str">
            <v>147902</v>
          </cell>
          <cell r="B1932">
            <v>1034.8</v>
          </cell>
          <cell r="C1932">
            <v>397.29687799999999</v>
          </cell>
          <cell r="D1932">
            <v>1.2469982847341301</v>
          </cell>
          <cell r="E1932">
            <v>266.42497200000003</v>
          </cell>
          <cell r="F1932">
            <v>1.1938250428816399</v>
          </cell>
          <cell r="G1932">
            <v>619.40143499999999</v>
          </cell>
          <cell r="H1932">
            <v>2.5359930615784898</v>
          </cell>
          <cell r="I1932">
            <v>213.68329</v>
          </cell>
          <cell r="J1932">
            <v>1.34865568083261</v>
          </cell>
          <cell r="K1932">
            <v>484.976204</v>
          </cell>
          <cell r="L1932">
            <v>1.0409407665505199</v>
          </cell>
          <cell r="M1932">
            <v>384.90547299999997</v>
          </cell>
          <cell r="N1932">
            <v>0.95818815331010398</v>
          </cell>
          <cell r="O1932">
            <v>772.07178499999998</v>
          </cell>
          <cell r="P1932">
            <v>3.1849912739964998</v>
          </cell>
          <cell r="Q1932">
            <v>681.82322499999998</v>
          </cell>
          <cell r="R1932">
            <v>3.1178010471204098</v>
          </cell>
          <cell r="S1932">
            <v>849.86468400000001</v>
          </cell>
          <cell r="T1932">
            <v>0.89510489510489499</v>
          </cell>
          <cell r="U1932">
            <v>320.13314300000002</v>
          </cell>
          <cell r="V1932">
            <v>0.56468531468531402</v>
          </cell>
        </row>
        <row r="1933">
          <cell r="A1933" t="str">
            <v>148001</v>
          </cell>
          <cell r="B1933">
            <v>407.6</v>
          </cell>
          <cell r="C1933">
            <v>115.25128599999999</v>
          </cell>
          <cell r="D1933">
            <v>0.23861566484517299</v>
          </cell>
          <cell r="E1933">
            <v>114.71298899999999</v>
          </cell>
          <cell r="F1933">
            <v>0.2367941712204</v>
          </cell>
          <cell r="G1933">
            <v>1074.382865</v>
          </cell>
          <cell r="H1933">
            <v>1.7713717693836899</v>
          </cell>
          <cell r="I1933">
            <v>286.85305</v>
          </cell>
          <cell r="J1933">
            <v>0.47713717693836899</v>
          </cell>
          <cell r="K1933">
            <v>421.96364399999999</v>
          </cell>
          <cell r="L1933">
            <v>0.67836257309941494</v>
          </cell>
          <cell r="M1933">
            <v>61.063352000000002</v>
          </cell>
          <cell r="N1933">
            <v>0.36549707602339099</v>
          </cell>
          <cell r="O1933">
            <v>448.64914299999998</v>
          </cell>
          <cell r="P1933">
            <v>1.18126888217522</v>
          </cell>
          <cell r="Q1933">
            <v>178.58026100000001</v>
          </cell>
          <cell r="R1933">
            <v>1.0120845921450099</v>
          </cell>
          <cell r="S1933">
            <v>375.602395</v>
          </cell>
          <cell r="T1933">
            <v>1.5047923322683701</v>
          </cell>
          <cell r="U1933">
            <v>26.327582</v>
          </cell>
          <cell r="V1933">
            <v>0.26198083067092598</v>
          </cell>
        </row>
        <row r="1934">
          <cell r="A1934" t="str">
            <v>148002</v>
          </cell>
          <cell r="B1934">
            <v>688</v>
          </cell>
          <cell r="C1934">
            <v>138.559652</v>
          </cell>
          <cell r="D1934">
            <v>1.12371134020618</v>
          </cell>
          <cell r="E1934">
            <v>135.392143</v>
          </cell>
          <cell r="F1934">
            <v>1.1168384879725</v>
          </cell>
          <cell r="G1934">
            <v>248.96488099999999</v>
          </cell>
          <cell r="H1934">
            <v>0.83089430894308902</v>
          </cell>
          <cell r="I1934">
            <v>25.719297999999998</v>
          </cell>
          <cell r="J1934">
            <v>0.13008130081300801</v>
          </cell>
          <cell r="K1934">
            <v>2426.0592660000002</v>
          </cell>
          <cell r="L1934">
            <v>2.5744400527009201</v>
          </cell>
          <cell r="M1934">
            <v>194.09729899999999</v>
          </cell>
          <cell r="N1934">
            <v>1.4571805006587599</v>
          </cell>
          <cell r="O1934">
            <v>192.908354</v>
          </cell>
          <cell r="P1934">
            <v>1.62765957446808</v>
          </cell>
          <cell r="Q1934">
            <v>183.169658</v>
          </cell>
          <cell r="R1934">
            <v>1.58909574468085</v>
          </cell>
          <cell r="S1934">
            <v>473.90755799999999</v>
          </cell>
          <cell r="T1934">
            <v>1.47814207650273</v>
          </cell>
          <cell r="U1934">
            <v>372.16095100000001</v>
          </cell>
          <cell r="V1934">
            <v>1.3797814207650201</v>
          </cell>
        </row>
        <row r="1935">
          <cell r="A1935" t="str">
            <v>148101</v>
          </cell>
          <cell r="B1935">
            <v>1</v>
          </cell>
          <cell r="C1935">
            <v>0</v>
          </cell>
          <cell r="D1935">
            <v>0</v>
          </cell>
          <cell r="E1935">
            <v>0</v>
          </cell>
          <cell r="F1935">
            <v>0</v>
          </cell>
          <cell r="G1935">
            <v>0</v>
          </cell>
          <cell r="H1935">
            <v>0</v>
          </cell>
          <cell r="I1935">
            <v>0</v>
          </cell>
          <cell r="J1935">
            <v>0</v>
          </cell>
          <cell r="K1935">
            <v>195</v>
          </cell>
          <cell r="L1935">
            <v>1</v>
          </cell>
          <cell r="M1935">
            <v>195</v>
          </cell>
          <cell r="N1935">
            <v>1</v>
          </cell>
          <cell r="O1935">
            <v>0</v>
          </cell>
          <cell r="P1935">
            <v>0</v>
          </cell>
          <cell r="Q1935">
            <v>0</v>
          </cell>
          <cell r="R1935">
            <v>0</v>
          </cell>
          <cell r="S1935">
            <v>0</v>
          </cell>
          <cell r="T1935">
            <v>0</v>
          </cell>
          <cell r="U1935">
            <v>0</v>
          </cell>
          <cell r="V1935">
            <v>0</v>
          </cell>
        </row>
        <row r="1936">
          <cell r="A1936" t="str">
            <v>148201</v>
          </cell>
          <cell r="B1936">
            <v>25</v>
          </cell>
          <cell r="C1936">
            <v>6.7691319999999999</v>
          </cell>
          <cell r="D1936">
            <v>0.08</v>
          </cell>
          <cell r="E1936">
            <v>6.7691319999999999</v>
          </cell>
          <cell r="F1936">
            <v>0.08</v>
          </cell>
          <cell r="G1936">
            <v>1.7774540000000001</v>
          </cell>
          <cell r="H1936">
            <v>0.04</v>
          </cell>
          <cell r="I1936">
            <v>1.7774540000000001</v>
          </cell>
          <cell r="J1936">
            <v>0.04</v>
          </cell>
          <cell r="K1936">
            <v>210.14066600000001</v>
          </cell>
          <cell r="L1936">
            <v>1.36</v>
          </cell>
          <cell r="M1936">
            <v>210.14066600000001</v>
          </cell>
          <cell r="N1936">
            <v>1.36</v>
          </cell>
          <cell r="O1936">
            <v>388.04</v>
          </cell>
          <cell r="P1936">
            <v>1.4</v>
          </cell>
          <cell r="Q1936">
            <v>388.04</v>
          </cell>
          <cell r="R1936">
            <v>1.4</v>
          </cell>
          <cell r="S1936">
            <v>0</v>
          </cell>
          <cell r="T1936">
            <v>0</v>
          </cell>
          <cell r="U1936">
            <v>0</v>
          </cell>
          <cell r="V1936">
            <v>0</v>
          </cell>
        </row>
        <row r="1937">
          <cell r="A1937" t="str">
            <v>148202</v>
          </cell>
          <cell r="B1937">
            <v>872.66666599999996</v>
          </cell>
          <cell r="C1937">
            <v>76.550984</v>
          </cell>
          <cell r="D1937">
            <v>0.50829875518672096</v>
          </cell>
          <cell r="E1937">
            <v>76.550984</v>
          </cell>
          <cell r="F1937">
            <v>0.50829875518672096</v>
          </cell>
          <cell r="G1937">
            <v>403.18159300000002</v>
          </cell>
          <cell r="H1937">
            <v>1.12008501594048</v>
          </cell>
          <cell r="I1937">
            <v>120.52119999999999</v>
          </cell>
          <cell r="J1937">
            <v>0.95324123273113703</v>
          </cell>
          <cell r="K1937">
            <v>2237.3377169999999</v>
          </cell>
          <cell r="L1937">
            <v>2.5026624068157601</v>
          </cell>
          <cell r="M1937">
            <v>278.739936</v>
          </cell>
          <cell r="N1937">
            <v>1.6794462193823201</v>
          </cell>
          <cell r="O1937">
            <v>695.40964499999995</v>
          </cell>
          <cell r="P1937">
            <v>1.51641137855579</v>
          </cell>
          <cell r="Q1937">
            <v>404.815335</v>
          </cell>
          <cell r="R1937">
            <v>1.2560175054704501</v>
          </cell>
          <cell r="S1937">
            <v>1484.4290350000001</v>
          </cell>
          <cell r="T1937">
            <v>0.86434977578475303</v>
          </cell>
          <cell r="U1937">
            <v>50.713172</v>
          </cell>
          <cell r="V1937">
            <v>0.18946188340807099</v>
          </cell>
        </row>
        <row r="1938">
          <cell r="A1938" t="str">
            <v>148301</v>
          </cell>
          <cell r="B1938">
            <v>1545.6666660000001</v>
          </cell>
          <cell r="C1938">
            <v>981.28067799999997</v>
          </cell>
          <cell r="D1938">
            <v>5.7971188475390099</v>
          </cell>
          <cell r="E1938">
            <v>981.28067799999997</v>
          </cell>
          <cell r="F1938">
            <v>5.7971188475390099</v>
          </cell>
          <cell r="G1938">
            <v>445.41170799999998</v>
          </cell>
          <cell r="H1938">
            <v>1.4073170731707301</v>
          </cell>
          <cell r="I1938">
            <v>253.32172399999999</v>
          </cell>
          <cell r="J1938">
            <v>1.2085365853658501</v>
          </cell>
          <cell r="K1938">
            <v>1641.380917</v>
          </cell>
          <cell r="L1938">
            <v>3.8617539585870801</v>
          </cell>
          <cell r="M1938">
            <v>223.217671</v>
          </cell>
          <cell r="N1938">
            <v>2.32095006090133</v>
          </cell>
          <cell r="O1938">
            <v>704.48114899999996</v>
          </cell>
          <cell r="P1938">
            <v>1.6933904528763699</v>
          </cell>
          <cell r="Q1938">
            <v>188.66652300000001</v>
          </cell>
          <cell r="R1938">
            <v>0.76193390452876297</v>
          </cell>
          <cell r="S1938">
            <v>588.41209600000002</v>
          </cell>
          <cell r="T1938">
            <v>2.0918052988293199</v>
          </cell>
          <cell r="U1938">
            <v>279.51743599999998</v>
          </cell>
          <cell r="V1938">
            <v>1.44978434996919</v>
          </cell>
        </row>
        <row r="1939">
          <cell r="A1939" t="str">
            <v>148302</v>
          </cell>
          <cell r="B1939">
            <v>1053.8</v>
          </cell>
          <cell r="C1939">
            <v>247.413873</v>
          </cell>
          <cell r="D1939">
            <v>1.79316712834718</v>
          </cell>
          <cell r="E1939">
            <v>167.53257400000001</v>
          </cell>
          <cell r="F1939">
            <v>1.33240997229916</v>
          </cell>
          <cell r="G1939">
            <v>49.166727000000002</v>
          </cell>
          <cell r="H1939">
            <v>0.200750469043151</v>
          </cell>
          <cell r="I1939">
            <v>40.298504999999999</v>
          </cell>
          <cell r="J1939">
            <v>0.18292682926829201</v>
          </cell>
          <cell r="K1939">
            <v>428.38630999999998</v>
          </cell>
          <cell r="L1939">
            <v>0.73994387277829698</v>
          </cell>
          <cell r="M1939">
            <v>82.441736000000006</v>
          </cell>
          <cell r="N1939">
            <v>0.60149672591206704</v>
          </cell>
          <cell r="O1939">
            <v>373.51555100000002</v>
          </cell>
          <cell r="P1939">
            <v>0.62810707456978898</v>
          </cell>
          <cell r="Q1939">
            <v>35.773980000000002</v>
          </cell>
          <cell r="R1939">
            <v>0.210325047801147</v>
          </cell>
          <cell r="S1939">
            <v>977.20149100000003</v>
          </cell>
          <cell r="T1939">
            <v>3.9014925373134299</v>
          </cell>
          <cell r="U1939">
            <v>510.23581999999999</v>
          </cell>
          <cell r="V1939">
            <v>3.1194029850746201</v>
          </cell>
        </row>
        <row r="1940">
          <cell r="A1940" t="str">
            <v>148501</v>
          </cell>
          <cell r="B1940">
            <v>397.6</v>
          </cell>
          <cell r="C1940">
            <v>1882.697226</v>
          </cell>
          <cell r="D1940">
            <v>1.3266331658291399</v>
          </cell>
          <cell r="E1940">
            <v>6.1882390000000003</v>
          </cell>
          <cell r="F1940">
            <v>1.5075376884422099E-2</v>
          </cell>
          <cell r="G1940">
            <v>31.135182</v>
          </cell>
          <cell r="H1940">
            <v>0.13216957605985</v>
          </cell>
          <cell r="I1940">
            <v>19.544135000000001</v>
          </cell>
          <cell r="J1940">
            <v>0.124688279301745</v>
          </cell>
          <cell r="K1940">
            <v>78.078862999999998</v>
          </cell>
          <cell r="L1940">
            <v>0.10025062656641601</v>
          </cell>
          <cell r="M1940">
            <v>40.905346000000002</v>
          </cell>
          <cell r="N1940">
            <v>8.2706766917293201E-2</v>
          </cell>
          <cell r="O1940">
            <v>129.35753700000001</v>
          </cell>
          <cell r="P1940">
            <v>1.1608040201005001</v>
          </cell>
          <cell r="Q1940">
            <v>88.716750000000005</v>
          </cell>
          <cell r="R1940">
            <v>1.0301507537688399</v>
          </cell>
          <cell r="S1940">
            <v>1729.8056959999999</v>
          </cell>
          <cell r="T1940">
            <v>4.0663265306122396</v>
          </cell>
          <cell r="U1940">
            <v>766.65578200000004</v>
          </cell>
          <cell r="V1940">
            <v>2.0765306122448899</v>
          </cell>
        </row>
        <row r="1941">
          <cell r="A1941" t="str">
            <v>148502</v>
          </cell>
          <cell r="B1941">
            <v>1146.5999999999999</v>
          </cell>
          <cell r="C1941">
            <v>906.55553899999995</v>
          </cell>
          <cell r="D1941">
            <v>1.6307692307692301</v>
          </cell>
          <cell r="E1941">
            <v>25.952985999999999</v>
          </cell>
          <cell r="F1941">
            <v>0.18717948717948699</v>
          </cell>
          <cell r="G1941">
            <v>51.125050999999999</v>
          </cell>
          <cell r="H1941">
            <v>0.28373702422145303</v>
          </cell>
          <cell r="I1941">
            <v>17.556229999999999</v>
          </cell>
          <cell r="J1941">
            <v>0.19204152249134901</v>
          </cell>
          <cell r="K1941">
            <v>315.033434</v>
          </cell>
          <cell r="L1941">
            <v>0.44115082824760199</v>
          </cell>
          <cell r="M1941">
            <v>64.454532999999998</v>
          </cell>
          <cell r="N1941">
            <v>0.36617262423713998</v>
          </cell>
          <cell r="O1941">
            <v>1213.970722</v>
          </cell>
          <cell r="P1941">
            <v>1.12653778558875</v>
          </cell>
          <cell r="Q1941">
            <v>22.794799999999999</v>
          </cell>
          <cell r="R1941">
            <v>9.3145869947275903E-2</v>
          </cell>
          <cell r="S1941">
            <v>1777.116888</v>
          </cell>
          <cell r="T1941">
            <v>2.96969696969696</v>
          </cell>
          <cell r="U1941">
            <v>127.978505</v>
          </cell>
          <cell r="V1941">
            <v>1.4028520499108701</v>
          </cell>
        </row>
        <row r="1942">
          <cell r="A1942" t="str">
            <v>148601</v>
          </cell>
          <cell r="B1942">
            <v>1199.444444</v>
          </cell>
          <cell r="C1942">
            <v>71.069439000000003</v>
          </cell>
          <cell r="D1942">
            <v>0.56929460580912805</v>
          </cell>
          <cell r="E1942">
            <v>71.069439000000003</v>
          </cell>
          <cell r="F1942">
            <v>0.56929460580912805</v>
          </cell>
          <cell r="G1942">
            <v>225.391739</v>
          </cell>
          <cell r="H1942">
            <v>1.32811211871393</v>
          </cell>
          <cell r="I1942">
            <v>100.09123700000001</v>
          </cell>
          <cell r="J1942">
            <v>0.54987633965375105</v>
          </cell>
          <cell r="K1942">
            <v>2003.687729</v>
          </cell>
          <cell r="L1942">
            <v>4.2209398186314901</v>
          </cell>
          <cell r="M1942">
            <v>442.68401999999998</v>
          </cell>
          <cell r="N1942">
            <v>2.3841714756801302</v>
          </cell>
          <cell r="O1942">
            <v>1291.5618030000001</v>
          </cell>
          <cell r="P1942">
            <v>3.3923524522028199</v>
          </cell>
          <cell r="Q1942">
            <v>591.960058</v>
          </cell>
          <cell r="R1942">
            <v>2.6151288445552701</v>
          </cell>
          <cell r="S1942">
            <v>345.38553400000001</v>
          </cell>
          <cell r="T1942">
            <v>1.7041166380788999</v>
          </cell>
          <cell r="U1942">
            <v>317.98137500000001</v>
          </cell>
          <cell r="V1942">
            <v>1.5454545454545401</v>
          </cell>
        </row>
        <row r="1943">
          <cell r="A1943" t="str">
            <v>148602</v>
          </cell>
          <cell r="B1943">
            <v>1440.2222220000001</v>
          </cell>
          <cell r="C1943">
            <v>406.95080300000001</v>
          </cell>
          <cell r="D1943">
            <v>1.8837689133425</v>
          </cell>
          <cell r="E1943">
            <v>406.95080300000001</v>
          </cell>
          <cell r="F1943">
            <v>1.8837689133425</v>
          </cell>
          <cell r="G1943">
            <v>107.394885</v>
          </cell>
          <cell r="H1943">
            <v>0.66298342541436395</v>
          </cell>
          <cell r="I1943">
            <v>97.571382999999997</v>
          </cell>
          <cell r="J1943">
            <v>0.59185082872928096</v>
          </cell>
          <cell r="K1943">
            <v>2228.056384</v>
          </cell>
          <cell r="L1943">
            <v>3.6576763485477102</v>
          </cell>
          <cell r="M1943">
            <v>764.83470399999999</v>
          </cell>
          <cell r="N1943">
            <v>1.50207468879668</v>
          </cell>
          <cell r="O1943">
            <v>284.97444400000001</v>
          </cell>
          <cell r="P1943">
            <v>1.9292649098474299</v>
          </cell>
          <cell r="Q1943">
            <v>271.65283099999999</v>
          </cell>
          <cell r="R1943">
            <v>1.9133148404992999</v>
          </cell>
          <cell r="S1943">
            <v>521.25976600000001</v>
          </cell>
          <cell r="T1943">
            <v>3.4055007052186101</v>
          </cell>
          <cell r="U1943">
            <v>507.46315199999998</v>
          </cell>
          <cell r="V1943">
            <v>3.3653032440056401</v>
          </cell>
        </row>
        <row r="1944">
          <cell r="A1944" t="str">
            <v>149001</v>
          </cell>
          <cell r="B1944">
            <v>14</v>
          </cell>
          <cell r="C1944">
            <v>7.450234</v>
          </cell>
          <cell r="D1944">
            <v>7.1428571428571397E-2</v>
          </cell>
          <cell r="E1944">
            <v>7.450234</v>
          </cell>
          <cell r="F1944">
            <v>7.1428571428571397E-2</v>
          </cell>
          <cell r="G1944">
            <v>371.187883</v>
          </cell>
          <cell r="H1944">
            <v>0.5</v>
          </cell>
          <cell r="I1944">
            <v>371.187883</v>
          </cell>
          <cell r="J1944">
            <v>0.5</v>
          </cell>
          <cell r="K1944">
            <v>4.0869039999999996</v>
          </cell>
          <cell r="L1944">
            <v>7.1428571428571397E-2</v>
          </cell>
          <cell r="M1944">
            <v>4.0869039999999996</v>
          </cell>
          <cell r="N1944">
            <v>7.1428571428571397E-2</v>
          </cell>
          <cell r="O1944">
            <v>0</v>
          </cell>
          <cell r="P1944">
            <v>0</v>
          </cell>
          <cell r="Q1944">
            <v>0</v>
          </cell>
          <cell r="R1944">
            <v>0</v>
          </cell>
          <cell r="S1944">
            <v>0</v>
          </cell>
          <cell r="T1944">
            <v>0</v>
          </cell>
          <cell r="U1944">
            <v>0</v>
          </cell>
          <cell r="V1944">
            <v>0</v>
          </cell>
        </row>
        <row r="1945">
          <cell r="A1945" t="str">
            <v>149002</v>
          </cell>
          <cell r="B1945">
            <v>673.6</v>
          </cell>
          <cell r="C1945">
            <v>745.78226800000004</v>
          </cell>
          <cell r="D1945">
            <v>1.06916426512968</v>
          </cell>
          <cell r="E1945">
            <v>129.26823300000001</v>
          </cell>
          <cell r="F1945">
            <v>0.95100864553314102</v>
          </cell>
          <cell r="G1945">
            <v>262.436241</v>
          </cell>
          <cell r="H1945">
            <v>2.0909090909090899</v>
          </cell>
          <cell r="I1945">
            <v>262.021142</v>
          </cell>
          <cell r="J1945">
            <v>2.0879765395894401</v>
          </cell>
          <cell r="K1945">
            <v>540.11162100000001</v>
          </cell>
          <cell r="L1945">
            <v>1.25222551928783</v>
          </cell>
          <cell r="M1945">
            <v>436.38400000000001</v>
          </cell>
          <cell r="N1945">
            <v>1.12908011869436</v>
          </cell>
          <cell r="O1945">
            <v>781.27822600000002</v>
          </cell>
          <cell r="P1945">
            <v>1.6786248131539601</v>
          </cell>
          <cell r="Q1945">
            <v>136.91998000000001</v>
          </cell>
          <cell r="R1945">
            <v>1.4843049327354201</v>
          </cell>
          <cell r="S1945">
            <v>107.94493900000001</v>
          </cell>
          <cell r="T1945">
            <v>1.00462249614791</v>
          </cell>
          <cell r="U1945">
            <v>34.261093000000002</v>
          </cell>
          <cell r="V1945">
            <v>0.40061633281972198</v>
          </cell>
        </row>
        <row r="1946">
          <cell r="A1946" t="str">
            <v>149301</v>
          </cell>
          <cell r="B1946">
            <v>333.57142800000003</v>
          </cell>
          <cell r="C1946">
            <v>59.636690999999999</v>
          </cell>
          <cell r="D1946">
            <v>0.64048338368580005</v>
          </cell>
          <cell r="E1946">
            <v>59.636690999999999</v>
          </cell>
          <cell r="F1946">
            <v>0.64048338368580005</v>
          </cell>
          <cell r="G1946">
            <v>0.81740699999999999</v>
          </cell>
          <cell r="H1946">
            <v>9.0361445783132491E-3</v>
          </cell>
          <cell r="I1946">
            <v>0.56602699999999995</v>
          </cell>
          <cell r="J1946">
            <v>6.0240963855421603E-3</v>
          </cell>
          <cell r="K1946">
            <v>4.6048900000000001</v>
          </cell>
          <cell r="L1946">
            <v>8.9820359281437105E-3</v>
          </cell>
          <cell r="M1946">
            <v>4.6048900000000001</v>
          </cell>
          <cell r="N1946">
            <v>8.9820359281437105E-3</v>
          </cell>
          <cell r="O1946">
            <v>4.0583330000000002</v>
          </cell>
          <cell r="P1946">
            <v>2.9585798816568001E-2</v>
          </cell>
          <cell r="Q1946">
            <v>4.0583330000000002</v>
          </cell>
          <cell r="R1946">
            <v>2.9585798816568001E-2</v>
          </cell>
          <cell r="S1946">
            <v>268.24915099999998</v>
          </cell>
          <cell r="T1946">
            <v>0.39221556886227499</v>
          </cell>
          <cell r="U1946">
            <v>132.52135699999999</v>
          </cell>
          <cell r="V1946">
            <v>0.27245508982035899</v>
          </cell>
        </row>
        <row r="1947">
          <cell r="A1947" t="str">
            <v>149302</v>
          </cell>
          <cell r="B1947">
            <v>448.85714200000001</v>
          </cell>
          <cell r="C1947">
            <v>2.3014960000000002</v>
          </cell>
          <cell r="D1947">
            <v>4.3478260869565201E-3</v>
          </cell>
          <cell r="E1947">
            <v>2.3014960000000002</v>
          </cell>
          <cell r="F1947">
            <v>4.3478260869565201E-3</v>
          </cell>
          <cell r="G1947">
            <v>270.10269499999998</v>
          </cell>
          <cell r="H1947">
            <v>1.26247288503253</v>
          </cell>
          <cell r="I1947">
            <v>269.02076799999998</v>
          </cell>
          <cell r="J1947">
            <v>1.26030368763557</v>
          </cell>
          <cell r="K1947">
            <v>108.42530600000001</v>
          </cell>
          <cell r="L1947">
            <v>0.71583514099782997</v>
          </cell>
          <cell r="M1947">
            <v>36.962183000000003</v>
          </cell>
          <cell r="N1947">
            <v>0.42516268980477201</v>
          </cell>
          <cell r="O1947">
            <v>22.303315000000001</v>
          </cell>
          <cell r="P1947">
            <v>0.102094240837696</v>
          </cell>
          <cell r="Q1947">
            <v>22.303315000000001</v>
          </cell>
          <cell r="R1947">
            <v>0.102094240837696</v>
          </cell>
          <cell r="S1947">
            <v>37.933149999999998</v>
          </cell>
          <cell r="T1947">
            <v>0.359649122807017</v>
          </cell>
          <cell r="U1947">
            <v>37.933149999999998</v>
          </cell>
          <cell r="V1947">
            <v>0.359649122807017</v>
          </cell>
        </row>
        <row r="1948">
          <cell r="A1948" t="str">
            <v>149401</v>
          </cell>
          <cell r="B1948">
            <v>54</v>
          </cell>
          <cell r="C1948">
            <v>163.02284700000001</v>
          </cell>
          <cell r="D1948">
            <v>1.07407407407407</v>
          </cell>
          <cell r="E1948">
            <v>124.506568</v>
          </cell>
          <cell r="F1948">
            <v>1.0370370370370301</v>
          </cell>
          <cell r="G1948">
            <v>0</v>
          </cell>
          <cell r="H1948">
            <v>0</v>
          </cell>
          <cell r="I1948">
            <v>0</v>
          </cell>
          <cell r="J1948">
            <v>0</v>
          </cell>
          <cell r="K1948">
            <v>0</v>
          </cell>
          <cell r="L1948">
            <v>0</v>
          </cell>
          <cell r="M1948">
            <v>0</v>
          </cell>
          <cell r="N1948">
            <v>0</v>
          </cell>
          <cell r="O1948">
            <v>0</v>
          </cell>
          <cell r="P1948">
            <v>0</v>
          </cell>
          <cell r="Q1948">
            <v>0</v>
          </cell>
          <cell r="R1948">
            <v>0</v>
          </cell>
          <cell r="S1948">
            <v>0</v>
          </cell>
          <cell r="T1948">
            <v>0</v>
          </cell>
          <cell r="U1948">
            <v>0</v>
          </cell>
          <cell r="V1948">
            <v>0</v>
          </cell>
        </row>
        <row r="1949">
          <cell r="A1949" t="str">
            <v>149402</v>
          </cell>
          <cell r="B1949">
            <v>170.33333300000001</v>
          </cell>
          <cell r="C1949">
            <v>18.38278</v>
          </cell>
          <cell r="D1949">
            <v>0.50489236790606595</v>
          </cell>
          <cell r="E1949">
            <v>18.38278</v>
          </cell>
          <cell r="F1949">
            <v>0.50489236790606595</v>
          </cell>
          <cell r="G1949">
            <v>0</v>
          </cell>
          <cell r="H1949">
            <v>0</v>
          </cell>
          <cell r="I1949">
            <v>0</v>
          </cell>
          <cell r="J1949">
            <v>0</v>
          </cell>
          <cell r="K1949">
            <v>0</v>
          </cell>
          <cell r="L1949">
            <v>0</v>
          </cell>
          <cell r="M1949">
            <v>0</v>
          </cell>
          <cell r="N1949">
            <v>0</v>
          </cell>
          <cell r="O1949">
            <v>0</v>
          </cell>
          <cell r="P1949">
            <v>0</v>
          </cell>
          <cell r="Q1949">
            <v>0</v>
          </cell>
          <cell r="R1949">
            <v>0</v>
          </cell>
          <cell r="S1949">
            <v>0</v>
          </cell>
          <cell r="T1949">
            <v>0</v>
          </cell>
          <cell r="U1949">
            <v>0</v>
          </cell>
          <cell r="V1949">
            <v>0</v>
          </cell>
        </row>
        <row r="1950">
          <cell r="A1950" t="str">
            <v>149501</v>
          </cell>
          <cell r="B1950">
            <v>1335.4</v>
          </cell>
          <cell r="C1950">
            <v>1970.7505140000001</v>
          </cell>
          <cell r="D1950">
            <v>2.1426459719142601</v>
          </cell>
          <cell r="E1950">
            <v>135.09534099999999</v>
          </cell>
          <cell r="F1950">
            <v>1.30524759793052</v>
          </cell>
          <cell r="G1950">
            <v>1286.230818</v>
          </cell>
          <cell r="H1950">
            <v>3.1062407132243601</v>
          </cell>
          <cell r="I1950">
            <v>185.92431400000001</v>
          </cell>
          <cell r="J1950">
            <v>1.38038632986627</v>
          </cell>
          <cell r="K1950">
            <v>1065.664675</v>
          </cell>
          <cell r="L1950">
            <v>3.0007462686567101</v>
          </cell>
          <cell r="M1950">
            <v>231.26190199999999</v>
          </cell>
          <cell r="N1950">
            <v>1.4365671641791</v>
          </cell>
          <cell r="O1950">
            <v>709.22642699999994</v>
          </cell>
          <cell r="P1950">
            <v>1.9698113207547101</v>
          </cell>
          <cell r="Q1950">
            <v>286.58480500000002</v>
          </cell>
          <cell r="R1950">
            <v>1.4701886792452801</v>
          </cell>
          <cell r="S1950">
            <v>174.724142</v>
          </cell>
          <cell r="T1950">
            <v>1.2094440213252</v>
          </cell>
          <cell r="U1950">
            <v>116.077684</v>
          </cell>
          <cell r="V1950">
            <v>0.98552932216298506</v>
          </cell>
        </row>
        <row r="1951">
          <cell r="A1951" t="str">
            <v>149502</v>
          </cell>
          <cell r="B1951">
            <v>219.8</v>
          </cell>
          <cell r="C1951">
            <v>89.778794000000005</v>
          </cell>
          <cell r="D1951">
            <v>0.81784386617100302</v>
          </cell>
          <cell r="E1951">
            <v>72.492548999999997</v>
          </cell>
          <cell r="F1951">
            <v>0.810408921933085</v>
          </cell>
          <cell r="G1951">
            <v>1170.2425679999999</v>
          </cell>
          <cell r="H1951">
            <v>1.14832535885167</v>
          </cell>
          <cell r="I1951">
            <v>112.945198</v>
          </cell>
          <cell r="J1951">
            <v>0.78947368421052599</v>
          </cell>
          <cell r="K1951">
            <v>991.72647400000005</v>
          </cell>
          <cell r="L1951">
            <v>1.55023923444976</v>
          </cell>
          <cell r="M1951">
            <v>178.46945700000001</v>
          </cell>
          <cell r="N1951">
            <v>0.65071770334928203</v>
          </cell>
          <cell r="O1951">
            <v>1582.896618</v>
          </cell>
          <cell r="P1951">
            <v>1.22705314009661</v>
          </cell>
          <cell r="Q1951">
            <v>16.697987000000001</v>
          </cell>
          <cell r="R1951">
            <v>0.20772946859903299</v>
          </cell>
          <cell r="S1951">
            <v>315.82812899999999</v>
          </cell>
          <cell r="T1951">
            <v>1.30243902439024</v>
          </cell>
          <cell r="U1951">
            <v>135.89300800000001</v>
          </cell>
          <cell r="V1951">
            <v>1.07317073170731</v>
          </cell>
        </row>
        <row r="1952">
          <cell r="A1952" t="str">
            <v>149601</v>
          </cell>
          <cell r="B1952">
            <v>792.2</v>
          </cell>
          <cell r="C1952">
            <v>12008.673975</v>
          </cell>
          <cell r="D1952">
            <v>5.0915032679738497</v>
          </cell>
          <cell r="E1952">
            <v>441.53806700000001</v>
          </cell>
          <cell r="F1952">
            <v>2.0026143790849602</v>
          </cell>
          <cell r="G1952">
            <v>2034.2742049999999</v>
          </cell>
          <cell r="H1952">
            <v>2.9459102902374599</v>
          </cell>
          <cell r="I1952">
            <v>280.02715599999999</v>
          </cell>
          <cell r="J1952">
            <v>1.29683377308707</v>
          </cell>
          <cell r="K1952">
            <v>1326.682759</v>
          </cell>
          <cell r="L1952">
            <v>2.3994708994708902</v>
          </cell>
          <cell r="M1952">
            <v>179.91276400000001</v>
          </cell>
          <cell r="N1952">
            <v>1.6177248677248599</v>
          </cell>
          <cell r="O1952">
            <v>3995.1594599999999</v>
          </cell>
          <cell r="P1952">
            <v>1.93899204244031</v>
          </cell>
          <cell r="Q1952">
            <v>827.21027800000002</v>
          </cell>
          <cell r="R1952">
            <v>0.88063660477453498</v>
          </cell>
          <cell r="S1952">
            <v>1212.0501420000001</v>
          </cell>
          <cell r="T1952">
            <v>1.88793103448275</v>
          </cell>
          <cell r="U1952">
            <v>104.873347</v>
          </cell>
          <cell r="V1952">
            <v>0.67995689655172398</v>
          </cell>
        </row>
        <row r="1953">
          <cell r="A1953" t="str">
            <v>149602</v>
          </cell>
          <cell r="B1953">
            <v>266.39999999999998</v>
          </cell>
          <cell r="C1953">
            <v>4237.0370670000002</v>
          </cell>
          <cell r="D1953">
            <v>3.1383647798742098</v>
          </cell>
          <cell r="E1953">
            <v>356.68883599999998</v>
          </cell>
          <cell r="F1953">
            <v>2.0503144654088001</v>
          </cell>
          <cell r="G1953">
            <v>758.57403699999998</v>
          </cell>
          <cell r="H1953">
            <v>0.96078431372549</v>
          </cell>
          <cell r="I1953">
            <v>108.077428</v>
          </cell>
          <cell r="J1953">
            <v>0.69934640522875802</v>
          </cell>
          <cell r="K1953">
            <v>1384.228398</v>
          </cell>
          <cell r="L1953">
            <v>1.37828947368421</v>
          </cell>
          <cell r="M1953">
            <v>443.000877</v>
          </cell>
          <cell r="N1953">
            <v>1.21710526315789</v>
          </cell>
          <cell r="O1953">
            <v>802.73272299999996</v>
          </cell>
          <cell r="P1953">
            <v>0.86378737541528205</v>
          </cell>
          <cell r="Q1953">
            <v>243.69507100000001</v>
          </cell>
          <cell r="R1953">
            <v>0.51162790697674398</v>
          </cell>
          <cell r="S1953">
            <v>117.12038800000001</v>
          </cell>
          <cell r="T1953">
            <v>0.84466019417475702</v>
          </cell>
          <cell r="U1953">
            <v>23.406796</v>
          </cell>
          <cell r="V1953">
            <v>0.20388349514563101</v>
          </cell>
        </row>
        <row r="1954">
          <cell r="A1954" t="str">
            <v>149701</v>
          </cell>
          <cell r="B1954">
            <v>482.4</v>
          </cell>
          <cell r="C1954">
            <v>16.461639000000002</v>
          </cell>
          <cell r="D1954">
            <v>0.22427983539094601</v>
          </cell>
          <cell r="E1954">
            <v>15.248248999999999</v>
          </cell>
          <cell r="F1954">
            <v>0.22222222222222199</v>
          </cell>
          <cell r="G1954">
            <v>39.571565999999997</v>
          </cell>
          <cell r="H1954">
            <v>0.27479338842975198</v>
          </cell>
          <cell r="I1954">
            <v>39.414195999999997</v>
          </cell>
          <cell r="J1954">
            <v>0.27272727272727199</v>
          </cell>
          <cell r="K1954">
            <v>157.834093</v>
          </cell>
          <cell r="L1954">
            <v>6.2240663900414897E-2</v>
          </cell>
          <cell r="M1954">
            <v>1.252143</v>
          </cell>
          <cell r="N1954">
            <v>1.24481327800829E-2</v>
          </cell>
          <cell r="O1954">
            <v>210.03523799999999</v>
          </cell>
          <cell r="P1954">
            <v>1.0249480249480201</v>
          </cell>
          <cell r="Q1954">
            <v>209.74667299999999</v>
          </cell>
          <cell r="R1954">
            <v>1.02286902286902</v>
          </cell>
          <cell r="S1954">
            <v>867.25135599999999</v>
          </cell>
          <cell r="T1954">
            <v>2.41336116910229</v>
          </cell>
          <cell r="U1954">
            <v>129.32908800000001</v>
          </cell>
          <cell r="V1954">
            <v>1.0229645093945701</v>
          </cell>
        </row>
        <row r="1955">
          <cell r="A1955" t="str">
            <v>149702</v>
          </cell>
          <cell r="B1955">
            <v>637.625</v>
          </cell>
          <cell r="C1955">
            <v>122.346245</v>
          </cell>
          <cell r="D1955">
            <v>1.78159126365054</v>
          </cell>
          <cell r="E1955">
            <v>118.31380900000001</v>
          </cell>
          <cell r="F1955">
            <v>1.7753510140405599</v>
          </cell>
          <cell r="G1955">
            <v>106.856224</v>
          </cell>
          <cell r="H1955">
            <v>0.78416149068322905</v>
          </cell>
          <cell r="I1955">
            <v>106.856224</v>
          </cell>
          <cell r="J1955">
            <v>0.78416149068322905</v>
          </cell>
          <cell r="K1955">
            <v>245.50990100000001</v>
          </cell>
          <cell r="L1955">
            <v>1.12597200622083</v>
          </cell>
          <cell r="M1955">
            <v>245.50990100000001</v>
          </cell>
          <cell r="N1955">
            <v>1.12597200622083</v>
          </cell>
          <cell r="O1955">
            <v>483.63973900000002</v>
          </cell>
          <cell r="P1955">
            <v>2.421875</v>
          </cell>
          <cell r="Q1955">
            <v>48.708801999999999</v>
          </cell>
          <cell r="R1955">
            <v>0.46406249999999999</v>
          </cell>
          <cell r="S1955">
            <v>240.78868299999999</v>
          </cell>
          <cell r="T1955">
            <v>1.9856230031948801</v>
          </cell>
          <cell r="U1955">
            <v>22.14526</v>
          </cell>
          <cell r="V1955">
            <v>0.23801916932907299</v>
          </cell>
        </row>
        <row r="1956">
          <cell r="A1956" t="str">
            <v>149801</v>
          </cell>
          <cell r="B1956">
            <v>1070.8</v>
          </cell>
          <cell r="C1956">
            <v>0.87397000000000002</v>
          </cell>
          <cell r="D1956">
            <v>6.5055762081784301E-3</v>
          </cell>
          <cell r="E1956">
            <v>0.87397000000000002</v>
          </cell>
          <cell r="F1956">
            <v>6.5055762081784301E-3</v>
          </cell>
          <cell r="G1956">
            <v>16.933845000000002</v>
          </cell>
          <cell r="H1956">
            <v>5.5865921787709397E-2</v>
          </cell>
          <cell r="I1956">
            <v>16.933845000000002</v>
          </cell>
          <cell r="J1956">
            <v>5.5865921787709397E-2</v>
          </cell>
          <cell r="K1956">
            <v>206.46984399999999</v>
          </cell>
          <cell r="L1956">
            <v>0.40651162790697598</v>
          </cell>
          <cell r="M1956">
            <v>206.46984399999999</v>
          </cell>
          <cell r="N1956">
            <v>0.40651162790697598</v>
          </cell>
          <cell r="O1956">
            <v>0.61241699999999999</v>
          </cell>
          <cell r="P1956">
            <v>1.03092783505154E-2</v>
          </cell>
          <cell r="Q1956">
            <v>0.61241699999999999</v>
          </cell>
          <cell r="R1956">
            <v>1.03092783505154E-2</v>
          </cell>
          <cell r="S1956">
            <v>219.46902</v>
          </cell>
          <cell r="T1956">
            <v>1.00847457627118</v>
          </cell>
          <cell r="U1956">
            <v>219.46902</v>
          </cell>
          <cell r="V1956">
            <v>1.00847457627118</v>
          </cell>
        </row>
        <row r="1957">
          <cell r="A1957" t="str">
            <v>149802</v>
          </cell>
          <cell r="B1957">
            <v>996.8</v>
          </cell>
          <cell r="C1957">
            <v>439.043972</v>
          </cell>
          <cell r="D1957">
            <v>1.65250544662309</v>
          </cell>
          <cell r="E1957">
            <v>24.281065000000002</v>
          </cell>
          <cell r="F1957">
            <v>5.9912854030500999E-2</v>
          </cell>
          <cell r="G1957">
            <v>677.80387299999995</v>
          </cell>
          <cell r="H1957">
            <v>4.0985761226725002</v>
          </cell>
          <cell r="I1957">
            <v>610.128332</v>
          </cell>
          <cell r="J1957">
            <v>3.4742606790799502</v>
          </cell>
          <cell r="K1957">
            <v>448.51060699999999</v>
          </cell>
          <cell r="L1957">
            <v>1.2762008733624399</v>
          </cell>
          <cell r="M1957">
            <v>416.214428</v>
          </cell>
          <cell r="N1957">
            <v>1.2652838427947499</v>
          </cell>
          <cell r="O1957">
            <v>34.412782</v>
          </cell>
          <cell r="P1957">
            <v>0.21881838074398199</v>
          </cell>
          <cell r="Q1957">
            <v>27.258807000000001</v>
          </cell>
          <cell r="R1957">
            <v>0.21444201312910199</v>
          </cell>
          <cell r="S1957">
            <v>26.695186</v>
          </cell>
          <cell r="T1957">
            <v>0.112622826908541</v>
          </cell>
          <cell r="U1957">
            <v>15.638572999999999</v>
          </cell>
          <cell r="V1957">
            <v>0.10808767951624999</v>
          </cell>
        </row>
        <row r="1958">
          <cell r="A1958" t="str">
            <v>149803</v>
          </cell>
          <cell r="B1958">
            <v>1484.6666660000001</v>
          </cell>
          <cell r="C1958">
            <v>7.5957850000000002</v>
          </cell>
          <cell r="D1958">
            <v>3.36700336700336E-2</v>
          </cell>
          <cell r="E1958">
            <v>7.23583</v>
          </cell>
          <cell r="F1958">
            <v>3.2996632996632899E-2</v>
          </cell>
          <cell r="G1958">
            <v>1624.901922</v>
          </cell>
          <cell r="H1958">
            <v>3.42580213903743</v>
          </cell>
          <cell r="I1958">
            <v>456.03655400000002</v>
          </cell>
          <cell r="J1958">
            <v>2.4405080213903698</v>
          </cell>
          <cell r="K1958">
            <v>135.87501599999999</v>
          </cell>
          <cell r="L1958">
            <v>0.32569116655428099</v>
          </cell>
          <cell r="M1958">
            <v>66.060687000000001</v>
          </cell>
          <cell r="N1958">
            <v>0.28725556304787497</v>
          </cell>
          <cell r="O1958">
            <v>22.095962</v>
          </cell>
          <cell r="P1958">
            <v>0.176113360323886</v>
          </cell>
          <cell r="Q1958">
            <v>22.095962</v>
          </cell>
          <cell r="R1958">
            <v>0.176113360323886</v>
          </cell>
          <cell r="S1958">
            <v>42.186573000000003</v>
          </cell>
          <cell r="T1958">
            <v>0.13685636856368499</v>
          </cell>
          <cell r="U1958">
            <v>41.997492999999999</v>
          </cell>
          <cell r="V1958">
            <v>0.13279132791327899</v>
          </cell>
        </row>
        <row r="1959">
          <cell r="A1959" t="str">
            <v>149902</v>
          </cell>
          <cell r="B1959">
            <v>1343.333333</v>
          </cell>
          <cell r="C1959">
            <v>81.256184000000005</v>
          </cell>
          <cell r="D1959">
            <v>0.62279411764705805</v>
          </cell>
          <cell r="E1959">
            <v>78.277797000000007</v>
          </cell>
          <cell r="F1959">
            <v>0.61691176470588205</v>
          </cell>
          <cell r="G1959">
            <v>152.240566</v>
          </cell>
          <cell r="H1959">
            <v>0.245535714285714</v>
          </cell>
          <cell r="I1959">
            <v>10.054655</v>
          </cell>
          <cell r="J1959">
            <v>4.8363095238095198E-2</v>
          </cell>
          <cell r="K1959">
            <v>302.71371900000003</v>
          </cell>
          <cell r="L1959">
            <v>3.14264487369985</v>
          </cell>
          <cell r="M1959">
            <v>300.325693</v>
          </cell>
          <cell r="N1959">
            <v>3.1411589895988099</v>
          </cell>
          <cell r="O1959">
            <v>800.09436000000005</v>
          </cell>
          <cell r="P1959">
            <v>1.20572720422004</v>
          </cell>
          <cell r="Q1959">
            <v>16.504961000000002</v>
          </cell>
          <cell r="R1959">
            <v>0.36774679728711301</v>
          </cell>
          <cell r="S1959">
            <v>364.94995</v>
          </cell>
          <cell r="T1959">
            <v>1.8682634730538901</v>
          </cell>
          <cell r="U1959">
            <v>364.94995</v>
          </cell>
          <cell r="V1959">
            <v>1.8682634730538901</v>
          </cell>
        </row>
        <row r="1960">
          <cell r="A1960" t="str">
            <v>150001</v>
          </cell>
          <cell r="B1960">
            <v>1936.2</v>
          </cell>
          <cell r="C1960">
            <v>256.73479900000001</v>
          </cell>
          <cell r="D1960">
            <v>1.8731381612737501</v>
          </cell>
          <cell r="E1960">
            <v>256.24190900000002</v>
          </cell>
          <cell r="F1960">
            <v>1.87262455059065</v>
          </cell>
          <cell r="G1960">
            <v>493.593819</v>
          </cell>
          <cell r="H1960">
            <v>2.5512820512820502</v>
          </cell>
          <cell r="I1960">
            <v>340.72889400000003</v>
          </cell>
          <cell r="J1960">
            <v>2.4051282051282001</v>
          </cell>
          <cell r="K1960">
            <v>1764.134722</v>
          </cell>
          <cell r="L1960">
            <v>2.7014925373134302</v>
          </cell>
          <cell r="M1960">
            <v>486.649047</v>
          </cell>
          <cell r="N1960">
            <v>2.0813175501801302</v>
          </cell>
          <cell r="O1960">
            <v>2951.9154010000002</v>
          </cell>
          <cell r="P1960">
            <v>3.05772230889235</v>
          </cell>
          <cell r="Q1960">
            <v>470.99271099999999</v>
          </cell>
          <cell r="R1960">
            <v>1.7363494539781501</v>
          </cell>
          <cell r="S1960">
            <v>535.37089800000001</v>
          </cell>
          <cell r="T1960">
            <v>1.3070907194994701</v>
          </cell>
          <cell r="U1960">
            <v>286.38481899999999</v>
          </cell>
          <cell r="V1960">
            <v>1.1256517205422301</v>
          </cell>
        </row>
        <row r="1961">
          <cell r="A1961" t="str">
            <v>150002</v>
          </cell>
          <cell r="B1961">
            <v>210.22222199999999</v>
          </cell>
          <cell r="C1961">
            <v>342.88268199999999</v>
          </cell>
          <cell r="D1961">
            <v>2.3773584905660301</v>
          </cell>
          <cell r="E1961">
            <v>342.88268199999999</v>
          </cell>
          <cell r="F1961">
            <v>2.3773584905660301</v>
          </cell>
          <cell r="G1961">
            <v>2188.981847</v>
          </cell>
          <cell r="H1961">
            <v>5.7251184834123201</v>
          </cell>
          <cell r="I1961">
            <v>489.23402399999998</v>
          </cell>
          <cell r="J1961">
            <v>5.2274881516587604</v>
          </cell>
          <cell r="K1961">
            <v>2358.0960690000002</v>
          </cell>
          <cell r="L1961">
            <v>4.2594339622641497</v>
          </cell>
          <cell r="M1961">
            <v>728.97845900000004</v>
          </cell>
          <cell r="N1961">
            <v>3.3396226415094299</v>
          </cell>
          <cell r="O1961">
            <v>90.888887999999994</v>
          </cell>
          <cell r="P1961">
            <v>1.8952380952380901</v>
          </cell>
          <cell r="Q1961">
            <v>63.475873</v>
          </cell>
          <cell r="R1961">
            <v>1.87619047619047</v>
          </cell>
          <cell r="S1961">
            <v>651.83832399999994</v>
          </cell>
          <cell r="T1961">
            <v>1.8454106280193201</v>
          </cell>
          <cell r="U1961">
            <v>249.461513</v>
          </cell>
          <cell r="V1961">
            <v>1.6135265700482999</v>
          </cell>
        </row>
        <row r="1962">
          <cell r="A1962" t="str">
            <v>150102</v>
          </cell>
          <cell r="B1962">
            <v>14</v>
          </cell>
          <cell r="C1962">
            <v>0</v>
          </cell>
          <cell r="D1962">
            <v>0</v>
          </cell>
          <cell r="E1962">
            <v>0</v>
          </cell>
          <cell r="F1962">
            <v>0</v>
          </cell>
          <cell r="G1962">
            <v>19.165413999999998</v>
          </cell>
          <cell r="H1962">
            <v>7.1428571428571397E-2</v>
          </cell>
          <cell r="I1962">
            <v>19.165413999999998</v>
          </cell>
          <cell r="J1962">
            <v>7.1428571428571397E-2</v>
          </cell>
          <cell r="K1962">
            <v>0</v>
          </cell>
          <cell r="L1962">
            <v>0</v>
          </cell>
          <cell r="M1962">
            <v>0</v>
          </cell>
          <cell r="N1962">
            <v>0</v>
          </cell>
          <cell r="O1962">
            <v>0</v>
          </cell>
          <cell r="P1962">
            <v>0</v>
          </cell>
          <cell r="Q1962">
            <v>0</v>
          </cell>
          <cell r="R1962">
            <v>0</v>
          </cell>
          <cell r="S1962">
            <v>4.4940470000000001</v>
          </cell>
          <cell r="T1962">
            <v>7.1428571428571397E-2</v>
          </cell>
          <cell r="U1962">
            <v>4.4940470000000001</v>
          </cell>
          <cell r="V1962">
            <v>7.1428571428571397E-2</v>
          </cell>
        </row>
        <row r="1963">
          <cell r="A1963" t="str">
            <v>150601</v>
          </cell>
          <cell r="B1963">
            <v>886.83333300000004</v>
          </cell>
          <cell r="C1963">
            <v>3.1057250000000001</v>
          </cell>
          <cell r="D1963">
            <v>2.0156774916013399E-2</v>
          </cell>
          <cell r="E1963">
            <v>3.1057250000000001</v>
          </cell>
          <cell r="F1963">
            <v>2.0156774916013399E-2</v>
          </cell>
          <cell r="G1963">
            <v>6.5190149999999996</v>
          </cell>
          <cell r="H1963">
            <v>2.1252796420581602E-2</v>
          </cell>
          <cell r="I1963">
            <v>6.5190149999999996</v>
          </cell>
          <cell r="J1963">
            <v>2.1252796420581602E-2</v>
          </cell>
          <cell r="K1963">
            <v>15.709906</v>
          </cell>
          <cell r="L1963">
            <v>0.12471910112359499</v>
          </cell>
          <cell r="M1963">
            <v>15.709906</v>
          </cell>
          <cell r="N1963">
            <v>0.12471910112359499</v>
          </cell>
          <cell r="O1963">
            <v>187.18702200000001</v>
          </cell>
          <cell r="P1963">
            <v>0.60561797752808899</v>
          </cell>
          <cell r="Q1963">
            <v>187.18702200000001</v>
          </cell>
          <cell r="R1963">
            <v>0.60561797752808899</v>
          </cell>
          <cell r="S1963">
            <v>311.78023400000001</v>
          </cell>
          <cell r="T1963">
            <v>2.0193842645381901</v>
          </cell>
          <cell r="U1963">
            <v>156.66788199999999</v>
          </cell>
          <cell r="V1963">
            <v>1.03990877993158</v>
          </cell>
        </row>
        <row r="1964">
          <cell r="A1964" t="str">
            <v>150602</v>
          </cell>
          <cell r="B1964">
            <v>704.8</v>
          </cell>
          <cell r="C1964">
            <v>9.9523019999999995</v>
          </cell>
          <cell r="D1964">
            <v>2.7065527065526999E-2</v>
          </cell>
          <cell r="E1964">
            <v>9.9523019999999995</v>
          </cell>
          <cell r="F1964">
            <v>2.7065527065526999E-2</v>
          </cell>
          <cell r="G1964">
            <v>0.205539</v>
          </cell>
          <cell r="H1964">
            <v>1.3966480446927301E-3</v>
          </cell>
          <cell r="I1964">
            <v>0.205539</v>
          </cell>
          <cell r="J1964">
            <v>1.3966480446927301E-3</v>
          </cell>
          <cell r="K1964">
            <v>0</v>
          </cell>
          <cell r="L1964">
            <v>0</v>
          </cell>
          <cell r="M1964">
            <v>0</v>
          </cell>
          <cell r="N1964">
            <v>0</v>
          </cell>
          <cell r="O1964">
            <v>2.2180789999999999</v>
          </cell>
          <cell r="P1964">
            <v>4.2372881355932203E-3</v>
          </cell>
          <cell r="Q1964">
            <v>2.2180789999999999</v>
          </cell>
          <cell r="R1964">
            <v>4.2372881355932203E-3</v>
          </cell>
          <cell r="S1964">
            <v>282.739079</v>
          </cell>
          <cell r="T1964">
            <v>1.81258941344778</v>
          </cell>
          <cell r="U1964">
            <v>136.14914099999999</v>
          </cell>
          <cell r="V1964">
            <v>0.88841201716738105</v>
          </cell>
        </row>
        <row r="1965">
          <cell r="A1965" t="str">
            <v>150603</v>
          </cell>
          <cell r="B1965">
            <v>361.66666600000002</v>
          </cell>
          <cell r="C1965">
            <v>6.8659850000000002</v>
          </cell>
          <cell r="D1965">
            <v>4.6831955922865001E-2</v>
          </cell>
          <cell r="E1965">
            <v>6.8659850000000002</v>
          </cell>
          <cell r="F1965">
            <v>4.6831955922865001E-2</v>
          </cell>
          <cell r="G1965">
            <v>0</v>
          </cell>
          <cell r="H1965">
            <v>0</v>
          </cell>
          <cell r="I1965">
            <v>0</v>
          </cell>
          <cell r="J1965">
            <v>0</v>
          </cell>
          <cell r="K1965">
            <v>0</v>
          </cell>
          <cell r="L1965">
            <v>0</v>
          </cell>
          <cell r="M1965">
            <v>0</v>
          </cell>
          <cell r="N1965">
            <v>0</v>
          </cell>
          <cell r="O1965">
            <v>0</v>
          </cell>
          <cell r="P1965">
            <v>0</v>
          </cell>
          <cell r="Q1965">
            <v>0</v>
          </cell>
          <cell r="R1965">
            <v>0</v>
          </cell>
          <cell r="S1965">
            <v>483.65946400000001</v>
          </cell>
          <cell r="T1965">
            <v>3.3767313019390501</v>
          </cell>
          <cell r="U1965">
            <v>326.89732199999997</v>
          </cell>
          <cell r="V1965">
            <v>2.3795013850415501</v>
          </cell>
        </row>
        <row r="1966">
          <cell r="A1966" t="str">
            <v>150701</v>
          </cell>
          <cell r="B1966">
            <v>684</v>
          </cell>
          <cell r="C1966">
            <v>5053.1640170000001</v>
          </cell>
          <cell r="D1966">
            <v>3.5878962536022998</v>
          </cell>
          <cell r="E1966">
            <v>193.04148499999999</v>
          </cell>
          <cell r="F1966">
            <v>1.65994236311239</v>
          </cell>
          <cell r="G1966">
            <v>737.03808800000002</v>
          </cell>
          <cell r="H1966">
            <v>0.58490566037735803</v>
          </cell>
          <cell r="I1966">
            <v>151.99402599999999</v>
          </cell>
          <cell r="J1966">
            <v>0.380261248185776</v>
          </cell>
          <cell r="K1966">
            <v>868.40623600000004</v>
          </cell>
          <cell r="L1966">
            <v>0.51169590643274798</v>
          </cell>
          <cell r="M1966">
            <v>41.467616</v>
          </cell>
          <cell r="N1966">
            <v>0.36695906432748499</v>
          </cell>
          <cell r="O1966">
            <v>245.43888699999999</v>
          </cell>
          <cell r="P1966">
            <v>1.56534508076358</v>
          </cell>
          <cell r="Q1966">
            <v>145.11074300000001</v>
          </cell>
          <cell r="R1966">
            <v>1.4581497797356799</v>
          </cell>
          <cell r="S1966">
            <v>505.20545600000003</v>
          </cell>
          <cell r="T1966">
            <v>2.6860119047619002</v>
          </cell>
          <cell r="U1966">
            <v>432.76497999999998</v>
          </cell>
          <cell r="V1966">
            <v>2.2589285714285698</v>
          </cell>
        </row>
        <row r="1967">
          <cell r="A1967" t="str">
            <v>150702</v>
          </cell>
          <cell r="B1967">
            <v>1362.8</v>
          </cell>
          <cell r="C1967">
            <v>4888.443448</v>
          </cell>
          <cell r="D1967">
            <v>2.6712827988338099</v>
          </cell>
          <cell r="E1967">
            <v>162.24872300000001</v>
          </cell>
          <cell r="F1967">
            <v>0.91545189504373103</v>
          </cell>
          <cell r="G1967">
            <v>448.116038</v>
          </cell>
          <cell r="H1967">
            <v>1.4278425655976601</v>
          </cell>
          <cell r="I1967">
            <v>353.994619</v>
          </cell>
          <cell r="J1967">
            <v>1.3790087463556799</v>
          </cell>
          <cell r="K1967">
            <v>272.67322799999999</v>
          </cell>
          <cell r="L1967">
            <v>2.2096420745069301</v>
          </cell>
          <cell r="M1967">
            <v>215.86900399999999</v>
          </cell>
          <cell r="N1967">
            <v>2.1636230825420002</v>
          </cell>
          <cell r="O1967">
            <v>137.34670499999999</v>
          </cell>
          <cell r="P1967">
            <v>1.9331373989713401</v>
          </cell>
          <cell r="Q1967">
            <v>129.449118</v>
          </cell>
          <cell r="R1967">
            <v>1.9140337986774401</v>
          </cell>
          <cell r="S1967">
            <v>241.68772300000001</v>
          </cell>
          <cell r="T1967">
            <v>1.62014925373134</v>
          </cell>
          <cell r="U1967">
            <v>241.508059</v>
          </cell>
          <cell r="V1967">
            <v>1.6179104477611901</v>
          </cell>
        </row>
        <row r="1968">
          <cell r="A1968" t="str">
            <v>150801</v>
          </cell>
          <cell r="B1968">
            <v>443.8</v>
          </cell>
          <cell r="C1968">
            <v>3145.8173579999998</v>
          </cell>
          <cell r="D1968">
            <v>2.3169642857142798</v>
          </cell>
          <cell r="E1968">
            <v>555.99481100000003</v>
          </cell>
          <cell r="F1968">
            <v>1.3526785714285701</v>
          </cell>
          <cell r="G1968">
            <v>247.80408399999999</v>
          </cell>
          <cell r="H1968">
            <v>1.73755656108597</v>
          </cell>
          <cell r="I1968">
            <v>205.571394</v>
          </cell>
          <cell r="J1968">
            <v>1.7217194570135701</v>
          </cell>
          <cell r="K1968">
            <v>3338.5693689999998</v>
          </cell>
          <cell r="L1968">
            <v>3.1711711711711699</v>
          </cell>
          <cell r="M1968">
            <v>805.09080300000005</v>
          </cell>
          <cell r="N1968">
            <v>1.7522522522522499</v>
          </cell>
          <cell r="O1968">
            <v>624.25580400000001</v>
          </cell>
          <cell r="P1968">
            <v>1.1842696629213401</v>
          </cell>
          <cell r="Q1968">
            <v>182.68138500000001</v>
          </cell>
          <cell r="R1968">
            <v>0.89662921348314595</v>
          </cell>
          <cell r="S1968">
            <v>1102.7407189999999</v>
          </cell>
          <cell r="T1968">
            <v>3.1090909090909</v>
          </cell>
          <cell r="U1968">
            <v>233.931477</v>
          </cell>
          <cell r="V1968">
            <v>1.5954545454545399</v>
          </cell>
        </row>
        <row r="1969">
          <cell r="A1969" t="str">
            <v>150802</v>
          </cell>
          <cell r="B1969">
            <v>562</v>
          </cell>
          <cell r="C1969">
            <v>1233.2823559999999</v>
          </cell>
          <cell r="D1969">
            <v>2.03558718861209</v>
          </cell>
          <cell r="E1969">
            <v>539.08573100000001</v>
          </cell>
          <cell r="F1969">
            <v>1.26512455516014</v>
          </cell>
          <cell r="G1969">
            <v>351.07459799999998</v>
          </cell>
          <cell r="H1969">
            <v>1.6499999999999899</v>
          </cell>
          <cell r="I1969">
            <v>102.610364</v>
          </cell>
          <cell r="J1969">
            <v>1.40892857142857</v>
          </cell>
          <cell r="K1969">
            <v>4559.8852569999999</v>
          </cell>
          <cell r="L1969">
            <v>4.9520426287744197</v>
          </cell>
          <cell r="M1969">
            <v>797.80692699999997</v>
          </cell>
          <cell r="N1969">
            <v>2.82948490230905</v>
          </cell>
          <cell r="O1969">
            <v>942.22817199999997</v>
          </cell>
          <cell r="P1969">
            <v>2.0818505338078199</v>
          </cell>
          <cell r="Q1969">
            <v>215.81159500000001</v>
          </cell>
          <cell r="R1969">
            <v>0.99288256227757998</v>
          </cell>
          <cell r="S1969">
            <v>592.887565</v>
          </cell>
          <cell r="T1969">
            <v>2.18827708703374</v>
          </cell>
          <cell r="U1969">
            <v>159.252545</v>
          </cell>
          <cell r="V1969">
            <v>1.29662522202486</v>
          </cell>
        </row>
        <row r="1970">
          <cell r="A1970" t="str">
            <v>150901</v>
          </cell>
          <cell r="B1970">
            <v>203.8</v>
          </cell>
          <cell r="C1970">
            <v>2109.1437810000002</v>
          </cell>
          <cell r="D1970">
            <v>1.12254901960784</v>
          </cell>
          <cell r="E1970">
            <v>67.012272999999993</v>
          </cell>
          <cell r="F1970">
            <v>0.18627450980392099</v>
          </cell>
          <cell r="G1970">
            <v>337.970463</v>
          </cell>
          <cell r="H1970">
            <v>0.59024390243902403</v>
          </cell>
          <cell r="I1970">
            <v>102.23003300000001</v>
          </cell>
          <cell r="J1970">
            <v>0.49268292682926801</v>
          </cell>
          <cell r="K1970">
            <v>157.96601200000001</v>
          </cell>
          <cell r="L1970">
            <v>0.76960784313725406</v>
          </cell>
          <cell r="M1970">
            <v>96.101142999999993</v>
          </cell>
          <cell r="N1970">
            <v>0.74509803921568596</v>
          </cell>
          <cell r="O1970">
            <v>86.325080999999997</v>
          </cell>
          <cell r="P1970">
            <v>0.21078431372549</v>
          </cell>
          <cell r="Q1970">
            <v>23.230146999999999</v>
          </cell>
          <cell r="R1970">
            <v>0.10294117647058799</v>
          </cell>
          <cell r="S1970">
            <v>275.15800200000001</v>
          </cell>
          <cell r="T1970">
            <v>1.3019801980198</v>
          </cell>
          <cell r="U1970">
            <v>273.610973</v>
          </cell>
          <cell r="V1970">
            <v>1.2920792079207899</v>
          </cell>
        </row>
        <row r="1971">
          <cell r="A1971" t="str">
            <v>150902</v>
          </cell>
          <cell r="B1971">
            <v>319.2</v>
          </cell>
          <cell r="C1971">
            <v>6604.472984</v>
          </cell>
          <cell r="D1971">
            <v>2.2351190476190399</v>
          </cell>
          <cell r="E1971">
            <v>46.02899</v>
          </cell>
          <cell r="F1971">
            <v>0.13392857142857101</v>
          </cell>
          <cell r="G1971">
            <v>553.748963</v>
          </cell>
          <cell r="H1971">
            <v>0.68181818181818099</v>
          </cell>
          <cell r="I1971">
            <v>178.19284999999999</v>
          </cell>
          <cell r="J1971">
            <v>0.5</v>
          </cell>
          <cell r="K1971">
            <v>739.30189099999996</v>
          </cell>
          <cell r="L1971">
            <v>0.84049079754601197</v>
          </cell>
          <cell r="M1971">
            <v>110.707566</v>
          </cell>
          <cell r="N1971">
            <v>0.60429447852760698</v>
          </cell>
          <cell r="O1971">
            <v>543.98745899999994</v>
          </cell>
          <cell r="P1971">
            <v>0.954983922829581</v>
          </cell>
          <cell r="Q1971">
            <v>51.306269999999998</v>
          </cell>
          <cell r="R1971">
            <v>0.59485530546623699</v>
          </cell>
          <cell r="S1971">
            <v>147.082763</v>
          </cell>
          <cell r="T1971">
            <v>0.436860068259385</v>
          </cell>
          <cell r="U1971">
            <v>48.700055999999996</v>
          </cell>
          <cell r="V1971">
            <v>0.296928327645051</v>
          </cell>
        </row>
        <row r="1972">
          <cell r="A1972" t="str">
            <v>151002</v>
          </cell>
          <cell r="B1972">
            <v>1247.4000000000001</v>
          </cell>
          <cell r="C1972">
            <v>6344.7701690000004</v>
          </cell>
          <cell r="D1972">
            <v>3.9653179190751402</v>
          </cell>
          <cell r="E1972">
            <v>387.35709600000001</v>
          </cell>
          <cell r="F1972">
            <v>1.0478943022295599</v>
          </cell>
          <cell r="G1972">
            <v>981.34677899999997</v>
          </cell>
          <cell r="H1972">
            <v>2.1012658227848098</v>
          </cell>
          <cell r="I1972">
            <v>327.43857700000001</v>
          </cell>
          <cell r="J1972">
            <v>1.3876582278481</v>
          </cell>
          <cell r="K1972">
            <v>6369.4082930000004</v>
          </cell>
          <cell r="L1972">
            <v>3.5935023771790799</v>
          </cell>
          <cell r="M1972">
            <v>598.11765700000001</v>
          </cell>
          <cell r="N1972">
            <v>1.7345483359746401</v>
          </cell>
          <cell r="O1972">
            <v>490.94707499999998</v>
          </cell>
          <cell r="P1972">
            <v>0.92902711323763898</v>
          </cell>
          <cell r="Q1972">
            <v>186.577538</v>
          </cell>
          <cell r="R1972">
            <v>0.71770334928229595</v>
          </cell>
          <cell r="S1972">
            <v>334.76816400000001</v>
          </cell>
          <cell r="T1972">
            <v>0.92616372391653201</v>
          </cell>
          <cell r="U1972">
            <v>204.08291800000001</v>
          </cell>
          <cell r="V1972">
            <v>0.75842696629213402</v>
          </cell>
        </row>
        <row r="1973">
          <cell r="A1973" t="str">
            <v>151101</v>
          </cell>
          <cell r="B1973">
            <v>468.44444399999998</v>
          </cell>
          <cell r="C1973">
            <v>5.1835639999999996</v>
          </cell>
          <cell r="D1973">
            <v>2.0920502092050201E-2</v>
          </cell>
          <cell r="E1973">
            <v>5.1835639999999996</v>
          </cell>
          <cell r="F1973">
            <v>2.0920502092050201E-2</v>
          </cell>
          <cell r="G1973">
            <v>448.95705299999997</v>
          </cell>
          <cell r="H1973">
            <v>1.4418604651162701</v>
          </cell>
          <cell r="I1973">
            <v>391.07531699999998</v>
          </cell>
          <cell r="J1973">
            <v>1.2093023255813899</v>
          </cell>
          <cell r="K1973">
            <v>867.40510900000004</v>
          </cell>
          <cell r="L1973">
            <v>3.35729386892177</v>
          </cell>
          <cell r="M1973">
            <v>340.20926700000001</v>
          </cell>
          <cell r="N1973">
            <v>3.0782241014799099</v>
          </cell>
          <cell r="O1973">
            <v>402.86462699999998</v>
          </cell>
          <cell r="P1973">
            <v>0.70386266094420602</v>
          </cell>
          <cell r="Q1973">
            <v>72.405185000000003</v>
          </cell>
          <cell r="R1973">
            <v>0.47210300429184499</v>
          </cell>
          <cell r="S1973">
            <v>120.590115</v>
          </cell>
          <cell r="T1973">
            <v>0.77242888402625798</v>
          </cell>
          <cell r="U1973">
            <v>98.043470999999997</v>
          </cell>
          <cell r="V1973">
            <v>0.72210065645514199</v>
          </cell>
        </row>
        <row r="1974">
          <cell r="A1974" t="str">
            <v>151102</v>
          </cell>
          <cell r="B1974">
            <v>1244.4000000000001</v>
          </cell>
          <cell r="C1974">
            <v>340.70038099999999</v>
          </cell>
          <cell r="D1974">
            <v>1.8197492163009401</v>
          </cell>
          <cell r="E1974">
            <v>340.64154600000001</v>
          </cell>
          <cell r="F1974">
            <v>1.8189655172413699</v>
          </cell>
          <cell r="G1974">
            <v>1248.3804889999999</v>
          </cell>
          <cell r="H1974">
            <v>2.8660855784469002</v>
          </cell>
          <cell r="I1974">
            <v>616.75330599999995</v>
          </cell>
          <cell r="J1974">
            <v>1.49920760697305</v>
          </cell>
          <cell r="K1974">
            <v>947.30510500000003</v>
          </cell>
          <cell r="L1974">
            <v>1.1592</v>
          </cell>
          <cell r="M1974">
            <v>537.45322599999997</v>
          </cell>
          <cell r="N1974">
            <v>0.81440000000000001</v>
          </cell>
          <cell r="O1974">
            <v>760.62843699999996</v>
          </cell>
          <cell r="P1974">
            <v>2.0496338486574399</v>
          </cell>
          <cell r="Q1974">
            <v>348.77805799999999</v>
          </cell>
          <cell r="R1974">
            <v>1.5939788445890899</v>
          </cell>
          <cell r="S1974">
            <v>683.81295799999998</v>
          </cell>
          <cell r="T1974">
            <v>1.91452282157676</v>
          </cell>
          <cell r="U1974">
            <v>384.15402399999999</v>
          </cell>
          <cell r="V1974">
            <v>1.5659751037344301</v>
          </cell>
        </row>
        <row r="1975">
          <cell r="A1975" t="str">
            <v>151201</v>
          </cell>
          <cell r="B1975">
            <v>1024.4000000000001</v>
          </cell>
          <cell r="C1975">
            <v>964.17030599999998</v>
          </cell>
          <cell r="D1975">
            <v>0.83935742971887495</v>
          </cell>
          <cell r="E1975">
            <v>5.4319319999999998</v>
          </cell>
          <cell r="F1975">
            <v>4.8192771084337303E-2</v>
          </cell>
          <cell r="G1975">
            <v>29.567848000000001</v>
          </cell>
          <cell r="H1975">
            <v>0.119800332778702</v>
          </cell>
          <cell r="I1975">
            <v>18.667484000000002</v>
          </cell>
          <cell r="J1975">
            <v>6.5723793677204601E-2</v>
          </cell>
          <cell r="K1975">
            <v>1828.5647019999999</v>
          </cell>
          <cell r="L1975">
            <v>2.55122950819672</v>
          </cell>
          <cell r="M1975">
            <v>163.91612000000001</v>
          </cell>
          <cell r="N1975">
            <v>1.3852459016393399</v>
          </cell>
          <cell r="O1975">
            <v>670.07623699999999</v>
          </cell>
          <cell r="P1975">
            <v>2.04210526315789</v>
          </cell>
          <cell r="Q1975">
            <v>390.93830400000002</v>
          </cell>
          <cell r="R1975">
            <v>1.84795321637426</v>
          </cell>
          <cell r="S1975">
            <v>3004.063842</v>
          </cell>
          <cell r="T1975">
            <v>2.4834123222748801</v>
          </cell>
          <cell r="U1975">
            <v>205.71808799999999</v>
          </cell>
          <cell r="V1975">
            <v>0.74526066350710896</v>
          </cell>
        </row>
        <row r="1976">
          <cell r="A1976" t="str">
            <v>151202</v>
          </cell>
          <cell r="B1976">
            <v>2250</v>
          </cell>
          <cell r="C1976">
            <v>3647.5381499999999</v>
          </cell>
          <cell r="D1976">
            <v>1.5685169124024201</v>
          </cell>
          <cell r="E1976">
            <v>150.29189</v>
          </cell>
          <cell r="F1976">
            <v>0.76409366869037199</v>
          </cell>
          <cell r="G1976">
            <v>402.30051099999997</v>
          </cell>
          <cell r="H1976">
            <v>1.4775528169014001</v>
          </cell>
          <cell r="I1976">
            <v>149.66887700000001</v>
          </cell>
          <cell r="J1976">
            <v>1.0220070422535199</v>
          </cell>
          <cell r="K1976">
            <v>1218.277728</v>
          </cell>
          <cell r="L1976">
            <v>1.4862099644128099</v>
          </cell>
          <cell r="M1976">
            <v>180.55442600000001</v>
          </cell>
          <cell r="N1976">
            <v>0.95106761565836195</v>
          </cell>
          <cell r="O1976">
            <v>121.74488599999999</v>
          </cell>
          <cell r="P1976">
            <v>0.52709359605911299</v>
          </cell>
          <cell r="Q1976">
            <v>72.014464000000004</v>
          </cell>
          <cell r="R1976">
            <v>0.51500223914016996</v>
          </cell>
          <cell r="S1976">
            <v>2903.1421869999999</v>
          </cell>
          <cell r="T1976">
            <v>3.32450935645823</v>
          </cell>
          <cell r="U1976">
            <v>133.23082299999999</v>
          </cell>
          <cell r="V1976">
            <v>0.88772250114103102</v>
          </cell>
        </row>
        <row r="1977">
          <cell r="A1977" t="str">
            <v>151401</v>
          </cell>
          <cell r="B1977">
            <v>904.8</v>
          </cell>
          <cell r="C1977">
            <v>139.15531899999999</v>
          </cell>
          <cell r="D1977">
            <v>1.27698574338085</v>
          </cell>
          <cell r="E1977">
            <v>46.738577999999997</v>
          </cell>
          <cell r="F1977">
            <v>0.262729124236252</v>
          </cell>
          <cell r="G1977">
            <v>129.69164699999999</v>
          </cell>
          <cell r="H1977">
            <v>0.189245087900723</v>
          </cell>
          <cell r="I1977">
            <v>33.714224000000002</v>
          </cell>
          <cell r="J1977">
            <v>0.113753877973112</v>
          </cell>
          <cell r="K1977">
            <v>506.88312500000001</v>
          </cell>
          <cell r="L1977">
            <v>2.1378238341968898</v>
          </cell>
          <cell r="M1977">
            <v>503.41973999999999</v>
          </cell>
          <cell r="N1977">
            <v>2.1367875647668302</v>
          </cell>
          <cell r="O1977">
            <v>225.75377599999999</v>
          </cell>
          <cell r="P1977">
            <v>2.5020790020789998</v>
          </cell>
          <cell r="Q1977">
            <v>218.83671100000001</v>
          </cell>
          <cell r="R1977">
            <v>2.4927234927234898</v>
          </cell>
          <cell r="S1977">
            <v>230.99522899999999</v>
          </cell>
          <cell r="T1977">
            <v>1.0403863037752401</v>
          </cell>
          <cell r="U1977">
            <v>224.459496</v>
          </cell>
          <cell r="V1977">
            <v>1.0298507462686499</v>
          </cell>
        </row>
        <row r="1978">
          <cell r="A1978" t="str">
            <v>151402</v>
          </cell>
          <cell r="B1978">
            <v>1430.6</v>
          </cell>
          <cell r="C1978">
            <v>111.22742700000001</v>
          </cell>
          <cell r="D1978">
            <v>0.22916666666666599</v>
          </cell>
          <cell r="E1978">
            <v>97.426333999999997</v>
          </cell>
          <cell r="F1978">
            <v>0.22500000000000001</v>
          </cell>
          <cell r="G1978">
            <v>205.493461</v>
          </cell>
          <cell r="H1978">
            <v>0.37230340988169702</v>
          </cell>
          <cell r="I1978">
            <v>105.536395</v>
          </cell>
          <cell r="J1978">
            <v>0.29366736256088999</v>
          </cell>
          <cell r="K1978">
            <v>931.45360800000003</v>
          </cell>
          <cell r="L1978">
            <v>3.5842618384401099</v>
          </cell>
          <cell r="M1978">
            <v>906.02824899999996</v>
          </cell>
          <cell r="N1978">
            <v>3.5793871866295199</v>
          </cell>
          <cell r="O1978">
            <v>87.352042999999995</v>
          </cell>
          <cell r="P1978">
            <v>2.20436927413671</v>
          </cell>
          <cell r="Q1978">
            <v>87.239417000000003</v>
          </cell>
          <cell r="R1978">
            <v>2.2036645525017602</v>
          </cell>
          <cell r="S1978">
            <v>224.980717</v>
          </cell>
          <cell r="T1978">
            <v>0.74454609429978802</v>
          </cell>
          <cell r="U1978">
            <v>144.51059100000001</v>
          </cell>
          <cell r="V1978">
            <v>0.499648135116115</v>
          </cell>
        </row>
        <row r="1979">
          <cell r="A1979" t="str">
            <v>151501</v>
          </cell>
          <cell r="B1979">
            <v>891.66666599999996</v>
          </cell>
          <cell r="C1979">
            <v>242.27315400000001</v>
          </cell>
          <cell r="D1979">
            <v>1.61640530759951</v>
          </cell>
          <cell r="E1979">
            <v>242.27315400000001</v>
          </cell>
          <cell r="F1979">
            <v>1.61640530759951</v>
          </cell>
          <cell r="G1979">
            <v>583.29770599999995</v>
          </cell>
          <cell r="H1979">
            <v>2.60348583877995</v>
          </cell>
          <cell r="I1979">
            <v>576.56747099999995</v>
          </cell>
          <cell r="J1979">
            <v>2.5915032679738501</v>
          </cell>
          <cell r="K1979">
            <v>583.73479199999997</v>
          </cell>
          <cell r="L1979">
            <v>1.4846827133479199</v>
          </cell>
          <cell r="M1979">
            <v>320.679194</v>
          </cell>
          <cell r="N1979">
            <v>1.08862144420131</v>
          </cell>
          <cell r="O1979">
            <v>256.37100800000002</v>
          </cell>
          <cell r="P1979">
            <v>0.85257142857142798</v>
          </cell>
          <cell r="Q1979">
            <v>93.508266000000006</v>
          </cell>
          <cell r="R1979">
            <v>0.47657142857142798</v>
          </cell>
          <cell r="S1979">
            <v>2287.9743530000001</v>
          </cell>
          <cell r="T1979">
            <v>5.4523007856341099</v>
          </cell>
          <cell r="U1979">
            <v>1021.655723</v>
          </cell>
          <cell r="V1979">
            <v>4.2547699214365799</v>
          </cell>
        </row>
        <row r="1980">
          <cell r="A1980" t="str">
            <v>151502</v>
          </cell>
          <cell r="B1980">
            <v>607.20000000000005</v>
          </cell>
          <cell r="C1980">
            <v>664.60051099999998</v>
          </cell>
          <cell r="D1980">
            <v>1.32305194805194</v>
          </cell>
          <cell r="E1980">
            <v>319.63085599999999</v>
          </cell>
          <cell r="F1980">
            <v>0.91071428571428503</v>
          </cell>
          <cell r="G1980">
            <v>363.78375799999998</v>
          </cell>
          <cell r="H1980">
            <v>1.4959216965742199</v>
          </cell>
          <cell r="I1980">
            <v>363.43734000000001</v>
          </cell>
          <cell r="J1980">
            <v>1.4926590538336</v>
          </cell>
          <cell r="K1980">
            <v>270.78943299999997</v>
          </cell>
          <cell r="L1980">
            <v>0.85294117647058798</v>
          </cell>
          <cell r="M1980">
            <v>264.39572399999997</v>
          </cell>
          <cell r="N1980">
            <v>0.84803921568627405</v>
          </cell>
          <cell r="O1980">
            <v>4703.2251399999996</v>
          </cell>
          <cell r="P1980">
            <v>4.5439189189189104</v>
          </cell>
          <cell r="Q1980">
            <v>297.55574300000001</v>
          </cell>
          <cell r="R1980">
            <v>1.6047297297297201</v>
          </cell>
          <cell r="S1980">
            <v>1102.3869810000001</v>
          </cell>
          <cell r="T1980">
            <v>2.0630182421227099</v>
          </cell>
          <cell r="U1980">
            <v>212.97180700000001</v>
          </cell>
          <cell r="V1980">
            <v>0.98009950248756195</v>
          </cell>
        </row>
        <row r="1981">
          <cell r="A1981" t="str">
            <v>151601</v>
          </cell>
          <cell r="B1981">
            <v>460.25</v>
          </cell>
          <cell r="C1981">
            <v>389.79288100000002</v>
          </cell>
          <cell r="D1981">
            <v>3.2051835853131698</v>
          </cell>
          <cell r="E1981">
            <v>389.79288100000002</v>
          </cell>
          <cell r="F1981">
            <v>3.2051835853131698</v>
          </cell>
          <cell r="G1981">
            <v>1767.325515</v>
          </cell>
          <cell r="H1981">
            <v>4.8833693304535597</v>
          </cell>
          <cell r="I1981">
            <v>1726.8963329999999</v>
          </cell>
          <cell r="J1981">
            <v>4.8509719222462202</v>
          </cell>
          <cell r="K1981">
            <v>2979.5339130000002</v>
          </cell>
          <cell r="L1981">
            <v>2.6775599128540302</v>
          </cell>
          <cell r="M1981">
            <v>567.90087100000005</v>
          </cell>
          <cell r="N1981">
            <v>1.9324618736383401</v>
          </cell>
          <cell r="O1981">
            <v>544.34133799999995</v>
          </cell>
          <cell r="P1981">
            <v>2.00218340611353</v>
          </cell>
          <cell r="Q1981">
            <v>537.463391</v>
          </cell>
          <cell r="R1981">
            <v>1.9956331877729201</v>
          </cell>
          <cell r="S1981">
            <v>662.12567100000001</v>
          </cell>
          <cell r="T1981">
            <v>3.3747276688453098</v>
          </cell>
          <cell r="U1981">
            <v>662.12567100000001</v>
          </cell>
          <cell r="V1981">
            <v>3.3747276688453098</v>
          </cell>
        </row>
        <row r="1982">
          <cell r="A1982" t="str">
            <v>151602</v>
          </cell>
          <cell r="B1982">
            <v>628.4</v>
          </cell>
          <cell r="C1982">
            <v>1006.391568</v>
          </cell>
          <cell r="D1982">
            <v>4.2146263910969699</v>
          </cell>
          <cell r="E1982">
            <v>1006.180122</v>
          </cell>
          <cell r="F1982">
            <v>4.21303656597774</v>
          </cell>
          <cell r="G1982">
            <v>6829.2865270000002</v>
          </cell>
          <cell r="H1982">
            <v>6.7819905213270104</v>
          </cell>
          <cell r="I1982">
            <v>1785.2340799999999</v>
          </cell>
          <cell r="J1982">
            <v>4.2543443917851498</v>
          </cell>
          <cell r="K1982">
            <v>2311.1185909999999</v>
          </cell>
          <cell r="L1982">
            <v>6.3575949367088596</v>
          </cell>
          <cell r="M1982">
            <v>1555.098945</v>
          </cell>
          <cell r="N1982">
            <v>5.3575949367088596</v>
          </cell>
          <cell r="O1982">
            <v>2684.5408940000002</v>
          </cell>
          <cell r="P1982">
            <v>5.6725239616613399</v>
          </cell>
          <cell r="Q1982">
            <v>1319.2428110000001</v>
          </cell>
          <cell r="R1982">
            <v>4.4920127795527103</v>
          </cell>
          <cell r="S1982">
            <v>1877.474704</v>
          </cell>
          <cell r="T1982">
            <v>2.7733118971061002</v>
          </cell>
          <cell r="U1982">
            <v>887.296516</v>
          </cell>
          <cell r="V1982">
            <v>1.86977491961414</v>
          </cell>
        </row>
        <row r="1983">
          <cell r="A1983" t="str">
            <v>151801</v>
          </cell>
          <cell r="B1983">
            <v>13.5</v>
          </cell>
          <cell r="C1983">
            <v>0</v>
          </cell>
          <cell r="D1983">
            <v>0</v>
          </cell>
          <cell r="E1983">
            <v>0</v>
          </cell>
          <cell r="F1983">
            <v>0</v>
          </cell>
          <cell r="G1983">
            <v>0</v>
          </cell>
          <cell r="H1983">
            <v>0</v>
          </cell>
          <cell r="I1983">
            <v>0</v>
          </cell>
          <cell r="J1983">
            <v>0</v>
          </cell>
          <cell r="K1983">
            <v>0</v>
          </cell>
          <cell r="L1983">
            <v>0</v>
          </cell>
          <cell r="M1983">
            <v>0</v>
          </cell>
          <cell r="N1983">
            <v>0</v>
          </cell>
          <cell r="O1983">
            <v>96.25</v>
          </cell>
          <cell r="P1983">
            <v>1</v>
          </cell>
          <cell r="Q1983">
            <v>96.25</v>
          </cell>
          <cell r="R1983">
            <v>1</v>
          </cell>
          <cell r="S1983">
            <v>89.25</v>
          </cell>
          <cell r="T1983">
            <v>1</v>
          </cell>
          <cell r="U1983">
            <v>89.25</v>
          </cell>
          <cell r="V1983">
            <v>1</v>
          </cell>
        </row>
        <row r="1984">
          <cell r="A1984" t="str">
            <v>151802</v>
          </cell>
          <cell r="B1984">
            <v>1130</v>
          </cell>
          <cell r="C1984">
            <v>0.54138600000000003</v>
          </cell>
          <cell r="D1984">
            <v>6.03448275862068E-3</v>
          </cell>
          <cell r="E1984">
            <v>0.54138600000000003</v>
          </cell>
          <cell r="F1984">
            <v>6.03448275862068E-3</v>
          </cell>
          <cell r="G1984">
            <v>184.551739</v>
          </cell>
          <cell r="H1984">
            <v>1.0671316477768</v>
          </cell>
          <cell r="I1984">
            <v>181.59823399999999</v>
          </cell>
          <cell r="J1984">
            <v>1.0584132519616301</v>
          </cell>
          <cell r="K1984">
            <v>312.096386</v>
          </cell>
          <cell r="L1984">
            <v>1.1716814159291999</v>
          </cell>
          <cell r="M1984">
            <v>302.06892299999998</v>
          </cell>
          <cell r="N1984">
            <v>1.1672566371681401</v>
          </cell>
          <cell r="O1984">
            <v>944.91094699999996</v>
          </cell>
          <cell r="P1984">
            <v>3.1345811051693402</v>
          </cell>
          <cell r="Q1984">
            <v>203.82243</v>
          </cell>
          <cell r="R1984">
            <v>2.1327985739750401</v>
          </cell>
          <cell r="S1984">
            <v>102.25673500000001</v>
          </cell>
          <cell r="T1984">
            <v>1.01808318264014</v>
          </cell>
          <cell r="U1984">
            <v>91.782895999999994</v>
          </cell>
          <cell r="V1984">
            <v>1.01175406871609</v>
          </cell>
        </row>
        <row r="1985">
          <cell r="A1985" t="str">
            <v>151901</v>
          </cell>
          <cell r="B1985">
            <v>686.71428500000002</v>
          </cell>
          <cell r="C1985">
            <v>43.962327000000002</v>
          </cell>
          <cell r="D1985">
            <v>0.27060439560439498</v>
          </cell>
          <cell r="E1985">
            <v>43.962327000000002</v>
          </cell>
          <cell r="F1985">
            <v>0.27060439560439498</v>
          </cell>
          <cell r="G1985">
            <v>290.75613299999998</v>
          </cell>
          <cell r="H1985">
            <v>1.3487031700288099</v>
          </cell>
          <cell r="I1985">
            <v>274.24503700000002</v>
          </cell>
          <cell r="J1985">
            <v>1.34293948126801</v>
          </cell>
          <cell r="K1985">
            <v>222.67262500000001</v>
          </cell>
          <cell r="L1985">
            <v>0.36996904024767802</v>
          </cell>
          <cell r="M1985">
            <v>149.775644</v>
          </cell>
          <cell r="N1985">
            <v>0.33900928792569601</v>
          </cell>
          <cell r="O1985">
            <v>200.31359</v>
          </cell>
          <cell r="P1985">
            <v>1.0958512160228799</v>
          </cell>
          <cell r="Q1985">
            <v>200.31359</v>
          </cell>
          <cell r="R1985">
            <v>1.0958512160228799</v>
          </cell>
          <cell r="S1985">
            <v>255.27454700000001</v>
          </cell>
          <cell r="T1985">
            <v>1.07</v>
          </cell>
          <cell r="U1985">
            <v>255.27454700000001</v>
          </cell>
          <cell r="V1985">
            <v>1.07</v>
          </cell>
        </row>
        <row r="1986">
          <cell r="A1986" t="str">
            <v>151902</v>
          </cell>
          <cell r="B1986">
            <v>606.6</v>
          </cell>
          <cell r="C1986">
            <v>105.130788</v>
          </cell>
          <cell r="D1986">
            <v>0.36510500807754398</v>
          </cell>
          <cell r="E1986">
            <v>6.13903</v>
          </cell>
          <cell r="F1986">
            <v>1.1308562197092E-2</v>
          </cell>
          <cell r="G1986">
            <v>159.23457300000001</v>
          </cell>
          <cell r="H1986">
            <v>1.0871710526315701</v>
          </cell>
          <cell r="I1986">
            <v>153.85888199999999</v>
          </cell>
          <cell r="J1986">
            <v>1.0723684210526301</v>
          </cell>
          <cell r="K1986">
            <v>200.85976700000001</v>
          </cell>
          <cell r="L1986">
            <v>9.43708609271523E-2</v>
          </cell>
          <cell r="M1986">
            <v>11.120695</v>
          </cell>
          <cell r="N1986">
            <v>5.4635761589403899E-2</v>
          </cell>
          <cell r="O1986">
            <v>461.35542500000003</v>
          </cell>
          <cell r="P1986">
            <v>1.90365448504983</v>
          </cell>
          <cell r="Q1986">
            <v>455.06395300000003</v>
          </cell>
          <cell r="R1986">
            <v>1.9003322259136199</v>
          </cell>
          <cell r="S1986">
            <v>278.94883299999998</v>
          </cell>
          <cell r="T1986">
            <v>1.17</v>
          </cell>
          <cell r="U1986">
            <v>274.926333</v>
          </cell>
          <cell r="V1986">
            <v>1.1599999999999999</v>
          </cell>
        </row>
        <row r="1987">
          <cell r="A1987" t="str">
            <v>151903</v>
          </cell>
          <cell r="B1987">
            <v>888.125</v>
          </cell>
          <cell r="C1987">
            <v>10.065561000000001</v>
          </cell>
          <cell r="D1987">
            <v>3.6016949152542298E-2</v>
          </cell>
          <cell r="E1987">
            <v>10.065561000000001</v>
          </cell>
          <cell r="F1987">
            <v>3.6016949152542298E-2</v>
          </cell>
          <cell r="G1987">
            <v>203.89629500000001</v>
          </cell>
          <cell r="H1987">
            <v>1.2419533851276301</v>
          </cell>
          <cell r="I1987">
            <v>200.026827</v>
          </cell>
          <cell r="J1987">
            <v>1.23307436182019</v>
          </cell>
          <cell r="K1987">
            <v>60.580066000000002</v>
          </cell>
          <cell r="L1987">
            <v>9.3468468468468402E-2</v>
          </cell>
          <cell r="M1987">
            <v>13.170719999999999</v>
          </cell>
          <cell r="N1987">
            <v>8.67117117117117E-2</v>
          </cell>
          <cell r="O1987">
            <v>561.44467999999995</v>
          </cell>
          <cell r="P1987">
            <v>2.2365097588978098</v>
          </cell>
          <cell r="Q1987">
            <v>561.44467999999995</v>
          </cell>
          <cell r="R1987">
            <v>2.2365097588978098</v>
          </cell>
          <cell r="S1987">
            <v>272.15743700000002</v>
          </cell>
          <cell r="T1987">
            <v>1.30140186915887</v>
          </cell>
          <cell r="U1987">
            <v>259.376285</v>
          </cell>
          <cell r="V1987">
            <v>1.2429906542056</v>
          </cell>
        </row>
        <row r="1988">
          <cell r="A1988" t="str">
            <v>152303</v>
          </cell>
          <cell r="B1988">
            <v>9</v>
          </cell>
          <cell r="C1988">
            <v>0</v>
          </cell>
          <cell r="D1988">
            <v>0</v>
          </cell>
          <cell r="E1988">
            <v>0</v>
          </cell>
          <cell r="F1988">
            <v>0</v>
          </cell>
          <cell r="G1988">
            <v>0</v>
          </cell>
          <cell r="H1988">
            <v>0</v>
          </cell>
          <cell r="I1988">
            <v>0</v>
          </cell>
          <cell r="J1988">
            <v>0</v>
          </cell>
          <cell r="K1988">
            <v>0</v>
          </cell>
          <cell r="L1988">
            <v>0</v>
          </cell>
          <cell r="M1988">
            <v>0</v>
          </cell>
          <cell r="N1988">
            <v>0</v>
          </cell>
          <cell r="O1988">
            <v>13.514813999999999</v>
          </cell>
          <cell r="P1988">
            <v>0.22222222222222199</v>
          </cell>
          <cell r="Q1988">
            <v>13.514813999999999</v>
          </cell>
          <cell r="R1988">
            <v>0.22222222222222199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</row>
        <row r="1989">
          <cell r="A1989" t="str">
            <v>152309</v>
          </cell>
          <cell r="B1989">
            <v>1575.125</v>
          </cell>
          <cell r="C1989">
            <v>142.24473900000001</v>
          </cell>
          <cell r="D1989">
            <v>1.2429245283018799</v>
          </cell>
          <cell r="E1989">
            <v>142.24473900000001</v>
          </cell>
          <cell r="F1989">
            <v>1.2429245283018799</v>
          </cell>
          <cell r="G1989">
            <v>61.511440999999998</v>
          </cell>
          <cell r="H1989">
            <v>0.34805653710247297</v>
          </cell>
          <cell r="I1989">
            <v>59.682250000000003</v>
          </cell>
          <cell r="J1989">
            <v>0.34687868080094197</v>
          </cell>
          <cell r="K1989">
            <v>107.423496</v>
          </cell>
          <cell r="L1989">
            <v>0.403321470937129</v>
          </cell>
          <cell r="M1989">
            <v>104.02406000000001</v>
          </cell>
          <cell r="N1989">
            <v>0.40154211150652402</v>
          </cell>
          <cell r="O1989">
            <v>13.595487</v>
          </cell>
          <cell r="P1989">
            <v>0.15623136553369099</v>
          </cell>
          <cell r="Q1989">
            <v>13.595487</v>
          </cell>
          <cell r="R1989">
            <v>0.15623136553369099</v>
          </cell>
          <cell r="S1989">
            <v>495.15842700000002</v>
          </cell>
          <cell r="T1989">
            <v>2.0715447154471498</v>
          </cell>
          <cell r="U1989">
            <v>19.950284</v>
          </cell>
          <cell r="V1989">
            <v>0.21869918699186899</v>
          </cell>
        </row>
        <row r="1990">
          <cell r="A1990" t="str">
            <v>152701</v>
          </cell>
          <cell r="B1990">
            <v>1</v>
          </cell>
          <cell r="C1990">
            <v>0</v>
          </cell>
          <cell r="D1990">
            <v>0</v>
          </cell>
          <cell r="E1990">
            <v>0</v>
          </cell>
          <cell r="F1990">
            <v>0</v>
          </cell>
          <cell r="G1990">
            <v>0</v>
          </cell>
          <cell r="H1990">
            <v>0</v>
          </cell>
          <cell r="I1990">
            <v>0</v>
          </cell>
          <cell r="J1990">
            <v>0</v>
          </cell>
          <cell r="K1990">
            <v>928.46666600000003</v>
          </cell>
          <cell r="L1990">
            <v>2</v>
          </cell>
          <cell r="M1990">
            <v>253.216666</v>
          </cell>
          <cell r="N1990">
            <v>1</v>
          </cell>
          <cell r="O1990">
            <v>0</v>
          </cell>
          <cell r="P1990">
            <v>0</v>
          </cell>
          <cell r="Q1990">
            <v>0</v>
          </cell>
          <cell r="R1990">
            <v>0</v>
          </cell>
          <cell r="S1990">
            <v>592.16666599999996</v>
          </cell>
          <cell r="T1990">
            <v>1</v>
          </cell>
          <cell r="U1990">
            <v>592.16666599999996</v>
          </cell>
          <cell r="V1990">
            <v>1</v>
          </cell>
        </row>
        <row r="1991">
          <cell r="A1991" t="str">
            <v>152702</v>
          </cell>
          <cell r="B1991">
            <v>114.5</v>
          </cell>
          <cell r="C1991">
            <v>1119.368056</v>
          </cell>
          <cell r="D1991">
            <v>3.26582278481012</v>
          </cell>
          <cell r="E1991">
            <v>570.53923199999997</v>
          </cell>
          <cell r="F1991">
            <v>2.2341772151898698</v>
          </cell>
          <cell r="G1991">
            <v>271.24874299999999</v>
          </cell>
          <cell r="H1991">
            <v>2.0492957746478799</v>
          </cell>
          <cell r="I1991">
            <v>271.24874299999999</v>
          </cell>
          <cell r="J1991">
            <v>2.0492957746478799</v>
          </cell>
          <cell r="K1991">
            <v>141.05491799999999</v>
          </cell>
          <cell r="L1991">
            <v>0.57377049180327799</v>
          </cell>
          <cell r="M1991">
            <v>141.05491799999999</v>
          </cell>
          <cell r="N1991">
            <v>0.57377049180327799</v>
          </cell>
          <cell r="O1991">
            <v>2857.2360779999999</v>
          </cell>
          <cell r="P1991">
            <v>4.4235294117646999</v>
          </cell>
          <cell r="Q1991">
            <v>453.55568599999998</v>
          </cell>
          <cell r="R1991">
            <v>1.98823529411764</v>
          </cell>
          <cell r="S1991">
            <v>2264.8903599999999</v>
          </cell>
          <cell r="T1991">
            <v>1.5783132530120401</v>
          </cell>
          <cell r="U1991">
            <v>328.20722799999999</v>
          </cell>
          <cell r="V1991">
            <v>0.421686746987951</v>
          </cell>
        </row>
        <row r="1992">
          <cell r="A1992" t="str">
            <v>152703</v>
          </cell>
          <cell r="B1992">
            <v>499</v>
          </cell>
          <cell r="C1992">
            <v>2009.114775</v>
          </cell>
          <cell r="D1992">
            <v>3.15</v>
          </cell>
          <cell r="E1992">
            <v>705.08334000000002</v>
          </cell>
          <cell r="F1992">
            <v>2.4500000000000002</v>
          </cell>
          <cell r="G1992">
            <v>38.133000000000003</v>
          </cell>
          <cell r="H1992">
            <v>0.23446893787575099</v>
          </cell>
          <cell r="I1992">
            <v>36.394409000000003</v>
          </cell>
          <cell r="J1992">
            <v>0.23246492985971901</v>
          </cell>
          <cell r="K1992">
            <v>714.66846899999996</v>
          </cell>
          <cell r="L1992">
            <v>1.64328657314629</v>
          </cell>
          <cell r="M1992">
            <v>48.381095000000002</v>
          </cell>
          <cell r="N1992">
            <v>0.72745490981963901</v>
          </cell>
          <cell r="O1992">
            <v>337.00938400000001</v>
          </cell>
          <cell r="P1992">
            <v>1.2605210420841599</v>
          </cell>
          <cell r="Q1992">
            <v>24.321007999999999</v>
          </cell>
          <cell r="R1992">
            <v>0.23246492985971901</v>
          </cell>
          <cell r="S1992">
            <v>2244.4085669999999</v>
          </cell>
          <cell r="T1992">
            <v>2.2449799196787099</v>
          </cell>
          <cell r="U1992">
            <v>399.71830599999998</v>
          </cell>
          <cell r="V1992">
            <v>1.1244979919678699</v>
          </cell>
        </row>
        <row r="1993">
          <cell r="A1993" t="str">
            <v>152801</v>
          </cell>
          <cell r="B1993">
            <v>312.8</v>
          </cell>
          <cell r="C1993">
            <v>3801.9219149999999</v>
          </cell>
          <cell r="D1993">
            <v>1.4285714285714199</v>
          </cell>
          <cell r="E1993">
            <v>72.106736999999995</v>
          </cell>
          <cell r="F1993">
            <v>0.61587301587301502</v>
          </cell>
          <cell r="G1993">
            <v>787.77385400000003</v>
          </cell>
          <cell r="H1993">
            <v>0.52715654952076596</v>
          </cell>
          <cell r="I1993">
            <v>33.935369000000001</v>
          </cell>
          <cell r="J1993">
            <v>9.2651757188498399E-2</v>
          </cell>
          <cell r="K1993">
            <v>526.36533899999995</v>
          </cell>
          <cell r="L1993">
            <v>0.50318471337579596</v>
          </cell>
          <cell r="M1993">
            <v>46.133386000000002</v>
          </cell>
          <cell r="N1993">
            <v>0.34076433121019101</v>
          </cell>
          <cell r="O1993">
            <v>126.531682</v>
          </cell>
          <cell r="P1993">
            <v>0.71884984025559095</v>
          </cell>
          <cell r="Q1993">
            <v>70.990680999999995</v>
          </cell>
          <cell r="R1993">
            <v>0.43769968051118202</v>
          </cell>
          <cell r="S1993">
            <v>701.00582399999996</v>
          </cell>
          <cell r="T1993">
            <v>2.8187702265372101</v>
          </cell>
          <cell r="U1993">
            <v>644.67691400000001</v>
          </cell>
          <cell r="V1993">
            <v>2.55663430420711</v>
          </cell>
        </row>
        <row r="1994">
          <cell r="A1994" t="str">
            <v>152901</v>
          </cell>
          <cell r="B1994">
            <v>1</v>
          </cell>
          <cell r="C1994">
            <v>0</v>
          </cell>
          <cell r="D1994">
            <v>0</v>
          </cell>
          <cell r="E1994">
            <v>0</v>
          </cell>
          <cell r="F1994">
            <v>0</v>
          </cell>
          <cell r="G1994">
            <v>0</v>
          </cell>
          <cell r="H1994">
            <v>0</v>
          </cell>
          <cell r="I1994">
            <v>0</v>
          </cell>
          <cell r="J1994">
            <v>0</v>
          </cell>
          <cell r="K1994">
            <v>0</v>
          </cell>
          <cell r="L1994">
            <v>0</v>
          </cell>
          <cell r="M1994">
            <v>0</v>
          </cell>
          <cell r="N1994">
            <v>0</v>
          </cell>
          <cell r="O1994">
            <v>0</v>
          </cell>
          <cell r="P1994">
            <v>0</v>
          </cell>
          <cell r="Q1994">
            <v>0</v>
          </cell>
          <cell r="R1994">
            <v>0</v>
          </cell>
          <cell r="S1994">
            <v>382.11666600000001</v>
          </cell>
          <cell r="T1994">
            <v>1</v>
          </cell>
          <cell r="U1994">
            <v>382.11666600000001</v>
          </cell>
          <cell r="V1994">
            <v>1</v>
          </cell>
        </row>
        <row r="1995">
          <cell r="A1995" t="str">
            <v>153001</v>
          </cell>
          <cell r="B1995">
            <v>420</v>
          </cell>
          <cell r="C1995">
            <v>376.30523099999999</v>
          </cell>
          <cell r="D1995">
            <v>0.211401425178147</v>
          </cell>
          <cell r="E1995">
            <v>19.777101999999999</v>
          </cell>
          <cell r="F1995">
            <v>7.8384798099762398E-2</v>
          </cell>
          <cell r="G1995">
            <v>647.11874499999999</v>
          </cell>
          <cell r="H1995">
            <v>3.7446808510638201</v>
          </cell>
          <cell r="I1995">
            <v>572.73058100000003</v>
          </cell>
          <cell r="J1995">
            <v>3.47281323877068</v>
          </cell>
          <cell r="K1995">
            <v>662.77078300000005</v>
          </cell>
          <cell r="L1995">
            <v>1.85985748218527</v>
          </cell>
          <cell r="M1995">
            <v>260.900237</v>
          </cell>
          <cell r="N1995">
            <v>1.7268408551068799</v>
          </cell>
          <cell r="O1995">
            <v>1962.135043</v>
          </cell>
          <cell r="P1995">
            <v>6.0405727923627603</v>
          </cell>
          <cell r="Q1995">
            <v>974.59387400000003</v>
          </cell>
          <cell r="R1995">
            <v>4.8735083532219496</v>
          </cell>
          <cell r="S1995">
            <v>5003.8050469999998</v>
          </cell>
          <cell r="T1995">
            <v>10.456730769230701</v>
          </cell>
          <cell r="U1995">
            <v>1631.8095350000001</v>
          </cell>
          <cell r="V1995">
            <v>6.8028846153846096</v>
          </cell>
        </row>
        <row r="1996">
          <cell r="A1996" t="str">
            <v>153002</v>
          </cell>
          <cell r="B1996">
            <v>450</v>
          </cell>
          <cell r="C1996">
            <v>279.17012199999999</v>
          </cell>
          <cell r="D1996">
            <v>0.19739696312364399</v>
          </cell>
          <cell r="E1996">
            <v>35.753238000000003</v>
          </cell>
          <cell r="F1996">
            <v>9.5444685466377396E-2</v>
          </cell>
          <cell r="G1996">
            <v>310.61661199999998</v>
          </cell>
          <cell r="H1996">
            <v>1.71521739130434</v>
          </cell>
          <cell r="I1996">
            <v>283.22498300000001</v>
          </cell>
          <cell r="J1996">
            <v>1.6326086956521699</v>
          </cell>
          <cell r="K1996">
            <v>1110.3344059999999</v>
          </cell>
          <cell r="L1996">
            <v>1.46888888888888</v>
          </cell>
          <cell r="M1996">
            <v>238.06451799999999</v>
          </cell>
          <cell r="N1996">
            <v>1.11777777777777</v>
          </cell>
          <cell r="O1996">
            <v>644.70857699999999</v>
          </cell>
          <cell r="P1996">
            <v>1.94808126410835</v>
          </cell>
          <cell r="Q1996">
            <v>221.00699700000001</v>
          </cell>
          <cell r="R1996">
            <v>1.54176072234762</v>
          </cell>
          <cell r="S1996">
            <v>468.50214</v>
          </cell>
          <cell r="T1996">
            <v>2.2752293577981599</v>
          </cell>
          <cell r="U1996">
            <v>353.85768300000001</v>
          </cell>
          <cell r="V1996">
            <v>1.9564220183486201</v>
          </cell>
        </row>
        <row r="1997">
          <cell r="A1997" t="str">
            <v>153601</v>
          </cell>
          <cell r="B1997">
            <v>864.4</v>
          </cell>
          <cell r="C1997">
            <v>751.27220399999999</v>
          </cell>
          <cell r="D1997">
            <v>1.7854741089441799</v>
          </cell>
          <cell r="E1997">
            <v>197.565449</v>
          </cell>
          <cell r="F1997">
            <v>1.13987895090786</v>
          </cell>
          <cell r="G1997">
            <v>190.26614699999999</v>
          </cell>
          <cell r="H1997">
            <v>0.54722222222222205</v>
          </cell>
          <cell r="I1997">
            <v>59.982314000000002</v>
          </cell>
          <cell r="J1997">
            <v>0.37361111111111101</v>
          </cell>
          <cell r="K1997">
            <v>581.73077699999999</v>
          </cell>
          <cell r="L1997">
            <v>3.0984528832630001</v>
          </cell>
          <cell r="M1997">
            <v>456.55501600000002</v>
          </cell>
          <cell r="N1997">
            <v>3.0196905766526001</v>
          </cell>
          <cell r="O1997">
            <v>2924.5801959999999</v>
          </cell>
          <cell r="P1997">
            <v>4.1767241379310303</v>
          </cell>
          <cell r="Q1997">
            <v>347.19628799999998</v>
          </cell>
          <cell r="R1997">
            <v>2.0847701149425202</v>
          </cell>
          <cell r="S1997">
            <v>18.126199</v>
          </cell>
          <cell r="T1997">
            <v>0.12711864406779599</v>
          </cell>
          <cell r="U1997">
            <v>8.3762469999999993</v>
          </cell>
          <cell r="V1997">
            <v>0.100282485875706</v>
          </cell>
        </row>
        <row r="1998">
          <cell r="A1998" t="str">
            <v>153602</v>
          </cell>
          <cell r="B1998">
            <v>256.33333299999998</v>
          </cell>
          <cell r="C1998">
            <v>305.068759</v>
          </cell>
          <cell r="D1998">
            <v>2.9018867924528302</v>
          </cell>
          <cell r="E1998">
            <v>305.068759</v>
          </cell>
          <cell r="F1998">
            <v>2.9018867924528302</v>
          </cell>
          <cell r="G1998">
            <v>1149.042903</v>
          </cell>
          <cell r="H1998">
            <v>0.87593984962406002</v>
          </cell>
          <cell r="I1998">
            <v>0</v>
          </cell>
          <cell r="J1998">
            <v>0</v>
          </cell>
          <cell r="K1998">
            <v>31.017610000000001</v>
          </cell>
          <cell r="L1998">
            <v>7.1698113207547098E-2</v>
          </cell>
          <cell r="M1998">
            <v>0</v>
          </cell>
          <cell r="N1998">
            <v>0</v>
          </cell>
          <cell r="O1998">
            <v>4275.2889789999999</v>
          </cell>
          <cell r="P1998">
            <v>4.3842975206611499</v>
          </cell>
          <cell r="Q1998">
            <v>713.42190000000005</v>
          </cell>
          <cell r="R1998">
            <v>2.72727272727272</v>
          </cell>
          <cell r="S1998">
            <v>45.426226999999997</v>
          </cell>
          <cell r="T1998">
            <v>0.91085271317829397</v>
          </cell>
          <cell r="U1998">
            <v>45.426226999999997</v>
          </cell>
          <cell r="V1998">
            <v>0.91085271317829397</v>
          </cell>
        </row>
        <row r="1999">
          <cell r="A1999" t="str">
            <v>154101</v>
          </cell>
          <cell r="B1999">
            <v>850.8</v>
          </cell>
          <cell r="C1999">
            <v>870.41031299999997</v>
          </cell>
          <cell r="D1999">
            <v>4.7098646034816198</v>
          </cell>
          <cell r="E1999">
            <v>596.84632799999997</v>
          </cell>
          <cell r="F1999">
            <v>4.4719535783365503</v>
          </cell>
          <cell r="G1999">
            <v>1123.4328680000001</v>
          </cell>
          <cell r="H1999">
            <v>2.1243414120126398</v>
          </cell>
          <cell r="I1999">
            <v>313.61500100000001</v>
          </cell>
          <cell r="J1999">
            <v>1.4004214963118999</v>
          </cell>
          <cell r="K1999">
            <v>641.73105299999997</v>
          </cell>
          <cell r="L1999">
            <v>1.1399787910922501</v>
          </cell>
          <cell r="M1999">
            <v>102.363326</v>
          </cell>
          <cell r="N1999">
            <v>0.76776246023329697</v>
          </cell>
          <cell r="O1999">
            <v>287.73179099999999</v>
          </cell>
          <cell r="P1999">
            <v>0.49139784946236498</v>
          </cell>
          <cell r="Q1999">
            <v>73.908278999999993</v>
          </cell>
          <cell r="R1999">
            <v>0.43333333333333302</v>
          </cell>
          <cell r="S1999">
            <v>443.79342400000002</v>
          </cell>
          <cell r="T1999">
            <v>1.0841530054644799</v>
          </cell>
          <cell r="U1999">
            <v>173.575446</v>
          </cell>
          <cell r="V1999">
            <v>0.91584699453551899</v>
          </cell>
        </row>
        <row r="2000">
          <cell r="A2000" t="str">
            <v>154102</v>
          </cell>
          <cell r="B2000">
            <v>551.20000000000005</v>
          </cell>
          <cell r="C2000">
            <v>444.49922900000001</v>
          </cell>
          <cell r="D2000">
            <v>4.3894472361809003</v>
          </cell>
          <cell r="E2000">
            <v>436.17572000000001</v>
          </cell>
          <cell r="F2000">
            <v>4.3768844221105496</v>
          </cell>
          <cell r="G2000">
            <v>115.518297</v>
          </cell>
          <cell r="H2000">
            <v>0.38602329450915102</v>
          </cell>
          <cell r="I2000">
            <v>102.22373399999999</v>
          </cell>
          <cell r="J2000">
            <v>0.38103161397670499</v>
          </cell>
          <cell r="K2000">
            <v>1698.696925</v>
          </cell>
          <cell r="L2000">
            <v>2.4094754653130201</v>
          </cell>
          <cell r="M2000">
            <v>583.06872499999997</v>
          </cell>
          <cell r="N2000">
            <v>2.12351945854483</v>
          </cell>
          <cell r="O2000">
            <v>316.30366800000002</v>
          </cell>
          <cell r="P2000">
            <v>1.5665529010238901</v>
          </cell>
          <cell r="Q2000">
            <v>92.188025999999994</v>
          </cell>
          <cell r="R2000">
            <v>0.91638225255972605</v>
          </cell>
          <cell r="S2000">
            <v>1420.1301430000001</v>
          </cell>
          <cell r="T2000">
            <v>3.7896551724137901</v>
          </cell>
          <cell r="U2000">
            <v>438.32919500000003</v>
          </cell>
          <cell r="V2000">
            <v>2.4310344827586201</v>
          </cell>
        </row>
        <row r="2001">
          <cell r="A2001" t="str">
            <v>154201</v>
          </cell>
          <cell r="B2001">
            <v>750.2</v>
          </cell>
          <cell r="C2001">
            <v>2890.9371310000001</v>
          </cell>
          <cell r="D2001">
            <v>5.3143989431968199</v>
          </cell>
          <cell r="E2001">
            <v>1135.0479829999999</v>
          </cell>
          <cell r="F2001">
            <v>4.0620871862615502</v>
          </cell>
          <cell r="G2001">
            <v>1680.6354699999999</v>
          </cell>
          <cell r="H2001">
            <v>2.9145527369826398</v>
          </cell>
          <cell r="I2001">
            <v>495.67460299999999</v>
          </cell>
          <cell r="J2001">
            <v>2.2670226969292302</v>
          </cell>
          <cell r="K2001">
            <v>1680.869443</v>
          </cell>
          <cell r="L2001">
            <v>4.0546666666666598</v>
          </cell>
          <cell r="M2001">
            <v>133.73428799999999</v>
          </cell>
          <cell r="N2001">
            <v>0.91066666666666596</v>
          </cell>
          <cell r="O2001">
            <v>1444.7038709999999</v>
          </cell>
          <cell r="P2001">
            <v>3.08144192256341</v>
          </cell>
          <cell r="Q2001">
            <v>195.015376</v>
          </cell>
          <cell r="R2001">
            <v>1.18157543391188</v>
          </cell>
          <cell r="S2001">
            <v>1017.400156</v>
          </cell>
          <cell r="T2001">
            <v>4.2345844504021404</v>
          </cell>
          <cell r="U2001">
            <v>598.96997299999998</v>
          </cell>
          <cell r="V2001">
            <v>3.0482573726541502</v>
          </cell>
        </row>
        <row r="2002">
          <cell r="A2002" t="str">
            <v>154202</v>
          </cell>
          <cell r="B2002">
            <v>460.6</v>
          </cell>
          <cell r="C2002">
            <v>1427.3090589999999</v>
          </cell>
          <cell r="D2002">
            <v>3.5416666666666599</v>
          </cell>
          <cell r="E2002">
            <v>484.44353899999999</v>
          </cell>
          <cell r="F2002">
            <v>2.4810606060606002</v>
          </cell>
          <cell r="G2002">
            <v>123.88404</v>
          </cell>
          <cell r="H2002">
            <v>0.43190661478599202</v>
          </cell>
          <cell r="I2002">
            <v>118.268339</v>
          </cell>
          <cell r="J2002">
            <v>0.42996108949416301</v>
          </cell>
          <cell r="K2002">
            <v>745.96487500000001</v>
          </cell>
          <cell r="L2002">
            <v>1.359375</v>
          </cell>
          <cell r="M2002">
            <v>79.683527999999995</v>
          </cell>
          <cell r="N2002">
            <v>0.521484375</v>
          </cell>
          <cell r="O2002">
            <v>148.160718</v>
          </cell>
          <cell r="P2002">
            <v>0.78431372549019596</v>
          </cell>
          <cell r="Q2002">
            <v>60.972678999999999</v>
          </cell>
          <cell r="R2002">
            <v>0.58235294117646996</v>
          </cell>
          <cell r="S2002">
            <v>712.550297</v>
          </cell>
          <cell r="T2002">
            <v>2.8111332007952199</v>
          </cell>
          <cell r="U2002">
            <v>356.588369</v>
          </cell>
          <cell r="V2002">
            <v>1.86878727634194</v>
          </cell>
        </row>
        <row r="2003">
          <cell r="A2003" t="str">
            <v>154301</v>
          </cell>
          <cell r="B2003">
            <v>1712</v>
          </cell>
          <cell r="C2003">
            <v>6247.0081499999997</v>
          </cell>
          <cell r="D2003">
            <v>5.7548321464903296</v>
          </cell>
          <cell r="E2003">
            <v>668.18056999999999</v>
          </cell>
          <cell r="F2003">
            <v>3.5269582909460802</v>
          </cell>
          <cell r="G2003">
            <v>470.51209899999998</v>
          </cell>
          <cell r="H2003">
            <v>2.7030681227249</v>
          </cell>
          <cell r="I2003">
            <v>259.415525</v>
          </cell>
          <cell r="J2003">
            <v>2.00572022880915</v>
          </cell>
          <cell r="K2003">
            <v>2248.9336629999998</v>
          </cell>
          <cell r="L2003">
            <v>3.5726987447698701</v>
          </cell>
          <cell r="M2003">
            <v>236.259457</v>
          </cell>
          <cell r="N2003">
            <v>1.7050209205020901</v>
          </cell>
          <cell r="O2003">
            <v>1342.1421479999999</v>
          </cell>
          <cell r="P2003">
            <v>5.4180371352785102</v>
          </cell>
          <cell r="Q2003">
            <v>696.93301499999995</v>
          </cell>
          <cell r="R2003">
            <v>3.7554376657824902</v>
          </cell>
          <cell r="S2003">
            <v>6114.0134879999996</v>
          </cell>
          <cell r="T2003">
            <v>3.7592891760904599</v>
          </cell>
          <cell r="U2003">
            <v>456.05039399999998</v>
          </cell>
          <cell r="V2003">
            <v>2.13139472267097</v>
          </cell>
        </row>
        <row r="2004">
          <cell r="A2004" t="str">
            <v>154302</v>
          </cell>
          <cell r="B2004">
            <v>768.6</v>
          </cell>
          <cell r="C2004">
            <v>1883.4490699999999</v>
          </cell>
          <cell r="D2004">
            <v>3.3665389527458398</v>
          </cell>
          <cell r="E2004">
            <v>435.18504999999999</v>
          </cell>
          <cell r="F2004">
            <v>2.4240102171136599</v>
          </cell>
          <cell r="G2004">
            <v>1371.31656</v>
          </cell>
          <cell r="H2004">
            <v>4.1222651222651203</v>
          </cell>
          <cell r="I2004">
            <v>366.53830499999998</v>
          </cell>
          <cell r="J2004">
            <v>1.78635778635778</v>
          </cell>
          <cell r="K2004">
            <v>1219.5580629999999</v>
          </cell>
          <cell r="L2004">
            <v>2.6688227684346701</v>
          </cell>
          <cell r="M2004">
            <v>205.63984400000001</v>
          </cell>
          <cell r="N2004">
            <v>1.8033635187580801</v>
          </cell>
          <cell r="O2004">
            <v>1198.4721050000001</v>
          </cell>
          <cell r="P2004">
            <v>1.63979193758127</v>
          </cell>
          <cell r="Q2004">
            <v>612.68608500000005</v>
          </cell>
          <cell r="R2004">
            <v>1.3446033810143001</v>
          </cell>
          <cell r="S2004">
            <v>3254.2372690000002</v>
          </cell>
          <cell r="T2004">
            <v>3.1147098515519498</v>
          </cell>
          <cell r="U2004">
            <v>230.55247399999999</v>
          </cell>
          <cell r="V2004">
            <v>2.1713900134952699</v>
          </cell>
        </row>
        <row r="2005">
          <cell r="A2005" t="str">
            <v>154501</v>
          </cell>
          <cell r="B2005">
            <v>1093.5999999999999</v>
          </cell>
          <cell r="C2005">
            <v>136.395353</v>
          </cell>
          <cell r="D2005">
            <v>0.23774954627949099</v>
          </cell>
          <cell r="E2005">
            <v>54.154311</v>
          </cell>
          <cell r="F2005">
            <v>0.21869328493647899</v>
          </cell>
          <cell r="G2005">
            <v>111.530948</v>
          </cell>
          <cell r="H2005">
            <v>0.15063520871143299</v>
          </cell>
          <cell r="I2005">
            <v>12.024494000000001</v>
          </cell>
          <cell r="J2005">
            <v>0.10344827586206801</v>
          </cell>
          <cell r="K2005">
            <v>206.121711</v>
          </cell>
          <cell r="L2005">
            <v>0.55909090909090897</v>
          </cell>
          <cell r="M2005">
            <v>56.222695999999999</v>
          </cell>
          <cell r="N2005">
            <v>0.35</v>
          </cell>
          <cell r="O2005">
            <v>143.96491</v>
          </cell>
          <cell r="P2005">
            <v>0.23534798534798501</v>
          </cell>
          <cell r="Q2005">
            <v>8.7868890000000004</v>
          </cell>
          <cell r="R2005">
            <v>0.119963369963369</v>
          </cell>
          <cell r="S2005">
            <v>282.86046299999998</v>
          </cell>
          <cell r="T2005">
            <v>0.35541044776119401</v>
          </cell>
          <cell r="U2005">
            <v>12.357649</v>
          </cell>
          <cell r="V2005">
            <v>0.15671641791044699</v>
          </cell>
        </row>
        <row r="2006">
          <cell r="A2006" t="str">
            <v>154502</v>
          </cell>
          <cell r="B2006">
            <v>294.60000000000002</v>
          </cell>
          <cell r="C2006">
            <v>1097.64831</v>
          </cell>
          <cell r="D2006">
            <v>1.28231292517006</v>
          </cell>
          <cell r="E2006">
            <v>92.420321999999999</v>
          </cell>
          <cell r="F2006">
            <v>0.56462585034013602</v>
          </cell>
          <cell r="G2006">
            <v>609.68027700000005</v>
          </cell>
          <cell r="H2006">
            <v>1.47260273972602</v>
          </cell>
          <cell r="I2006">
            <v>123.83967</v>
          </cell>
          <cell r="J2006">
            <v>1.1883561643835601</v>
          </cell>
          <cell r="K2006">
            <v>446.70736199999999</v>
          </cell>
          <cell r="L2006">
            <v>1.40410958904109</v>
          </cell>
          <cell r="M2006">
            <v>249.903595</v>
          </cell>
          <cell r="N2006">
            <v>1.2431506849314999</v>
          </cell>
          <cell r="O2006">
            <v>268.28839499999998</v>
          </cell>
          <cell r="P2006">
            <v>0.41296928327644999</v>
          </cell>
          <cell r="Q2006">
            <v>172.538794</v>
          </cell>
          <cell r="R2006">
            <v>0.30034129692832701</v>
          </cell>
          <cell r="S2006">
            <v>336.162913</v>
          </cell>
          <cell r="T2006">
            <v>0.46688741721854299</v>
          </cell>
          <cell r="U2006">
            <v>43.740893999999997</v>
          </cell>
          <cell r="V2006">
            <v>0.31125827814569501</v>
          </cell>
        </row>
        <row r="2007">
          <cell r="A2007" t="str">
            <v>154601</v>
          </cell>
          <cell r="B2007">
            <v>854</v>
          </cell>
          <cell r="C2007">
            <v>141.32172600000001</v>
          </cell>
          <cell r="D2007">
            <v>0.85224274406332401</v>
          </cell>
          <cell r="E2007">
            <v>123.37132699999999</v>
          </cell>
          <cell r="F2007">
            <v>0.80211081794195205</v>
          </cell>
          <cell r="G2007">
            <v>221.17730599999999</v>
          </cell>
          <cell r="H2007">
            <v>0.99327354260089595</v>
          </cell>
          <cell r="I2007">
            <v>221.17730599999999</v>
          </cell>
          <cell r="J2007">
            <v>0.99327354260089595</v>
          </cell>
          <cell r="K2007">
            <v>2633.193178</v>
          </cell>
          <cell r="L2007">
            <v>3.1217587373167901</v>
          </cell>
          <cell r="M2007">
            <v>142.105298</v>
          </cell>
          <cell r="N2007">
            <v>0.71138669673055199</v>
          </cell>
          <cell r="O2007">
            <v>1357.273514</v>
          </cell>
          <cell r="P2007">
            <v>5.7162315550510696</v>
          </cell>
          <cell r="Q2007">
            <v>922.205107</v>
          </cell>
          <cell r="R2007">
            <v>4.9284903518728704</v>
          </cell>
          <cell r="S2007">
            <v>1268.084863</v>
          </cell>
          <cell r="T2007">
            <v>2.33409873708381</v>
          </cell>
          <cell r="U2007">
            <v>481.12160299999999</v>
          </cell>
          <cell r="V2007">
            <v>1.6934557979334</v>
          </cell>
        </row>
        <row r="2008">
          <cell r="A2008" t="str">
            <v>154602</v>
          </cell>
          <cell r="B2008">
            <v>1115.444444</v>
          </cell>
          <cell r="C2008">
            <v>153.03130400000001</v>
          </cell>
          <cell r="D2008">
            <v>1.5603532875368</v>
          </cell>
          <cell r="E2008">
            <v>153.03130400000001</v>
          </cell>
          <cell r="F2008">
            <v>1.5603532875368</v>
          </cell>
          <cell r="G2008">
            <v>645.65357600000004</v>
          </cell>
          <cell r="H2008">
            <v>2.31410825199645</v>
          </cell>
          <cell r="I2008">
            <v>458.92562500000003</v>
          </cell>
          <cell r="J2008">
            <v>2.2058562555456902</v>
          </cell>
          <cell r="K2008">
            <v>2789.6613860000002</v>
          </cell>
          <cell r="L2008">
            <v>3.3859804791481798</v>
          </cell>
          <cell r="M2008">
            <v>269.078305</v>
          </cell>
          <cell r="N2008">
            <v>1.1295474711623701</v>
          </cell>
          <cell r="O2008">
            <v>616.38069599999994</v>
          </cell>
          <cell r="P2008">
            <v>2.7235555555555502</v>
          </cell>
          <cell r="Q2008">
            <v>561.85638500000005</v>
          </cell>
          <cell r="R2008">
            <v>2.5840000000000001</v>
          </cell>
          <cell r="S2008">
            <v>3082.4109039999998</v>
          </cell>
          <cell r="T2008">
            <v>4.8081343943412902</v>
          </cell>
          <cell r="U2008">
            <v>807.28109300000006</v>
          </cell>
          <cell r="V2008">
            <v>2.6799292661361598</v>
          </cell>
        </row>
        <row r="2009">
          <cell r="A2009" t="str">
            <v>154901</v>
          </cell>
          <cell r="B2009">
            <v>605</v>
          </cell>
          <cell r="C2009">
            <v>558.26776700000005</v>
          </cell>
          <cell r="D2009">
            <v>0.85433715220949202</v>
          </cell>
          <cell r="E2009">
            <v>41.650329999999997</v>
          </cell>
          <cell r="F2009">
            <v>0.214402618657937</v>
          </cell>
          <cell r="G2009">
            <v>222.62719899999999</v>
          </cell>
          <cell r="H2009">
            <v>0.77392739273927302</v>
          </cell>
          <cell r="I2009">
            <v>28.448761000000001</v>
          </cell>
          <cell r="J2009">
            <v>0.28382838283828299</v>
          </cell>
          <cell r="K2009">
            <v>2524.3380430000002</v>
          </cell>
          <cell r="L2009">
            <v>3.5074380165289201</v>
          </cell>
          <cell r="M2009">
            <v>116.419724</v>
          </cell>
          <cell r="N2009">
            <v>1.3570247933884201</v>
          </cell>
          <cell r="O2009">
            <v>23.610336</v>
          </cell>
          <cell r="P2009">
            <v>0.20895522388059701</v>
          </cell>
          <cell r="Q2009">
            <v>22.177638999999999</v>
          </cell>
          <cell r="R2009">
            <v>0.15091210613598599</v>
          </cell>
          <cell r="S2009">
            <v>1901.4436370000001</v>
          </cell>
          <cell r="T2009">
            <v>1.03999999999999</v>
          </cell>
          <cell r="U2009">
            <v>15.897249</v>
          </cell>
          <cell r="V2009">
            <v>5.3333333333333302E-2</v>
          </cell>
        </row>
        <row r="2010">
          <cell r="A2010" t="str">
            <v>154902</v>
          </cell>
          <cell r="B2010">
            <v>747</v>
          </cell>
          <cell r="C2010">
            <v>374.68544000000003</v>
          </cell>
          <cell r="D2010">
            <v>0.81635388739946302</v>
          </cell>
          <cell r="E2010">
            <v>41.489401999999998</v>
          </cell>
          <cell r="F2010">
            <v>0.72520107238605802</v>
          </cell>
          <cell r="G2010">
            <v>19.076644999999999</v>
          </cell>
          <cell r="H2010">
            <v>0.14285714285714199</v>
          </cell>
          <cell r="I2010">
            <v>19.076644999999999</v>
          </cell>
          <cell r="J2010">
            <v>0.14285714285714199</v>
          </cell>
          <cell r="K2010">
            <v>79.702980999999994</v>
          </cell>
          <cell r="L2010">
            <v>0.31775700934579398</v>
          </cell>
          <cell r="M2010">
            <v>24.396705999999998</v>
          </cell>
          <cell r="N2010">
            <v>0.30173564753004001</v>
          </cell>
          <cell r="O2010">
            <v>28.795176000000001</v>
          </cell>
          <cell r="P2010">
            <v>0.25066666666666598</v>
          </cell>
          <cell r="Q2010">
            <v>21.865798999999999</v>
          </cell>
          <cell r="R2010">
            <v>0.229333333333333</v>
          </cell>
          <cell r="S2010">
            <v>304.37825600000002</v>
          </cell>
          <cell r="T2010">
            <v>1.1199460916441999</v>
          </cell>
          <cell r="U2010">
            <v>35.900089000000001</v>
          </cell>
          <cell r="V2010">
            <v>0.107816711590296</v>
          </cell>
        </row>
        <row r="2011">
          <cell r="A2011" t="str">
            <v>154903</v>
          </cell>
          <cell r="B2011">
            <v>645</v>
          </cell>
          <cell r="C2011">
            <v>564.25108899999998</v>
          </cell>
          <cell r="D2011">
            <v>3.6145510835913299</v>
          </cell>
          <cell r="E2011">
            <v>409.27300600000001</v>
          </cell>
          <cell r="F2011">
            <v>2.9427244582043302</v>
          </cell>
          <cell r="G2011">
            <v>86.403193000000002</v>
          </cell>
          <cell r="H2011">
            <v>0.68778979907264204</v>
          </cell>
          <cell r="I2011">
            <v>86.403193000000002</v>
          </cell>
          <cell r="J2011">
            <v>0.68778979907264204</v>
          </cell>
          <cell r="K2011">
            <v>82.381840999999994</v>
          </cell>
          <cell r="L2011">
            <v>0.422839506172839</v>
          </cell>
          <cell r="M2011">
            <v>80.464146</v>
          </cell>
          <cell r="N2011">
            <v>0.421296296296296</v>
          </cell>
          <cell r="O2011">
            <v>141.713111</v>
          </cell>
          <cell r="P2011">
            <v>1.00309119010819</v>
          </cell>
          <cell r="Q2011">
            <v>141.713111</v>
          </cell>
          <cell r="R2011">
            <v>1.00309119010819</v>
          </cell>
          <cell r="S2011">
            <v>160.44548599999999</v>
          </cell>
          <cell r="T2011">
            <v>0.77934272300469398</v>
          </cell>
          <cell r="U2011">
            <v>157.54999900000001</v>
          </cell>
          <cell r="V2011">
            <v>0.77308294209702599</v>
          </cell>
        </row>
        <row r="2012">
          <cell r="A2012" t="str">
            <v>155001</v>
          </cell>
          <cell r="B2012">
            <v>416.44444399999998</v>
          </cell>
          <cell r="C2012">
            <v>41.350935999999997</v>
          </cell>
          <cell r="D2012">
            <v>0.23557692307692299</v>
          </cell>
          <cell r="E2012">
            <v>41.350935999999997</v>
          </cell>
          <cell r="F2012">
            <v>0.23557692307692299</v>
          </cell>
          <cell r="G2012">
            <v>537.78810199999998</v>
          </cell>
          <cell r="H2012">
            <v>1.60817307692307</v>
          </cell>
          <cell r="I2012">
            <v>322.06234599999999</v>
          </cell>
          <cell r="J2012">
            <v>1.4567307692307601</v>
          </cell>
          <cell r="K2012">
            <v>1363.7253370000001</v>
          </cell>
          <cell r="L2012">
            <v>2.92840095465393</v>
          </cell>
          <cell r="M2012">
            <v>636.491805</v>
          </cell>
          <cell r="N2012">
            <v>1.8114558472553599</v>
          </cell>
          <cell r="O2012">
            <v>261.58317199999999</v>
          </cell>
          <cell r="P2012">
            <v>1.30215827338129</v>
          </cell>
          <cell r="Q2012">
            <v>199.104196</v>
          </cell>
          <cell r="R2012">
            <v>1.16546762589928</v>
          </cell>
          <cell r="S2012">
            <v>1047.0418669999999</v>
          </cell>
          <cell r="T2012">
            <v>3.6328502415458899</v>
          </cell>
          <cell r="U2012">
            <v>619.56332499999996</v>
          </cell>
          <cell r="V2012">
            <v>3.14251207729468</v>
          </cell>
        </row>
        <row r="2013">
          <cell r="A2013" t="str">
            <v>155002</v>
          </cell>
          <cell r="B2013">
            <v>990.375</v>
          </cell>
          <cell r="C2013">
            <v>135.105921</v>
          </cell>
          <cell r="D2013">
            <v>1.44731404958677</v>
          </cell>
          <cell r="E2013">
            <v>135.105921</v>
          </cell>
          <cell r="F2013">
            <v>1.44731404958677</v>
          </cell>
          <cell r="G2013">
            <v>16.389178999999999</v>
          </cell>
          <cell r="H2013">
            <v>6.4814814814814797E-2</v>
          </cell>
          <cell r="I2013">
            <v>14.256888</v>
          </cell>
          <cell r="J2013">
            <v>6.0699588477366201E-2</v>
          </cell>
          <cell r="K2013">
            <v>406.702631</v>
          </cell>
          <cell r="L2013">
            <v>2.9436619718309802</v>
          </cell>
          <cell r="M2013">
            <v>312.22702800000002</v>
          </cell>
          <cell r="N2013">
            <v>2.91649899396378</v>
          </cell>
          <cell r="O2013">
            <v>111.772149</v>
          </cell>
          <cell r="P2013">
            <v>0.28047571853320102</v>
          </cell>
          <cell r="Q2013">
            <v>31.414881999999999</v>
          </cell>
          <cell r="R2013">
            <v>0.201189296333002</v>
          </cell>
          <cell r="S2013">
            <v>482.47940199999999</v>
          </cell>
          <cell r="T2013">
            <v>2.5930348258706402</v>
          </cell>
          <cell r="U2013">
            <v>482.47940199999999</v>
          </cell>
          <cell r="V2013">
            <v>2.5930348258706402</v>
          </cell>
        </row>
        <row r="2014">
          <cell r="A2014" t="str">
            <v>155302</v>
          </cell>
          <cell r="B2014">
            <v>254</v>
          </cell>
          <cell r="C2014">
            <v>1884.7584870000001</v>
          </cell>
          <cell r="D2014">
            <v>0.72834645669291298</v>
          </cell>
          <cell r="E2014">
            <v>46.243741</v>
          </cell>
          <cell r="F2014">
            <v>0.21259842519684999</v>
          </cell>
          <cell r="G2014">
            <v>834.45180000000005</v>
          </cell>
          <cell r="H2014">
            <v>0.95686274509803904</v>
          </cell>
          <cell r="I2014">
            <v>102.11118</v>
          </cell>
          <cell r="J2014">
            <v>0.31372549019607798</v>
          </cell>
          <cell r="K2014">
            <v>77.094530000000006</v>
          </cell>
          <cell r="L2014">
            <v>0.1875</v>
          </cell>
          <cell r="M2014">
            <v>51.983657999999998</v>
          </cell>
          <cell r="N2014">
            <v>0.1796875</v>
          </cell>
          <cell r="O2014">
            <v>4185.6543670000001</v>
          </cell>
          <cell r="P2014">
            <v>3.36693548387096</v>
          </cell>
          <cell r="Q2014">
            <v>790.36276799999996</v>
          </cell>
          <cell r="R2014">
            <v>2.57258064516129</v>
          </cell>
          <cell r="S2014">
            <v>137.275744</v>
          </cell>
          <cell r="T2014">
            <v>0.78988326848249002</v>
          </cell>
          <cell r="U2014">
            <v>102.53437</v>
          </cell>
          <cell r="V2014">
            <v>0.67704280155642005</v>
          </cell>
        </row>
        <row r="2015">
          <cell r="A2015" t="str">
            <v>155401</v>
          </cell>
          <cell r="B2015">
            <v>1426.5555549999999</v>
          </cell>
          <cell r="C2015">
            <v>378.333281</v>
          </cell>
          <cell r="D2015">
            <v>2.20084566596194</v>
          </cell>
          <cell r="E2015">
            <v>359.92355300000003</v>
          </cell>
          <cell r="F2015">
            <v>2.1620859760394602</v>
          </cell>
          <cell r="G2015">
            <v>33.472785000000002</v>
          </cell>
          <cell r="H2015">
            <v>0.314205738278516</v>
          </cell>
          <cell r="I2015">
            <v>33.094346999999999</v>
          </cell>
          <cell r="J2015">
            <v>0.31000699790062902</v>
          </cell>
          <cell r="K2015">
            <v>371.32093700000001</v>
          </cell>
          <cell r="L2015">
            <v>1.2087988826815601</v>
          </cell>
          <cell r="M2015">
            <v>370.63435700000002</v>
          </cell>
          <cell r="N2015">
            <v>1.20321229050279</v>
          </cell>
          <cell r="O2015">
            <v>49.845168000000001</v>
          </cell>
          <cell r="P2015">
            <v>0.25644599303135801</v>
          </cell>
          <cell r="Q2015">
            <v>49.845168000000001</v>
          </cell>
          <cell r="R2015">
            <v>0.25644599303135801</v>
          </cell>
          <cell r="S2015">
            <v>11.145253</v>
          </cell>
          <cell r="T2015">
            <v>9.7046413502109699E-2</v>
          </cell>
          <cell r="U2015">
            <v>10.933849</v>
          </cell>
          <cell r="V2015">
            <v>9.5639943741209502E-2</v>
          </cell>
        </row>
        <row r="2016">
          <cell r="A2016" t="str">
            <v>155402</v>
          </cell>
          <cell r="B2016">
            <v>683.28571399999998</v>
          </cell>
          <cell r="C2016">
            <v>136.27684400000001</v>
          </cell>
          <cell r="D2016">
            <v>0.33526850507982497</v>
          </cell>
          <cell r="E2016">
            <v>78.974350999999999</v>
          </cell>
          <cell r="F2016">
            <v>0.29172714078374401</v>
          </cell>
          <cell r="G2016">
            <v>49.78642</v>
          </cell>
          <cell r="H2016">
            <v>0.55473372781065</v>
          </cell>
          <cell r="I2016">
            <v>49.78642</v>
          </cell>
          <cell r="J2016">
            <v>0.55473372781065</v>
          </cell>
          <cell r="K2016">
            <v>480.44322899999997</v>
          </cell>
          <cell r="L2016">
            <v>2.0561299852289499</v>
          </cell>
          <cell r="M2016">
            <v>480.44322899999997</v>
          </cell>
          <cell r="N2016">
            <v>2.0561299852289499</v>
          </cell>
          <cell r="O2016">
            <v>7.0448190000000004</v>
          </cell>
          <cell r="P2016">
            <v>3.9589442815249197E-2</v>
          </cell>
          <cell r="Q2016">
            <v>7.0448190000000004</v>
          </cell>
          <cell r="R2016">
            <v>3.9589442815249197E-2</v>
          </cell>
          <cell r="S2016">
            <v>158.998831</v>
          </cell>
          <cell r="T2016">
            <v>0.89051094890510896</v>
          </cell>
          <cell r="U2016">
            <v>158.50795600000001</v>
          </cell>
          <cell r="V2016">
            <v>0.88029197080291899</v>
          </cell>
        </row>
        <row r="2017">
          <cell r="A2017" t="str">
            <v>155501</v>
          </cell>
          <cell r="B2017">
            <v>861.88888799999995</v>
          </cell>
          <cell r="C2017">
            <v>19.051682</v>
          </cell>
          <cell r="D2017">
            <v>0.17411225658648299</v>
          </cell>
          <cell r="E2017">
            <v>19.051682</v>
          </cell>
          <cell r="F2017">
            <v>0.17411225658648299</v>
          </cell>
          <cell r="G2017">
            <v>642.39783299999999</v>
          </cell>
          <cell r="H2017">
            <v>1.79838709677419</v>
          </cell>
          <cell r="I2017">
            <v>402.71928600000001</v>
          </cell>
          <cell r="J2017">
            <v>1.6635944700460801</v>
          </cell>
          <cell r="K2017">
            <v>1726.8436280000001</v>
          </cell>
          <cell r="L2017">
            <v>3.30715935334872</v>
          </cell>
          <cell r="M2017">
            <v>198.900846</v>
          </cell>
          <cell r="N2017">
            <v>1.71478060046189</v>
          </cell>
          <cell r="O2017">
            <v>808.80001800000002</v>
          </cell>
          <cell r="P2017">
            <v>2.77468060394889</v>
          </cell>
          <cell r="Q2017">
            <v>328.04049500000002</v>
          </cell>
          <cell r="R2017">
            <v>2.1231126596980201</v>
          </cell>
          <cell r="S2017">
            <v>164.32685799999999</v>
          </cell>
          <cell r="T2017">
            <v>0.88311688311688297</v>
          </cell>
          <cell r="U2017">
            <v>163.78775999999999</v>
          </cell>
          <cell r="V2017">
            <v>0.88193624557260897</v>
          </cell>
        </row>
        <row r="2018">
          <cell r="A2018" t="str">
            <v>155502</v>
          </cell>
          <cell r="B2018">
            <v>655</v>
          </cell>
          <cell r="C2018">
            <v>103.905586</v>
          </cell>
          <cell r="D2018">
            <v>0.57918552036199</v>
          </cell>
          <cell r="E2018">
            <v>103.905586</v>
          </cell>
          <cell r="F2018">
            <v>0.57918552036199</v>
          </cell>
          <cell r="G2018">
            <v>534.43103099999996</v>
          </cell>
          <cell r="H2018">
            <v>2.30804248861911</v>
          </cell>
          <cell r="I2018">
            <v>190.49188899999999</v>
          </cell>
          <cell r="J2018">
            <v>2.05614567526555</v>
          </cell>
          <cell r="K2018">
            <v>327.94587100000001</v>
          </cell>
          <cell r="L2018">
            <v>1.7021276595744601</v>
          </cell>
          <cell r="M2018">
            <v>142.59961999999999</v>
          </cell>
          <cell r="N2018">
            <v>1.5835866261398099</v>
          </cell>
          <cell r="O2018">
            <v>502.586681</v>
          </cell>
          <cell r="P2018">
            <v>1.73312883435582</v>
          </cell>
          <cell r="Q2018">
            <v>480.42832299999998</v>
          </cell>
          <cell r="R2018">
            <v>1.71932515337423</v>
          </cell>
          <cell r="S2018">
            <v>93.671070999999998</v>
          </cell>
          <cell r="T2018">
            <v>0.75579598145285898</v>
          </cell>
          <cell r="U2018">
            <v>78.828052</v>
          </cell>
          <cell r="V2018">
            <v>0.72952086553323003</v>
          </cell>
        </row>
        <row r="2019">
          <cell r="A2019" t="str">
            <v>155801</v>
          </cell>
          <cell r="B2019">
            <v>1079.8</v>
          </cell>
          <cell r="C2019">
            <v>1597.8933460000001</v>
          </cell>
          <cell r="D2019">
            <v>2.96606974552309</v>
          </cell>
          <cell r="E2019">
            <v>339.58541000000002</v>
          </cell>
          <cell r="F2019">
            <v>2.0395852968897201</v>
          </cell>
          <cell r="G2019">
            <v>108.126912</v>
          </cell>
          <cell r="H2019">
            <v>0.84180790960451901</v>
          </cell>
          <cell r="I2019">
            <v>104.97014799999999</v>
          </cell>
          <cell r="J2019">
            <v>0.83804143126177</v>
          </cell>
          <cell r="K2019">
            <v>566.250946</v>
          </cell>
          <cell r="L2019">
            <v>1.09374999999999</v>
          </cell>
          <cell r="M2019">
            <v>367.60192499999999</v>
          </cell>
          <cell r="N2019">
            <v>0.76799242424242398</v>
          </cell>
          <cell r="O2019">
            <v>32.700102000000001</v>
          </cell>
          <cell r="P2019">
            <v>0.39452780229479201</v>
          </cell>
          <cell r="Q2019">
            <v>32.122947000000003</v>
          </cell>
          <cell r="R2019">
            <v>0.39187996469549802</v>
          </cell>
          <cell r="S2019">
            <v>1175.549984</v>
          </cell>
          <cell r="T2019">
            <v>4.9153633854645804</v>
          </cell>
          <cell r="U2019">
            <v>1173.79954</v>
          </cell>
          <cell r="V2019">
            <v>4.9135234590616301</v>
          </cell>
        </row>
        <row r="2020">
          <cell r="A2020" t="str">
            <v>155802</v>
          </cell>
          <cell r="B2020">
            <v>634.6</v>
          </cell>
          <cell r="C2020">
            <v>2503.9227019999998</v>
          </cell>
          <cell r="D2020">
            <v>3.7515723270440202</v>
          </cell>
          <cell r="E2020">
            <v>114.36633399999999</v>
          </cell>
          <cell r="F2020">
            <v>0.75786163522012495</v>
          </cell>
          <cell r="G2020">
            <v>88.460915999999997</v>
          </cell>
          <cell r="H2020">
            <v>0.28393135725428997</v>
          </cell>
          <cell r="I2020">
            <v>86.436644999999999</v>
          </cell>
          <cell r="J2020">
            <v>0.27457098283931303</v>
          </cell>
          <cell r="K2020">
            <v>1351.696152</v>
          </cell>
          <cell r="L2020">
            <v>2.0910518053375098</v>
          </cell>
          <cell r="M2020">
            <v>305.57307600000001</v>
          </cell>
          <cell r="N2020">
            <v>1.4207221350078401</v>
          </cell>
          <cell r="O2020">
            <v>171.98320000000001</v>
          </cell>
          <cell r="P2020">
            <v>0.525316455696202</v>
          </cell>
          <cell r="Q2020">
            <v>124.935548</v>
          </cell>
          <cell r="R2020">
            <v>0.295886075949367</v>
          </cell>
          <cell r="S2020">
            <v>70.239924999999999</v>
          </cell>
          <cell r="T2020">
            <v>0.55661881977671401</v>
          </cell>
          <cell r="U2020">
            <v>68.216054999999997</v>
          </cell>
          <cell r="V2020">
            <v>0.54704944178628301</v>
          </cell>
        </row>
        <row r="2021">
          <cell r="A2021" t="str">
            <v>156201</v>
          </cell>
          <cell r="B2021">
            <v>4</v>
          </cell>
          <cell r="C2021">
            <v>0</v>
          </cell>
          <cell r="D2021">
            <v>0</v>
          </cell>
          <cell r="E2021">
            <v>0</v>
          </cell>
          <cell r="F2021">
            <v>0</v>
          </cell>
          <cell r="G2021">
            <v>25.108332999999998</v>
          </cell>
          <cell r="H2021">
            <v>0.25</v>
          </cell>
          <cell r="I2021">
            <v>25.108332999999998</v>
          </cell>
          <cell r="J2021">
            <v>0.25</v>
          </cell>
          <cell r="K2021">
            <v>71.587500000000006</v>
          </cell>
          <cell r="L2021">
            <v>0.25</v>
          </cell>
          <cell r="M2021">
            <v>71.587500000000006</v>
          </cell>
          <cell r="N2021">
            <v>0.25</v>
          </cell>
          <cell r="O2021">
            <v>1258.7208330000001</v>
          </cell>
          <cell r="P2021">
            <v>1.25</v>
          </cell>
          <cell r="Q2021">
            <v>0</v>
          </cell>
          <cell r="R2021">
            <v>0</v>
          </cell>
          <cell r="S2021">
            <v>0</v>
          </cell>
          <cell r="T2021">
            <v>0</v>
          </cell>
          <cell r="U2021">
            <v>0</v>
          </cell>
          <cell r="V2021">
            <v>0</v>
          </cell>
        </row>
        <row r="2022">
          <cell r="A2022" t="str">
            <v>156202</v>
          </cell>
          <cell r="B2022">
            <v>614.6</v>
          </cell>
          <cell r="C2022">
            <v>1698.9821999999999</v>
          </cell>
          <cell r="D2022">
            <v>0.70894308943089401</v>
          </cell>
          <cell r="E2022">
            <v>63.533374999999999</v>
          </cell>
          <cell r="F2022">
            <v>0.38211382113821102</v>
          </cell>
          <cell r="G2022">
            <v>524.34722099999999</v>
          </cell>
          <cell r="H2022">
            <v>1.7365853658536501</v>
          </cell>
          <cell r="I2022">
            <v>184.83586199999999</v>
          </cell>
          <cell r="J2022">
            <v>1.4617886178861701</v>
          </cell>
          <cell r="K2022">
            <v>1237.572122</v>
          </cell>
          <cell r="L2022">
            <v>1.63225806451612</v>
          </cell>
          <cell r="M2022">
            <v>63.986209000000002</v>
          </cell>
          <cell r="N2022">
            <v>0.98709677419354802</v>
          </cell>
          <cell r="O2022">
            <v>2387.5968069999999</v>
          </cell>
          <cell r="P2022">
            <v>1.4009819967266699</v>
          </cell>
          <cell r="Q2022">
            <v>44.551036000000003</v>
          </cell>
          <cell r="R2022">
            <v>0.37152209492635002</v>
          </cell>
          <cell r="S2022">
            <v>21.120232999999999</v>
          </cell>
          <cell r="T2022">
            <v>0.11764705882352899</v>
          </cell>
          <cell r="U2022">
            <v>19.924999</v>
          </cell>
          <cell r="V2022">
            <v>0.11601307189542399</v>
          </cell>
        </row>
        <row r="2023">
          <cell r="A2023" t="str">
            <v>156301</v>
          </cell>
          <cell r="B2023">
            <v>598.79999999999995</v>
          </cell>
          <cell r="C2023">
            <v>668.67109200000004</v>
          </cell>
          <cell r="D2023">
            <v>1.68264462809917</v>
          </cell>
          <cell r="E2023">
            <v>56.021441000000003</v>
          </cell>
          <cell r="F2023">
            <v>0.32892561983471003</v>
          </cell>
          <cell r="G2023">
            <v>366.64340199999998</v>
          </cell>
          <cell r="H2023">
            <v>1.3261589403973499</v>
          </cell>
          <cell r="I2023">
            <v>44.521262999999998</v>
          </cell>
          <cell r="J2023">
            <v>0.24503311258278099</v>
          </cell>
          <cell r="K2023">
            <v>154.61608000000001</v>
          </cell>
          <cell r="L2023">
            <v>0.75919732441471499</v>
          </cell>
          <cell r="M2023">
            <v>126.150863</v>
          </cell>
          <cell r="N2023">
            <v>0.74916387959866204</v>
          </cell>
          <cell r="O2023">
            <v>236.731708</v>
          </cell>
          <cell r="P2023">
            <v>0.89411764705882302</v>
          </cell>
          <cell r="Q2023">
            <v>198.75862699999999</v>
          </cell>
          <cell r="R2023">
            <v>0.68067226890756305</v>
          </cell>
          <cell r="S2023">
            <v>246.07407000000001</v>
          </cell>
          <cell r="T2023">
            <v>1.2905405405405399</v>
          </cell>
          <cell r="U2023">
            <v>216.91134500000001</v>
          </cell>
          <cell r="V2023">
            <v>1.2094594594594501</v>
          </cell>
        </row>
        <row r="2024">
          <cell r="A2024" t="str">
            <v>156302</v>
          </cell>
          <cell r="B2024">
            <v>628.4</v>
          </cell>
          <cell r="C2024">
            <v>60.018971000000001</v>
          </cell>
          <cell r="D2024">
            <v>0.30015797788309601</v>
          </cell>
          <cell r="E2024">
            <v>33.727518000000003</v>
          </cell>
          <cell r="F2024">
            <v>0.16903633491311201</v>
          </cell>
          <cell r="G2024">
            <v>94.047585999999995</v>
          </cell>
          <cell r="H2024">
            <v>0.20937500000000001</v>
          </cell>
          <cell r="I2024">
            <v>16.127597999999999</v>
          </cell>
          <cell r="J2024">
            <v>0.1140625</v>
          </cell>
          <cell r="K2024">
            <v>617.04744500000004</v>
          </cell>
          <cell r="L2024">
            <v>1.17851500789889</v>
          </cell>
          <cell r="M2024">
            <v>350.89849900000002</v>
          </cell>
          <cell r="N2024">
            <v>1.0126382306477</v>
          </cell>
          <cell r="O2024">
            <v>59.308990000000001</v>
          </cell>
          <cell r="P2024">
            <v>0.351046698872785</v>
          </cell>
          <cell r="Q2024">
            <v>26.437010000000001</v>
          </cell>
          <cell r="R2024">
            <v>0.270531400966183</v>
          </cell>
          <cell r="S2024">
            <v>2508.6376949999999</v>
          </cell>
          <cell r="T2024">
            <v>2.2699186991869902</v>
          </cell>
          <cell r="U2024">
            <v>272.09859</v>
          </cell>
          <cell r="V2024">
            <v>1.6406504065040599</v>
          </cell>
        </row>
        <row r="2025">
          <cell r="A2025" t="str">
            <v>156401</v>
          </cell>
          <cell r="B2025">
            <v>609.66666599999996</v>
          </cell>
          <cell r="C2025">
            <v>687.48403299999995</v>
          </cell>
          <cell r="D2025">
            <v>0.513687600644122</v>
          </cell>
          <cell r="E2025">
            <v>7.3270679999999997</v>
          </cell>
          <cell r="F2025">
            <v>4.99194847020933E-2</v>
          </cell>
          <cell r="G2025">
            <v>27.586421000000001</v>
          </cell>
          <cell r="H2025">
            <v>0.245528455284552</v>
          </cell>
          <cell r="I2025">
            <v>27.586421000000001</v>
          </cell>
          <cell r="J2025">
            <v>0.245528455284552</v>
          </cell>
          <cell r="K2025">
            <v>297.433987</v>
          </cell>
          <cell r="L2025">
            <v>0.32242225859247098</v>
          </cell>
          <cell r="M2025">
            <v>18.201554000000002</v>
          </cell>
          <cell r="N2025">
            <v>9.1653027823240502E-2</v>
          </cell>
          <cell r="O2025">
            <v>15.441018</v>
          </cell>
          <cell r="P2025">
            <v>1.48760330578512E-2</v>
          </cell>
          <cell r="Q2025">
            <v>0.99234100000000003</v>
          </cell>
          <cell r="R2025">
            <v>9.9173553719008201E-3</v>
          </cell>
          <cell r="S2025">
            <v>322.03694899999999</v>
          </cell>
          <cell r="T2025">
            <v>0.30884808013355503</v>
          </cell>
          <cell r="U2025">
            <v>181.206343</v>
          </cell>
          <cell r="V2025">
            <v>0.21702838063439001</v>
          </cell>
        </row>
        <row r="2026">
          <cell r="A2026" t="str">
            <v>156402</v>
          </cell>
          <cell r="B2026">
            <v>1728.888888</v>
          </cell>
          <cell r="C2026">
            <v>788.67985099999999</v>
          </cell>
          <cell r="D2026">
            <v>1.43293033966609</v>
          </cell>
          <cell r="E2026">
            <v>101.731371</v>
          </cell>
          <cell r="F2026">
            <v>0.38054116292458201</v>
          </cell>
          <cell r="G2026">
            <v>110.992763</v>
          </cell>
          <cell r="H2026">
            <v>0.52674418604651096</v>
          </cell>
          <cell r="I2026">
            <v>83.429083000000006</v>
          </cell>
          <cell r="J2026">
            <v>0.48895348837209301</v>
          </cell>
          <cell r="K2026">
            <v>644.98234600000001</v>
          </cell>
          <cell r="L2026">
            <v>1.5471587580550601</v>
          </cell>
          <cell r="M2026">
            <v>381.03298100000001</v>
          </cell>
          <cell r="N2026">
            <v>1.46162858816637</v>
          </cell>
          <cell r="O2026">
            <v>44.033472000000003</v>
          </cell>
          <cell r="P2026">
            <v>9.9286563614744305E-2</v>
          </cell>
          <cell r="Q2026">
            <v>44.033472000000003</v>
          </cell>
          <cell r="R2026">
            <v>9.9286563614744305E-2</v>
          </cell>
          <cell r="S2026">
            <v>1330.0512100000001</v>
          </cell>
          <cell r="T2026">
            <v>2.9199999999999902</v>
          </cell>
          <cell r="U2026">
            <v>590.61213999999995</v>
          </cell>
          <cell r="V2026">
            <v>2.6754929577464699</v>
          </cell>
        </row>
        <row r="2027">
          <cell r="A2027" t="str">
            <v>156601</v>
          </cell>
          <cell r="B2027">
            <v>440.66666600000002</v>
          </cell>
          <cell r="C2027">
            <v>51.081420999999999</v>
          </cell>
          <cell r="D2027">
            <v>0.24774774774774699</v>
          </cell>
          <cell r="E2027">
            <v>51.081420999999999</v>
          </cell>
          <cell r="F2027">
            <v>0.24774774774774699</v>
          </cell>
          <cell r="G2027">
            <v>2111.0710490000001</v>
          </cell>
          <cell r="H2027">
            <v>2.7313769751693</v>
          </cell>
          <cell r="I2027">
            <v>654.10346700000002</v>
          </cell>
          <cell r="J2027">
            <v>2.3318284424379199</v>
          </cell>
          <cell r="K2027">
            <v>1684.151548</v>
          </cell>
          <cell r="L2027">
            <v>2.7505668934240299</v>
          </cell>
          <cell r="M2027">
            <v>444.43019600000002</v>
          </cell>
          <cell r="N2027">
            <v>1.8480725623582701</v>
          </cell>
          <cell r="O2027">
            <v>1745.9874520000001</v>
          </cell>
          <cell r="P2027">
            <v>3.18993135011441</v>
          </cell>
          <cell r="Q2027">
            <v>648.54622400000005</v>
          </cell>
          <cell r="R2027">
            <v>1.8649885583524</v>
          </cell>
          <cell r="S2027">
            <v>773.50897699999996</v>
          </cell>
          <cell r="T2027">
            <v>4.4431818181818103</v>
          </cell>
          <cell r="U2027">
            <v>755.41212099999996</v>
          </cell>
          <cell r="V2027">
            <v>4.4204545454545396</v>
          </cell>
        </row>
        <row r="2028">
          <cell r="A2028" t="str">
            <v>156602</v>
          </cell>
          <cell r="B2028">
            <v>213.77777699999999</v>
          </cell>
          <cell r="C2028">
            <v>22.799947</v>
          </cell>
          <cell r="D2028">
            <v>1.0438596491228</v>
          </cell>
          <cell r="E2028">
            <v>22.799947</v>
          </cell>
          <cell r="F2028">
            <v>1.0438596491228</v>
          </cell>
          <cell r="G2028">
            <v>34.866787000000002</v>
          </cell>
          <cell r="H2028">
            <v>0.216450216450216</v>
          </cell>
          <cell r="I2028">
            <v>23.964718000000001</v>
          </cell>
          <cell r="J2028">
            <v>0.15151515151515099</v>
          </cell>
          <cell r="K2028">
            <v>114.891386</v>
          </cell>
          <cell r="L2028">
            <v>0.25358851674641097</v>
          </cell>
          <cell r="M2028">
            <v>60.746012</v>
          </cell>
          <cell r="N2028">
            <v>0.21531100478468801</v>
          </cell>
          <cell r="O2028">
            <v>786.93602899999996</v>
          </cell>
          <cell r="P2028">
            <v>4.4166666666666599</v>
          </cell>
          <cell r="Q2028">
            <v>473.43145399999997</v>
          </cell>
          <cell r="R2028">
            <v>3.20588235294117</v>
          </cell>
          <cell r="S2028">
            <v>723.65563599999996</v>
          </cell>
          <cell r="T2028">
            <v>3.2745098039215601</v>
          </cell>
          <cell r="U2028">
            <v>454.97107799999998</v>
          </cell>
          <cell r="V2028">
            <v>2.7647058823529398</v>
          </cell>
        </row>
        <row r="2029">
          <cell r="A2029" t="str">
            <v>156801</v>
          </cell>
          <cell r="B2029">
            <v>1</v>
          </cell>
          <cell r="C2029">
            <v>0</v>
          </cell>
          <cell r="D2029">
            <v>0</v>
          </cell>
          <cell r="E2029">
            <v>0</v>
          </cell>
          <cell r="F2029">
            <v>0</v>
          </cell>
          <cell r="G2029">
            <v>0</v>
          </cell>
          <cell r="H2029">
            <v>0</v>
          </cell>
          <cell r="I2029">
            <v>0</v>
          </cell>
          <cell r="J2029">
            <v>0</v>
          </cell>
          <cell r="K2029">
            <v>0</v>
          </cell>
          <cell r="L2029">
            <v>0</v>
          </cell>
          <cell r="M2029">
            <v>0</v>
          </cell>
          <cell r="N2029">
            <v>0</v>
          </cell>
          <cell r="O2029">
            <v>63</v>
          </cell>
          <cell r="P2029">
            <v>1</v>
          </cell>
          <cell r="Q2029">
            <v>63</v>
          </cell>
          <cell r="R2029">
            <v>1</v>
          </cell>
          <cell r="S2029">
            <v>0</v>
          </cell>
          <cell r="T2029">
            <v>0</v>
          </cell>
          <cell r="U2029">
            <v>0</v>
          </cell>
          <cell r="V2029">
            <v>0</v>
          </cell>
        </row>
        <row r="2030">
          <cell r="A2030" t="str">
            <v>157002</v>
          </cell>
          <cell r="B2030">
            <v>1083.5999999999999</v>
          </cell>
          <cell r="C2030">
            <v>850.02582399999994</v>
          </cell>
          <cell r="D2030">
            <v>3.9306313328137099</v>
          </cell>
          <cell r="E2030">
            <v>846.99369999999999</v>
          </cell>
          <cell r="F2030">
            <v>3.9290724863600901</v>
          </cell>
          <cell r="G2030">
            <v>789.39452600000004</v>
          </cell>
          <cell r="H2030">
            <v>4.5461598138091501</v>
          </cell>
          <cell r="I2030">
            <v>616.49395300000003</v>
          </cell>
          <cell r="J2030">
            <v>4.4460822342901398</v>
          </cell>
          <cell r="K2030">
            <v>1028.7139159999999</v>
          </cell>
          <cell r="L2030">
            <v>5.7610000000000001</v>
          </cell>
          <cell r="M2030">
            <v>1019.450983</v>
          </cell>
          <cell r="N2030">
            <v>5.7569999999999997</v>
          </cell>
          <cell r="O2030">
            <v>235.684809</v>
          </cell>
          <cell r="P2030">
            <v>1.0295358649788999</v>
          </cell>
          <cell r="Q2030">
            <v>185.809774</v>
          </cell>
          <cell r="R2030">
            <v>0.93881856540084296</v>
          </cell>
          <cell r="S2030">
            <v>191.31727799999999</v>
          </cell>
          <cell r="T2030">
            <v>1.1481069042316201</v>
          </cell>
          <cell r="U2030">
            <v>41.318578000000002</v>
          </cell>
          <cell r="V2030">
            <v>0.131403118040089</v>
          </cell>
        </row>
        <row r="2031">
          <cell r="A2031" t="str">
            <v>157003</v>
          </cell>
          <cell r="B2031">
            <v>774</v>
          </cell>
          <cell r="C2031">
            <v>320.03596800000003</v>
          </cell>
          <cell r="D2031">
            <v>1.2405228758169899</v>
          </cell>
          <cell r="E2031">
            <v>316.219899</v>
          </cell>
          <cell r="F2031">
            <v>1.2392156862745001</v>
          </cell>
          <cell r="G2031">
            <v>104.901921</v>
          </cell>
          <cell r="H2031">
            <v>0.23214285714285701</v>
          </cell>
          <cell r="I2031">
            <v>86.585322000000005</v>
          </cell>
          <cell r="J2031">
            <v>0.22066326530612199</v>
          </cell>
          <cell r="K2031">
            <v>416.84238199999999</v>
          </cell>
          <cell r="L2031">
            <v>1.3504492939666199</v>
          </cell>
          <cell r="M2031">
            <v>297.78791100000001</v>
          </cell>
          <cell r="N2031">
            <v>1.28754813863928</v>
          </cell>
          <cell r="O2031">
            <v>94.354951999999997</v>
          </cell>
          <cell r="P2031">
            <v>0.186046511627906</v>
          </cell>
          <cell r="Q2031">
            <v>58.777647999999999</v>
          </cell>
          <cell r="R2031">
            <v>0.14341085271317799</v>
          </cell>
          <cell r="S2031">
            <v>53.630251000000001</v>
          </cell>
          <cell r="T2031">
            <v>0.18098958333333301</v>
          </cell>
          <cell r="U2031">
            <v>44.006467000000001</v>
          </cell>
          <cell r="V2031">
            <v>0.16145833333333301</v>
          </cell>
        </row>
        <row r="2032">
          <cell r="A2032" t="str">
            <v>157004</v>
          </cell>
          <cell r="B2032">
            <v>906</v>
          </cell>
          <cell r="C2032">
            <v>137.41867099999999</v>
          </cell>
          <cell r="D2032">
            <v>0.65260821309655903</v>
          </cell>
          <cell r="E2032">
            <v>132.08016699999999</v>
          </cell>
          <cell r="F2032">
            <v>0.64927857935626998</v>
          </cell>
          <cell r="G2032">
            <v>294.52004499999998</v>
          </cell>
          <cell r="H2032">
            <v>0.34354485776805199</v>
          </cell>
          <cell r="I2032">
            <v>52.330489</v>
          </cell>
          <cell r="J2032">
            <v>0.19584245076586401</v>
          </cell>
          <cell r="K2032">
            <v>392.68188700000002</v>
          </cell>
          <cell r="L2032">
            <v>1.27881448957189</v>
          </cell>
          <cell r="M2032">
            <v>168.05640299999999</v>
          </cell>
          <cell r="N2032">
            <v>1.21953896816684</v>
          </cell>
          <cell r="O2032">
            <v>237.083314</v>
          </cell>
          <cell r="P2032">
            <v>0.97694840834247998</v>
          </cell>
          <cell r="Q2032">
            <v>152.89977999999999</v>
          </cell>
          <cell r="R2032">
            <v>0.93304061470911004</v>
          </cell>
          <cell r="S2032">
            <v>129.64912200000001</v>
          </cell>
          <cell r="T2032">
            <v>0.257558790593505</v>
          </cell>
          <cell r="U2032">
            <v>85.829599999999999</v>
          </cell>
          <cell r="V2032">
            <v>0.143337066069428</v>
          </cell>
        </row>
        <row r="2033">
          <cell r="A2033" t="str">
            <v>157201</v>
          </cell>
          <cell r="B2033">
            <v>49.875</v>
          </cell>
          <cell r="C2033">
            <v>5717.6620059999996</v>
          </cell>
          <cell r="D2033">
            <v>1.7307692307692299</v>
          </cell>
          <cell r="E2033">
            <v>94.786547999999996</v>
          </cell>
          <cell r="F2033">
            <v>0.134615384615384</v>
          </cell>
          <cell r="G2033">
            <v>349.74022600000001</v>
          </cell>
          <cell r="H2033">
            <v>1.15094339622641</v>
          </cell>
          <cell r="I2033">
            <v>349.74022600000001</v>
          </cell>
          <cell r="J2033">
            <v>1.15094339622641</v>
          </cell>
          <cell r="K2033">
            <v>2250.124358</v>
          </cell>
          <cell r="L2033">
            <v>2.7115384615384599</v>
          </cell>
          <cell r="M2033">
            <v>285.966025</v>
          </cell>
          <cell r="N2033">
            <v>1.6346153846153799</v>
          </cell>
          <cell r="O2033">
            <v>67.112764999999996</v>
          </cell>
          <cell r="P2033">
            <v>6.3829787234042507E-2</v>
          </cell>
          <cell r="Q2033">
            <v>2.613829</v>
          </cell>
          <cell r="R2033">
            <v>4.2553191489361701E-2</v>
          </cell>
          <cell r="S2033">
            <v>29.179924</v>
          </cell>
          <cell r="T2033">
            <v>0.204545454545454</v>
          </cell>
          <cell r="U2033">
            <v>29.179924</v>
          </cell>
          <cell r="V2033">
            <v>0.204545454545454</v>
          </cell>
        </row>
        <row r="2034">
          <cell r="A2034" t="str">
            <v>157202</v>
          </cell>
          <cell r="B2034">
            <v>400.33333299999998</v>
          </cell>
          <cell r="C2034">
            <v>4811.950664</v>
          </cell>
          <cell r="D2034">
            <v>1.68238213399503</v>
          </cell>
          <cell r="E2034">
            <v>108.269192</v>
          </cell>
          <cell r="F2034">
            <v>0.45161290322580599</v>
          </cell>
          <cell r="G2034">
            <v>728.30235200000004</v>
          </cell>
          <cell r="H2034">
            <v>0.58955223880596996</v>
          </cell>
          <cell r="I2034">
            <v>247.38095300000001</v>
          </cell>
          <cell r="J2034">
            <v>0.43781094527363101</v>
          </cell>
          <cell r="K2034">
            <v>541.23097499999994</v>
          </cell>
          <cell r="L2034">
            <v>0.97766749379652595</v>
          </cell>
          <cell r="M2034">
            <v>102.044127</v>
          </cell>
          <cell r="N2034">
            <v>0.64267990074441605</v>
          </cell>
          <cell r="O2034">
            <v>170.79348200000001</v>
          </cell>
          <cell r="P2034">
            <v>0.859649122807017</v>
          </cell>
          <cell r="Q2034">
            <v>105.21862900000001</v>
          </cell>
          <cell r="R2034">
            <v>0.81203007518796899</v>
          </cell>
          <cell r="S2034">
            <v>68.102784</v>
          </cell>
          <cell r="T2034">
            <v>0.75321336760925395</v>
          </cell>
          <cell r="U2034">
            <v>68.102784</v>
          </cell>
          <cell r="V2034">
            <v>0.75321336760925395</v>
          </cell>
        </row>
        <row r="2035">
          <cell r="A2035" t="str">
            <v>157402</v>
          </cell>
          <cell r="B2035">
            <v>60.6</v>
          </cell>
          <cell r="C2035">
            <v>10.966811</v>
          </cell>
          <cell r="D2035">
            <v>6.25E-2</v>
          </cell>
          <cell r="E2035">
            <v>10.966811</v>
          </cell>
          <cell r="F2035">
            <v>6.25E-2</v>
          </cell>
          <cell r="G2035">
            <v>295.695921</v>
          </cell>
          <cell r="H2035">
            <v>1.1428571428571399</v>
          </cell>
          <cell r="I2035">
            <v>295.695921</v>
          </cell>
          <cell r="J2035">
            <v>1.1428571428571399</v>
          </cell>
          <cell r="K2035">
            <v>0</v>
          </cell>
          <cell r="L2035">
            <v>0</v>
          </cell>
          <cell r="M2035">
            <v>0</v>
          </cell>
          <cell r="N2035">
            <v>0</v>
          </cell>
          <cell r="O2035">
            <v>2276.3528230000002</v>
          </cell>
          <cell r="P2035">
            <v>1.99999999999999</v>
          </cell>
          <cell r="Q2035">
            <v>172.86271099999999</v>
          </cell>
          <cell r="R2035">
            <v>1.4067796610169401</v>
          </cell>
          <cell r="S2035">
            <v>27.079021999999998</v>
          </cell>
          <cell r="T2035">
            <v>0.10344827586206801</v>
          </cell>
          <cell r="U2035">
            <v>27.079021999999998</v>
          </cell>
          <cell r="V2035">
            <v>0.10344827586206801</v>
          </cell>
        </row>
        <row r="2036">
          <cell r="A2036" t="str">
            <v>157403</v>
          </cell>
          <cell r="B2036">
            <v>1374.6</v>
          </cell>
          <cell r="C2036">
            <v>35.00958</v>
          </cell>
          <cell r="D2036">
            <v>0.114950166112956</v>
          </cell>
          <cell r="E2036">
            <v>30.589596</v>
          </cell>
          <cell r="F2036">
            <v>9.2358803986710897E-2</v>
          </cell>
          <cell r="G2036">
            <v>18.279620000000001</v>
          </cell>
          <cell r="H2036">
            <v>7.8620689655172396E-2</v>
          </cell>
          <cell r="I2036">
            <v>5.4964199999999996</v>
          </cell>
          <cell r="J2036">
            <v>5.2413793103448202E-2</v>
          </cell>
          <cell r="K2036">
            <v>41.713721</v>
          </cell>
          <cell r="L2036">
            <v>0.118741058655221</v>
          </cell>
          <cell r="M2036">
            <v>36.087874999999997</v>
          </cell>
          <cell r="N2036">
            <v>0.11659513590844001</v>
          </cell>
          <cell r="O2036">
            <v>7.8082760000000002</v>
          </cell>
          <cell r="P2036">
            <v>7.5357950263752804E-2</v>
          </cell>
          <cell r="Q2036">
            <v>4.9072589999999998</v>
          </cell>
          <cell r="R2036">
            <v>7.4604370761115202E-2</v>
          </cell>
          <cell r="S2036">
            <v>73.307180000000002</v>
          </cell>
          <cell r="T2036">
            <v>9.1366303436714105E-2</v>
          </cell>
          <cell r="U2036">
            <v>1.3230930000000001</v>
          </cell>
          <cell r="V2036">
            <v>1.6764459346185999E-2</v>
          </cell>
        </row>
        <row r="2037">
          <cell r="A2037" t="str">
            <v>157404</v>
          </cell>
          <cell r="B2037">
            <v>1297</v>
          </cell>
          <cell r="C2037">
            <v>98.306016</v>
          </cell>
          <cell r="D2037">
            <v>0.76959619952493996</v>
          </cell>
          <cell r="E2037">
            <v>83.008577000000002</v>
          </cell>
          <cell r="F2037">
            <v>0.64133016627078299</v>
          </cell>
          <cell r="G2037">
            <v>206.81267</v>
          </cell>
          <cell r="H2037">
            <v>0.38444444444444398</v>
          </cell>
          <cell r="I2037">
            <v>29.136842000000001</v>
          </cell>
          <cell r="J2037">
            <v>7.0370370370370305E-2</v>
          </cell>
          <cell r="K2037">
            <v>698.46874600000001</v>
          </cell>
          <cell r="L2037">
            <v>1.64447806354009</v>
          </cell>
          <cell r="M2037">
            <v>156.78809799999999</v>
          </cell>
          <cell r="N2037">
            <v>1.0431164901664101</v>
          </cell>
          <cell r="O2037">
            <v>168.52627799999999</v>
          </cell>
          <cell r="P2037">
            <v>1.1108527131782899</v>
          </cell>
          <cell r="Q2037">
            <v>77.835903999999999</v>
          </cell>
          <cell r="R2037">
            <v>1.07984496124031</v>
          </cell>
          <cell r="S2037">
            <v>1166.387287</v>
          </cell>
          <cell r="T2037">
            <v>0.79999999999999905</v>
          </cell>
          <cell r="U2037">
            <v>66.297314</v>
          </cell>
          <cell r="V2037">
            <v>0.43015873015873002</v>
          </cell>
        </row>
        <row r="2038">
          <cell r="A2038" t="str">
            <v>157601</v>
          </cell>
          <cell r="B2038">
            <v>419.11111099999999</v>
          </cell>
          <cell r="C2038">
            <v>7802.7404329999999</v>
          </cell>
          <cell r="D2038">
            <v>3.37554585152838</v>
          </cell>
          <cell r="E2038">
            <v>291.116962</v>
          </cell>
          <cell r="F2038">
            <v>1.63318777292576</v>
          </cell>
          <cell r="G2038">
            <v>635.403907</v>
          </cell>
          <cell r="H2038">
            <v>2.1291666666666602</v>
          </cell>
          <cell r="I2038">
            <v>194.179205</v>
          </cell>
          <cell r="J2038">
            <v>1.99583333333333</v>
          </cell>
          <cell r="K2038">
            <v>6699.075503</v>
          </cell>
          <cell r="L2038">
            <v>2.5699373695198302</v>
          </cell>
          <cell r="M2038">
            <v>166.80462700000001</v>
          </cell>
          <cell r="N2038">
            <v>0.84968684759916402</v>
          </cell>
          <cell r="O2038">
            <v>237.42134999999999</v>
          </cell>
          <cell r="P2038">
            <v>0.65384615384615297</v>
          </cell>
          <cell r="Q2038">
            <v>110.55404299999999</v>
          </cell>
          <cell r="R2038">
            <v>0.59171597633135997</v>
          </cell>
          <cell r="S2038">
            <v>673.01437599999997</v>
          </cell>
          <cell r="T2038">
            <v>2.7671755725190801</v>
          </cell>
          <cell r="U2038">
            <v>673.01437599999997</v>
          </cell>
          <cell r="V2038">
            <v>2.7671755725190801</v>
          </cell>
        </row>
        <row r="2039">
          <cell r="A2039" t="str">
            <v>157602</v>
          </cell>
          <cell r="B2039">
            <v>699.2</v>
          </cell>
          <cell r="C2039">
            <v>3557.271307</v>
          </cell>
          <cell r="D2039">
            <v>1.6770833333333299</v>
          </cell>
          <cell r="E2039">
            <v>266.160529</v>
          </cell>
          <cell r="F2039">
            <v>1.0178571428571399</v>
          </cell>
          <cell r="G2039">
            <v>4184.5602799999997</v>
          </cell>
          <cell r="H2039">
            <v>2.15562403697996</v>
          </cell>
          <cell r="I2039">
            <v>129.75904700000001</v>
          </cell>
          <cell r="J2039">
            <v>1.15100154083204</v>
          </cell>
          <cell r="K2039">
            <v>5594.7974009999998</v>
          </cell>
          <cell r="L2039">
            <v>2.6219135802469098</v>
          </cell>
          <cell r="M2039">
            <v>159.878446</v>
          </cell>
          <cell r="N2039">
            <v>0.88425925925925897</v>
          </cell>
          <cell r="O2039">
            <v>465.836074</v>
          </cell>
          <cell r="P2039">
            <v>0.67241379310344795</v>
          </cell>
          <cell r="Q2039">
            <v>41.618434999999998</v>
          </cell>
          <cell r="R2039">
            <v>0.51591511936339496</v>
          </cell>
          <cell r="S2039">
            <v>371.91821800000002</v>
          </cell>
          <cell r="T2039">
            <v>2.2509702457956</v>
          </cell>
          <cell r="U2039">
            <v>350.68947800000001</v>
          </cell>
          <cell r="V2039">
            <v>2.2419146183699801</v>
          </cell>
        </row>
        <row r="2040">
          <cell r="A2040" t="str">
            <v>157701</v>
          </cell>
          <cell r="B2040">
            <v>391.88888800000001</v>
          </cell>
          <cell r="C2040">
            <v>7054.6976969999996</v>
          </cell>
          <cell r="D2040">
            <v>3.2075949367088601</v>
          </cell>
          <cell r="E2040">
            <v>460.46041600000001</v>
          </cell>
          <cell r="F2040">
            <v>0.96962025316455602</v>
          </cell>
          <cell r="G2040">
            <v>3674.3744660000002</v>
          </cell>
          <cell r="H2040">
            <v>1.34183673469387</v>
          </cell>
          <cell r="I2040">
            <v>114.194214</v>
          </cell>
          <cell r="J2040">
            <v>0.23979591836734601</v>
          </cell>
          <cell r="K2040">
            <v>2424.502332</v>
          </cell>
          <cell r="L2040">
            <v>0.71755725190839603</v>
          </cell>
          <cell r="M2040">
            <v>34.590882000000001</v>
          </cell>
          <cell r="N2040">
            <v>0.20865139949109399</v>
          </cell>
          <cell r="O2040">
            <v>1034.346495</v>
          </cell>
          <cell r="P2040">
            <v>1.16923076923076</v>
          </cell>
          <cell r="Q2040">
            <v>230.915897</v>
          </cell>
          <cell r="R2040">
            <v>0.73333333333333295</v>
          </cell>
          <cell r="S2040">
            <v>142.93260100000001</v>
          </cell>
          <cell r="T2040">
            <v>0.89922480620154999</v>
          </cell>
          <cell r="U2040">
            <v>142.93260100000001</v>
          </cell>
          <cell r="V2040">
            <v>0.89922480620154999</v>
          </cell>
        </row>
        <row r="2041">
          <cell r="A2041" t="str">
            <v>157702</v>
          </cell>
          <cell r="B2041">
            <v>237.77777699999999</v>
          </cell>
          <cell r="C2041">
            <v>2081.161024</v>
          </cell>
          <cell r="D2041">
            <v>1.23412698412698</v>
          </cell>
          <cell r="E2041">
            <v>78.861954999999995</v>
          </cell>
          <cell r="F2041">
            <v>0.476190476190476</v>
          </cell>
          <cell r="G2041">
            <v>755.35238900000002</v>
          </cell>
          <cell r="H2041">
            <v>0.50617283950617198</v>
          </cell>
          <cell r="I2041">
            <v>75.438303000000005</v>
          </cell>
          <cell r="J2041">
            <v>0.26337448559670701</v>
          </cell>
          <cell r="K2041">
            <v>25.553149999999999</v>
          </cell>
          <cell r="L2041">
            <v>8.4033613445378103E-2</v>
          </cell>
          <cell r="M2041">
            <v>21.726050000000001</v>
          </cell>
          <cell r="N2041">
            <v>7.9831932773109196E-2</v>
          </cell>
          <cell r="O2041">
            <v>207.99331799999999</v>
          </cell>
          <cell r="P2041">
            <v>0.56387665198237802</v>
          </cell>
          <cell r="Q2041">
            <v>196.28171800000001</v>
          </cell>
          <cell r="R2041">
            <v>0.55506607929515395</v>
          </cell>
          <cell r="S2041">
            <v>35.099241999999997</v>
          </cell>
          <cell r="T2041">
            <v>0.354545454545454</v>
          </cell>
          <cell r="U2041">
            <v>35.099241999999997</v>
          </cell>
          <cell r="V2041">
            <v>0.354545454545454</v>
          </cell>
        </row>
        <row r="2042">
          <cell r="A2042" t="str">
            <v>157801</v>
          </cell>
          <cell r="B2042">
            <v>366</v>
          </cell>
          <cell r="C2042">
            <v>240.230661</v>
          </cell>
          <cell r="D2042">
            <v>1.2016348773841901</v>
          </cell>
          <cell r="E2042">
            <v>24.877815999999999</v>
          </cell>
          <cell r="F2042">
            <v>0.21253405994550401</v>
          </cell>
          <cell r="G2042">
            <v>251.323196</v>
          </cell>
          <cell r="H2042">
            <v>1.43783783783783</v>
          </cell>
          <cell r="I2042">
            <v>180.97834</v>
          </cell>
          <cell r="J2042">
            <v>1.3891891891891801</v>
          </cell>
          <cell r="K2042">
            <v>1102.659639</v>
          </cell>
          <cell r="L2042">
            <v>2.9648648648648601</v>
          </cell>
          <cell r="M2042">
            <v>251.32833299999999</v>
          </cell>
          <cell r="N2042">
            <v>2.6270270270270202</v>
          </cell>
          <cell r="O2042">
            <v>634.95851500000003</v>
          </cell>
          <cell r="P2042">
            <v>3.7896174863387899</v>
          </cell>
          <cell r="Q2042">
            <v>315.12440800000002</v>
          </cell>
          <cell r="R2042">
            <v>2.8770491803278602</v>
          </cell>
          <cell r="S2042">
            <v>1184.825816</v>
          </cell>
          <cell r="T2042">
            <v>2.0056022408963501</v>
          </cell>
          <cell r="U2042">
            <v>446.42614300000002</v>
          </cell>
          <cell r="V2042">
            <v>1.4145658263305301</v>
          </cell>
        </row>
        <row r="2043">
          <cell r="A2043" t="str">
            <v>157802</v>
          </cell>
          <cell r="B2043">
            <v>242.77777699999999</v>
          </cell>
          <cell r="C2043">
            <v>350.81579699999998</v>
          </cell>
          <cell r="D2043">
            <v>0.50204081632652997</v>
          </cell>
          <cell r="E2043">
            <v>259.83672200000001</v>
          </cell>
          <cell r="F2043">
            <v>0.46530612244897901</v>
          </cell>
          <cell r="G2043">
            <v>149.34356199999999</v>
          </cell>
          <cell r="H2043">
            <v>0.89473684210526305</v>
          </cell>
          <cell r="I2043">
            <v>148.97693100000001</v>
          </cell>
          <cell r="J2043">
            <v>0.89068825910931104</v>
          </cell>
          <cell r="K2043">
            <v>201.409659</v>
          </cell>
          <cell r="L2043">
            <v>1.77551020408163</v>
          </cell>
          <cell r="M2043">
            <v>201.409659</v>
          </cell>
          <cell r="N2043">
            <v>1.77551020408163</v>
          </cell>
          <cell r="O2043">
            <v>147.801087</v>
          </cell>
          <cell r="P2043">
            <v>1.4938775510204001</v>
          </cell>
          <cell r="Q2043">
            <v>117.919455</v>
          </cell>
          <cell r="R2043">
            <v>1.41224489795918</v>
          </cell>
          <cell r="S2043">
            <v>433.01967000000002</v>
          </cell>
          <cell r="T2043">
            <v>0.69957081545064304</v>
          </cell>
          <cell r="U2043">
            <v>67.537267</v>
          </cell>
          <cell r="V2043">
            <v>0.48927038626609398</v>
          </cell>
        </row>
        <row r="2044">
          <cell r="A2044" t="str">
            <v>158201</v>
          </cell>
          <cell r="B2044">
            <v>1699.4</v>
          </cell>
          <cell r="C2044">
            <v>420.40812899999997</v>
          </cell>
          <cell r="D2044">
            <v>1.69664902998236</v>
          </cell>
          <cell r="E2044">
            <v>403.75642900000003</v>
          </cell>
          <cell r="F2044">
            <v>1.56378600823045</v>
          </cell>
          <cell r="G2044">
            <v>103.68033699999999</v>
          </cell>
          <cell r="H2044">
            <v>0.240893066980023</v>
          </cell>
          <cell r="I2044">
            <v>66.087783000000002</v>
          </cell>
          <cell r="J2044">
            <v>0.20799059929494701</v>
          </cell>
          <cell r="K2044">
            <v>277.14035000000001</v>
          </cell>
          <cell r="L2044">
            <v>0.60117302052785904</v>
          </cell>
          <cell r="M2044">
            <v>219.31608900000001</v>
          </cell>
          <cell r="N2044">
            <v>0.58240469208211099</v>
          </cell>
          <cell r="O2044">
            <v>396.83251100000001</v>
          </cell>
          <cell r="P2044">
            <v>1.1960093896713599</v>
          </cell>
          <cell r="Q2044">
            <v>187.59689900000001</v>
          </cell>
          <cell r="R2044">
            <v>1.04694835680751</v>
          </cell>
          <cell r="S2044">
            <v>64.042322999999996</v>
          </cell>
          <cell r="T2044">
            <v>0.37863501483679501</v>
          </cell>
          <cell r="U2044">
            <v>42.029139000000001</v>
          </cell>
          <cell r="V2044">
            <v>0.34065281899109701</v>
          </cell>
        </row>
        <row r="2045">
          <cell r="A2045" t="str">
            <v>158202</v>
          </cell>
          <cell r="B2045">
            <v>1320.2</v>
          </cell>
          <cell r="C2045">
            <v>191.69714200000001</v>
          </cell>
          <cell r="D2045">
            <v>0.63945578231292499</v>
          </cell>
          <cell r="E2045">
            <v>191.65354199999999</v>
          </cell>
          <cell r="F2045">
            <v>0.63869992441420997</v>
          </cell>
          <cell r="G2045">
            <v>414.955872</v>
          </cell>
          <cell r="H2045">
            <v>1.5930408472012101</v>
          </cell>
          <cell r="I2045">
            <v>85.196771999999996</v>
          </cell>
          <cell r="J2045">
            <v>1.27987897125567</v>
          </cell>
          <cell r="K2045">
            <v>2296.7351680000002</v>
          </cell>
          <cell r="L2045">
            <v>2.6628959276018001</v>
          </cell>
          <cell r="M2045">
            <v>315.281498</v>
          </cell>
          <cell r="N2045">
            <v>1.1221719457013499</v>
          </cell>
          <cell r="O2045">
            <v>3105.1576009999999</v>
          </cell>
          <cell r="P2045">
            <v>3.8993948562783598</v>
          </cell>
          <cell r="Q2045">
            <v>816.66181200000005</v>
          </cell>
          <cell r="R2045">
            <v>2.0975794251134601</v>
          </cell>
          <cell r="S2045">
            <v>426.73124300000001</v>
          </cell>
          <cell r="T2045">
            <v>1.8753822629969401</v>
          </cell>
          <cell r="U2045">
            <v>422.98935999999998</v>
          </cell>
          <cell r="V2045">
            <v>1.86926605504587</v>
          </cell>
        </row>
        <row r="2046">
          <cell r="A2046" t="str">
            <v>158701</v>
          </cell>
          <cell r="B2046">
            <v>258.2</v>
          </cell>
          <cell r="C2046">
            <v>1195.112916</v>
          </cell>
          <cell r="D2046">
            <v>3.4099616858237498</v>
          </cell>
          <cell r="E2046">
            <v>100.66364</v>
          </cell>
          <cell r="F2046">
            <v>2.2950191570881202</v>
          </cell>
          <cell r="G2046">
            <v>459.39170100000001</v>
          </cell>
          <cell r="H2046">
            <v>2.56153846153846</v>
          </cell>
          <cell r="I2046">
            <v>318.87005900000003</v>
          </cell>
          <cell r="J2046">
            <v>2.5230769230769199</v>
          </cell>
          <cell r="K2046">
            <v>89.106071</v>
          </cell>
          <cell r="L2046">
            <v>0.43798449612403101</v>
          </cell>
          <cell r="M2046">
            <v>71.582427999999993</v>
          </cell>
          <cell r="N2046">
            <v>0.39922480620154999</v>
          </cell>
          <cell r="O2046">
            <v>294.57617099999999</v>
          </cell>
          <cell r="P2046">
            <v>0.796875</v>
          </cell>
          <cell r="Q2046">
            <v>58.593944999999998</v>
          </cell>
          <cell r="R2046">
            <v>0.46484375</v>
          </cell>
          <cell r="S2046">
            <v>294.03749900000003</v>
          </cell>
          <cell r="T2046">
            <v>1.09375</v>
          </cell>
          <cell r="U2046">
            <v>262.42623600000002</v>
          </cell>
          <cell r="V2046">
            <v>0.83203125</v>
          </cell>
        </row>
        <row r="2047">
          <cell r="A2047" t="str">
            <v>158702</v>
          </cell>
          <cell r="B2047">
            <v>346.11111099999999</v>
          </cell>
          <cell r="C2047">
            <v>2504.207758</v>
          </cell>
          <cell r="D2047">
            <v>2.3045977011494201</v>
          </cell>
          <cell r="E2047">
            <v>88.406152000000006</v>
          </cell>
          <cell r="F2047">
            <v>1.3189655172413699</v>
          </cell>
          <cell r="G2047">
            <v>61.254460999999999</v>
          </cell>
          <cell r="H2047">
            <v>0.37068965517241298</v>
          </cell>
          <cell r="I2047">
            <v>32.968859000000002</v>
          </cell>
          <cell r="J2047">
            <v>0.34482758620689602</v>
          </cell>
          <cell r="K2047">
            <v>144.16345699999999</v>
          </cell>
          <cell r="L2047">
            <v>0.61494252873563204</v>
          </cell>
          <cell r="M2047">
            <v>64.745258000000007</v>
          </cell>
          <cell r="N2047">
            <v>0.52586206896551702</v>
          </cell>
          <cell r="O2047">
            <v>378.627453</v>
          </cell>
          <cell r="P2047">
            <v>1.1574344023323599</v>
          </cell>
          <cell r="Q2047">
            <v>8.1051990000000007</v>
          </cell>
          <cell r="R2047">
            <v>0.14868804664723001</v>
          </cell>
          <cell r="S2047">
            <v>23.656158000000001</v>
          </cell>
          <cell r="T2047">
            <v>0.29912023460410497</v>
          </cell>
          <cell r="U2047">
            <v>23.656158000000001</v>
          </cell>
          <cell r="V2047">
            <v>0.29912023460410497</v>
          </cell>
        </row>
        <row r="2048">
          <cell r="A2048" t="str">
            <v>158901</v>
          </cell>
          <cell r="B2048">
            <v>730.25</v>
          </cell>
          <cell r="C2048">
            <v>121.898898</v>
          </cell>
          <cell r="D2048">
            <v>0.48058902275769699</v>
          </cell>
          <cell r="E2048">
            <v>121.731371</v>
          </cell>
          <cell r="F2048">
            <v>0.477911646586345</v>
          </cell>
          <cell r="G2048">
            <v>2280.9655980000002</v>
          </cell>
          <cell r="H2048">
            <v>4.2667560321715801</v>
          </cell>
          <cell r="I2048">
            <v>656.46604500000001</v>
          </cell>
          <cell r="J2048">
            <v>3.6112600536192998</v>
          </cell>
          <cell r="K2048">
            <v>227.46214599999999</v>
          </cell>
          <cell r="L2048">
            <v>0.41342281879194598</v>
          </cell>
          <cell r="M2048">
            <v>31.750893999999999</v>
          </cell>
          <cell r="N2048">
            <v>0.33557046979865701</v>
          </cell>
          <cell r="O2048">
            <v>347.00822299999999</v>
          </cell>
          <cell r="P2048">
            <v>0.66617862371888703</v>
          </cell>
          <cell r="Q2048">
            <v>70.621302999999997</v>
          </cell>
          <cell r="R2048">
            <v>0.38799414348462602</v>
          </cell>
          <cell r="S2048">
            <v>0</v>
          </cell>
          <cell r="T2048">
            <v>0</v>
          </cell>
          <cell r="U2048">
            <v>0</v>
          </cell>
          <cell r="V2048">
            <v>0</v>
          </cell>
        </row>
        <row r="2049">
          <cell r="A2049" t="str">
            <v>158902</v>
          </cell>
          <cell r="B2049">
            <v>96</v>
          </cell>
          <cell r="C2049">
            <v>0</v>
          </cell>
          <cell r="D2049">
            <v>0</v>
          </cell>
          <cell r="E2049">
            <v>0</v>
          </cell>
          <cell r="F2049">
            <v>0</v>
          </cell>
          <cell r="G2049">
            <v>47.434049999999999</v>
          </cell>
          <cell r="H2049">
            <v>1.02061855670103</v>
          </cell>
          <cell r="I2049">
            <v>47.434049999999999</v>
          </cell>
          <cell r="J2049">
            <v>1.02061855670103</v>
          </cell>
          <cell r="K2049">
            <v>25.822395</v>
          </cell>
          <cell r="L2049">
            <v>0.9375</v>
          </cell>
          <cell r="M2049">
            <v>25.822395</v>
          </cell>
          <cell r="N2049">
            <v>0.9375</v>
          </cell>
          <cell r="O2049">
            <v>3.4437500000000001</v>
          </cell>
          <cell r="P2049">
            <v>3.125E-2</v>
          </cell>
          <cell r="Q2049">
            <v>3.4437500000000001</v>
          </cell>
          <cell r="R2049">
            <v>3.125E-2</v>
          </cell>
          <cell r="S2049">
            <v>1.3040350000000001</v>
          </cell>
          <cell r="T2049">
            <v>1.0526315789473601E-2</v>
          </cell>
          <cell r="U2049">
            <v>1.3040350000000001</v>
          </cell>
          <cell r="V2049">
            <v>1.0526315789473601E-2</v>
          </cell>
        </row>
        <row r="2050">
          <cell r="A2050" t="str">
            <v>159201</v>
          </cell>
          <cell r="B2050">
            <v>174</v>
          </cell>
          <cell r="C2050">
            <v>32.736984999999997</v>
          </cell>
          <cell r="D2050">
            <v>0.66666666666666596</v>
          </cell>
          <cell r="E2050">
            <v>32.736984999999997</v>
          </cell>
          <cell r="F2050">
            <v>0.66666666666666596</v>
          </cell>
          <cell r="G2050">
            <v>0</v>
          </cell>
          <cell r="H2050">
            <v>0</v>
          </cell>
          <cell r="I2050">
            <v>0</v>
          </cell>
          <cell r="J2050">
            <v>0</v>
          </cell>
          <cell r="K2050">
            <v>0</v>
          </cell>
          <cell r="L2050">
            <v>0</v>
          </cell>
          <cell r="M2050">
            <v>0</v>
          </cell>
          <cell r="N2050">
            <v>0</v>
          </cell>
          <cell r="O2050">
            <v>0</v>
          </cell>
          <cell r="P2050">
            <v>0</v>
          </cell>
          <cell r="Q2050">
            <v>0</v>
          </cell>
          <cell r="R2050">
            <v>0</v>
          </cell>
          <cell r="S2050">
            <v>0</v>
          </cell>
          <cell r="T2050">
            <v>0</v>
          </cell>
          <cell r="U2050">
            <v>0</v>
          </cell>
          <cell r="V2050">
            <v>0</v>
          </cell>
        </row>
        <row r="2051">
          <cell r="A2051" t="str">
            <v>159202</v>
          </cell>
          <cell r="B2051">
            <v>122</v>
          </cell>
          <cell r="C2051">
            <v>96.627737999999994</v>
          </cell>
          <cell r="D2051">
            <v>0.40163934426229497</v>
          </cell>
          <cell r="E2051">
            <v>82.410574999999994</v>
          </cell>
          <cell r="F2051">
            <v>0.36885245901639302</v>
          </cell>
          <cell r="G2051">
            <v>0</v>
          </cell>
          <cell r="H2051">
            <v>0</v>
          </cell>
          <cell r="I2051">
            <v>0</v>
          </cell>
          <cell r="J2051">
            <v>0</v>
          </cell>
          <cell r="K2051">
            <v>0</v>
          </cell>
          <cell r="L2051">
            <v>0</v>
          </cell>
          <cell r="M2051">
            <v>0</v>
          </cell>
          <cell r="N2051">
            <v>0</v>
          </cell>
          <cell r="O2051">
            <v>0</v>
          </cell>
          <cell r="P2051">
            <v>0</v>
          </cell>
          <cell r="Q2051">
            <v>0</v>
          </cell>
          <cell r="R2051">
            <v>0</v>
          </cell>
          <cell r="S2051">
            <v>0</v>
          </cell>
          <cell r="T2051">
            <v>0</v>
          </cell>
          <cell r="U2051">
            <v>0</v>
          </cell>
          <cell r="V2051">
            <v>0</v>
          </cell>
        </row>
        <row r="2052">
          <cell r="A2052" t="str">
            <v>159501</v>
          </cell>
          <cell r="B2052">
            <v>1713.875</v>
          </cell>
          <cell r="C2052">
            <v>67.008960999999999</v>
          </cell>
          <cell r="D2052">
            <v>0.44137931034482702</v>
          </cell>
          <cell r="E2052">
            <v>67.008960999999999</v>
          </cell>
          <cell r="F2052">
            <v>0.44137931034482702</v>
          </cell>
          <cell r="G2052">
            <v>42.198639</v>
          </cell>
          <cell r="H2052">
            <v>1.11993927125506</v>
          </cell>
          <cell r="I2052">
            <v>42.198639</v>
          </cell>
          <cell r="J2052">
            <v>1.11993927125506</v>
          </cell>
          <cell r="K2052">
            <v>54.437950000000001</v>
          </cell>
          <cell r="L2052">
            <v>0.31372549019607798</v>
          </cell>
          <cell r="M2052">
            <v>54.376074000000003</v>
          </cell>
          <cell r="N2052">
            <v>0.31320949432404499</v>
          </cell>
          <cell r="O2052">
            <v>219.13198499999999</v>
          </cell>
          <cell r="P2052">
            <v>0.85957446808510596</v>
          </cell>
          <cell r="Q2052">
            <v>97.458634000000004</v>
          </cell>
          <cell r="R2052">
            <v>0.82765957446808502</v>
          </cell>
          <cell r="S2052">
            <v>179.647762</v>
          </cell>
          <cell r="T2052">
            <v>1.1381322957198401</v>
          </cell>
          <cell r="U2052">
            <v>173.767293</v>
          </cell>
          <cell r="V2052">
            <v>1.13294422827496</v>
          </cell>
        </row>
        <row r="2053">
          <cell r="A2053" t="str">
            <v>159502</v>
          </cell>
          <cell r="B2053">
            <v>3489.333333</v>
          </cell>
          <cell r="C2053">
            <v>12.902590999999999</v>
          </cell>
          <cell r="D2053">
            <v>0.105520414031052</v>
          </cell>
          <cell r="E2053">
            <v>12.902590999999999</v>
          </cell>
          <cell r="F2053">
            <v>0.105520414031052</v>
          </cell>
          <cell r="G2053">
            <v>10.498665000000001</v>
          </cell>
          <cell r="H2053">
            <v>7.9296424452133696E-2</v>
          </cell>
          <cell r="I2053">
            <v>9.2740740000000006</v>
          </cell>
          <cell r="J2053">
            <v>7.8431372549019607E-2</v>
          </cell>
          <cell r="K2053">
            <v>5.4033910000000001</v>
          </cell>
          <cell r="L2053">
            <v>2.0875616120614601E-2</v>
          </cell>
          <cell r="M2053">
            <v>4.2334339999999999</v>
          </cell>
          <cell r="N2053">
            <v>2.0585677007828301E-2</v>
          </cell>
          <cell r="O2053">
            <v>35.693674000000001</v>
          </cell>
          <cell r="P2053">
            <v>0.15623171445289599</v>
          </cell>
          <cell r="Q2053">
            <v>34.708240000000004</v>
          </cell>
          <cell r="R2053">
            <v>0.15125804564072501</v>
          </cell>
          <cell r="S2053">
            <v>276.653211</v>
          </cell>
          <cell r="T2053">
            <v>1.6240352811466301</v>
          </cell>
          <cell r="U2053">
            <v>161.35039499999999</v>
          </cell>
          <cell r="V2053">
            <v>1.5294928335170801</v>
          </cell>
        </row>
        <row r="2054">
          <cell r="A2054" t="str">
            <v>159701</v>
          </cell>
          <cell r="B2054">
            <v>609.33333300000004</v>
          </cell>
          <cell r="C2054">
            <v>1718.405346</v>
          </cell>
          <cell r="D2054">
            <v>3.0842787682333799</v>
          </cell>
          <cell r="E2054">
            <v>261.45005900000001</v>
          </cell>
          <cell r="F2054">
            <v>2.3760129659643399</v>
          </cell>
          <cell r="G2054">
            <v>347.07734199999999</v>
          </cell>
          <cell r="H2054">
            <v>2.0621931260229101</v>
          </cell>
          <cell r="I2054">
            <v>163.26903200000001</v>
          </cell>
          <cell r="J2054">
            <v>1.41407528641571</v>
          </cell>
          <cell r="K2054">
            <v>3074.5589479999999</v>
          </cell>
          <cell r="L2054">
            <v>3.6091954022988499</v>
          </cell>
          <cell r="M2054">
            <v>204.49636000000001</v>
          </cell>
          <cell r="N2054">
            <v>1.3382594417077101</v>
          </cell>
          <cell r="O2054">
            <v>209.472992</v>
          </cell>
          <cell r="P2054">
            <v>0.788778877887788</v>
          </cell>
          <cell r="Q2054">
            <v>209.472992</v>
          </cell>
          <cell r="R2054">
            <v>0.788778877887788</v>
          </cell>
          <cell r="S2054">
            <v>3058.0346330000002</v>
          </cell>
          <cell r="T2054">
            <v>3.39867109634551</v>
          </cell>
          <cell r="U2054">
            <v>474.70099599999998</v>
          </cell>
          <cell r="V2054">
            <v>2.4601328903654398</v>
          </cell>
        </row>
        <row r="2055">
          <cell r="A2055" t="str">
            <v>159702</v>
          </cell>
          <cell r="B2055">
            <v>1206.125</v>
          </cell>
          <cell r="C2055">
            <v>284.622118</v>
          </cell>
          <cell r="D2055">
            <v>2.4836601307189499</v>
          </cell>
          <cell r="E2055">
            <v>284.622118</v>
          </cell>
          <cell r="F2055">
            <v>2.4836601307189499</v>
          </cell>
          <cell r="G2055">
            <v>713.57933200000002</v>
          </cell>
          <cell r="H2055">
            <v>2.2795436022819802</v>
          </cell>
          <cell r="I2055">
            <v>558.78375500000004</v>
          </cell>
          <cell r="J2055">
            <v>2.0668296658516701</v>
          </cell>
          <cell r="K2055">
            <v>2971.3032389999998</v>
          </cell>
          <cell r="L2055">
            <v>3.2825370675453001</v>
          </cell>
          <cell r="M2055">
            <v>250.52121</v>
          </cell>
          <cell r="N2055">
            <v>1.36161449752883</v>
          </cell>
          <cell r="O2055">
            <v>52.386996000000003</v>
          </cell>
          <cell r="P2055">
            <v>0.31223980016652703</v>
          </cell>
          <cell r="Q2055">
            <v>52.386996000000003</v>
          </cell>
          <cell r="R2055">
            <v>0.31223980016652703</v>
          </cell>
          <cell r="S2055">
            <v>1638.0092930000001</v>
          </cell>
          <cell r="T2055">
            <v>2.54056362083689</v>
          </cell>
          <cell r="U2055">
            <v>293.56615399999998</v>
          </cell>
          <cell r="V2055">
            <v>1.5439795046968401</v>
          </cell>
        </row>
        <row r="2056">
          <cell r="A2056" t="str">
            <v>159801</v>
          </cell>
          <cell r="B2056">
            <v>961.8</v>
          </cell>
          <cell r="C2056">
            <v>5167.8439490000001</v>
          </cell>
          <cell r="D2056">
            <v>2.9150460593654</v>
          </cell>
          <cell r="E2056">
            <v>464.08594299999999</v>
          </cell>
          <cell r="F2056">
            <v>1.06345957011258</v>
          </cell>
          <cell r="G2056">
            <v>877.81499699999995</v>
          </cell>
          <cell r="H2056">
            <v>2.8980432543769301</v>
          </cell>
          <cell r="I2056">
            <v>329.76635499999998</v>
          </cell>
          <cell r="J2056">
            <v>2.7085478887744499</v>
          </cell>
          <cell r="K2056">
            <v>321.75450699999999</v>
          </cell>
          <cell r="L2056">
            <v>1.70362694300518</v>
          </cell>
          <cell r="M2056">
            <v>165.28939500000001</v>
          </cell>
          <cell r="N2056">
            <v>1.5264248704663199</v>
          </cell>
          <cell r="O2056">
            <v>76.063098999999994</v>
          </cell>
          <cell r="P2056">
            <v>0.44154488517745299</v>
          </cell>
          <cell r="Q2056">
            <v>29.534759000000001</v>
          </cell>
          <cell r="R2056">
            <v>0.37995824634655501</v>
          </cell>
          <cell r="S2056">
            <v>255.84729799999999</v>
          </cell>
          <cell r="T2056">
            <v>1.1311300639658799</v>
          </cell>
          <cell r="U2056">
            <v>231.952203</v>
          </cell>
          <cell r="V2056">
            <v>1.01279317697228</v>
          </cell>
        </row>
        <row r="2057">
          <cell r="A2057" t="str">
            <v>159802</v>
          </cell>
          <cell r="B2057">
            <v>907.5</v>
          </cell>
          <cell r="C2057">
            <v>942.05080999999996</v>
          </cell>
          <cell r="D2057">
            <v>1.1283710895361301</v>
          </cell>
          <cell r="E2057">
            <v>25.792100999999999</v>
          </cell>
          <cell r="F2057">
            <v>7.0118662351671995E-2</v>
          </cell>
          <cell r="G2057">
            <v>204.88305099999999</v>
          </cell>
          <cell r="H2057">
            <v>1.1545945945945899</v>
          </cell>
          <cell r="I2057">
            <v>204.88305099999999</v>
          </cell>
          <cell r="J2057">
            <v>1.1545945945945899</v>
          </cell>
          <cell r="K2057">
            <v>1300.9839019999999</v>
          </cell>
          <cell r="L2057">
            <v>2.73098125689084</v>
          </cell>
          <cell r="M2057">
            <v>166.406082</v>
          </cell>
          <cell r="N2057">
            <v>2.2756339581036298</v>
          </cell>
          <cell r="O2057">
            <v>11.195772</v>
          </cell>
          <cell r="P2057">
            <v>0.107744107744107</v>
          </cell>
          <cell r="Q2057">
            <v>11.195772</v>
          </cell>
          <cell r="R2057">
            <v>0.107744107744107</v>
          </cell>
          <cell r="S2057">
            <v>70.143805</v>
          </cell>
          <cell r="T2057">
            <v>0.47860360360360299</v>
          </cell>
          <cell r="U2057">
            <v>66.233333000000002</v>
          </cell>
          <cell r="V2057">
            <v>0.46734234234234201</v>
          </cell>
        </row>
        <row r="2058">
          <cell r="A2058" t="str">
            <v>159901</v>
          </cell>
          <cell r="B2058">
            <v>1</v>
          </cell>
          <cell r="C2058">
            <v>0</v>
          </cell>
          <cell r="D2058">
            <v>0</v>
          </cell>
          <cell r="E2058">
            <v>0</v>
          </cell>
          <cell r="F2058">
            <v>0</v>
          </cell>
          <cell r="G2058">
            <v>0</v>
          </cell>
          <cell r="H2058">
            <v>0</v>
          </cell>
          <cell r="I2058">
            <v>0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>
            <v>323.96666599999998</v>
          </cell>
          <cell r="P2058">
            <v>2</v>
          </cell>
          <cell r="Q2058">
            <v>323.96666599999998</v>
          </cell>
          <cell r="R2058">
            <v>2</v>
          </cell>
          <cell r="S2058">
            <v>0</v>
          </cell>
          <cell r="T2058">
            <v>0</v>
          </cell>
          <cell r="U2058">
            <v>0</v>
          </cell>
          <cell r="V2058">
            <v>0</v>
          </cell>
        </row>
        <row r="2059">
          <cell r="A2059" t="str">
            <v>160101</v>
          </cell>
          <cell r="B2059">
            <v>343.2</v>
          </cell>
          <cell r="C2059">
            <v>401.582536</v>
          </cell>
          <cell r="D2059">
            <v>0.47126436781609099</v>
          </cell>
          <cell r="E2059">
            <v>38.923983999999997</v>
          </cell>
          <cell r="F2059">
            <v>0.126436781609195</v>
          </cell>
          <cell r="G2059">
            <v>543.68366200000003</v>
          </cell>
          <cell r="H2059">
            <v>1.1075581395348799</v>
          </cell>
          <cell r="I2059">
            <v>281.783658</v>
          </cell>
          <cell r="J2059">
            <v>1.0174418604651101</v>
          </cell>
          <cell r="K2059">
            <v>3095.2554249999998</v>
          </cell>
          <cell r="L2059">
            <v>2.5901162790697598</v>
          </cell>
          <cell r="M2059">
            <v>272.17863299999999</v>
          </cell>
          <cell r="N2059">
            <v>1.91279069767441</v>
          </cell>
          <cell r="O2059">
            <v>1476.2260980000001</v>
          </cell>
          <cell r="P2059">
            <v>2.17888563049853</v>
          </cell>
          <cell r="Q2059">
            <v>257.45278500000001</v>
          </cell>
          <cell r="R2059">
            <v>1.8621700879765299</v>
          </cell>
          <cell r="S2059">
            <v>725.18864199999996</v>
          </cell>
          <cell r="T2059">
            <v>0.74926253687315603</v>
          </cell>
          <cell r="U2059">
            <v>19.840757</v>
          </cell>
          <cell r="V2059">
            <v>0.29203539823008801</v>
          </cell>
        </row>
        <row r="2060">
          <cell r="A2060" t="str">
            <v>160102</v>
          </cell>
          <cell r="B2060">
            <v>481</v>
          </cell>
          <cell r="C2060">
            <v>969.61213699999996</v>
          </cell>
          <cell r="D2060">
            <v>1.0351239669421399</v>
          </cell>
          <cell r="E2060">
            <v>8.9294650000000004</v>
          </cell>
          <cell r="F2060">
            <v>4.9586776859504099E-2</v>
          </cell>
          <cell r="G2060">
            <v>562.73230000000001</v>
          </cell>
          <cell r="H2060">
            <v>2.5343035343035298</v>
          </cell>
          <cell r="I2060">
            <v>409.97717699999998</v>
          </cell>
          <cell r="J2060">
            <v>2.48856548856548</v>
          </cell>
          <cell r="K2060">
            <v>5442.1243979999999</v>
          </cell>
          <cell r="L2060">
            <v>2.4948453608247401</v>
          </cell>
          <cell r="M2060">
            <v>498.67209600000001</v>
          </cell>
          <cell r="N2060">
            <v>1.6536082474226801</v>
          </cell>
          <cell r="O2060">
            <v>1172.896596</v>
          </cell>
          <cell r="P2060">
            <v>1.44536082474226</v>
          </cell>
          <cell r="Q2060">
            <v>174.425566</v>
          </cell>
          <cell r="R2060">
            <v>1.0721649484536</v>
          </cell>
          <cell r="S2060">
            <v>543.14492800000005</v>
          </cell>
          <cell r="T2060">
            <v>1.78936170212765</v>
          </cell>
          <cell r="U2060">
            <v>280.33812</v>
          </cell>
          <cell r="V2060">
            <v>1.4957446808510599</v>
          </cell>
        </row>
        <row r="2061">
          <cell r="A2061" t="str">
            <v>160201</v>
          </cell>
          <cell r="B2061">
            <v>695.4</v>
          </cell>
          <cell r="C2061">
            <v>580.58207600000003</v>
          </cell>
          <cell r="D2061">
            <v>2.3739255014326601</v>
          </cell>
          <cell r="E2061">
            <v>580.415887</v>
          </cell>
          <cell r="F2061">
            <v>2.3724928366762099</v>
          </cell>
          <cell r="G2061">
            <v>196.47390999999999</v>
          </cell>
          <cell r="H2061">
            <v>1.20341394025604</v>
          </cell>
          <cell r="I2061">
            <v>181.19436999999999</v>
          </cell>
          <cell r="J2061">
            <v>1.1280227596017001</v>
          </cell>
          <cell r="K2061">
            <v>4564.8235839999998</v>
          </cell>
          <cell r="L2061">
            <v>4.3794579172610497</v>
          </cell>
          <cell r="M2061">
            <v>608.00137800000005</v>
          </cell>
          <cell r="N2061">
            <v>1.71041369472182</v>
          </cell>
          <cell r="O2061">
            <v>507.96772399999998</v>
          </cell>
          <cell r="P2061">
            <v>2.0649350649350602</v>
          </cell>
          <cell r="Q2061">
            <v>337.22308800000002</v>
          </cell>
          <cell r="R2061">
            <v>1.6277056277056201</v>
          </cell>
          <cell r="S2061">
            <v>2578.5521010000002</v>
          </cell>
          <cell r="T2061">
            <v>5.6173020527859201</v>
          </cell>
          <cell r="U2061">
            <v>300.74288799999999</v>
          </cell>
          <cell r="V2061">
            <v>2.8607038123167099</v>
          </cell>
        </row>
        <row r="2062">
          <cell r="A2062" t="str">
            <v>160202</v>
          </cell>
          <cell r="B2062">
            <v>1124.5555549999999</v>
          </cell>
          <cell r="C2062">
            <v>156.63608199999999</v>
          </cell>
          <cell r="D2062">
            <v>0.44282029234737702</v>
          </cell>
          <cell r="E2062">
            <v>156.63608199999999</v>
          </cell>
          <cell r="F2062">
            <v>0.44282029234737702</v>
          </cell>
          <cell r="G2062">
            <v>176.89667900000001</v>
          </cell>
          <cell r="H2062">
            <v>0.98955613577023405</v>
          </cell>
          <cell r="I2062">
            <v>96.977466000000007</v>
          </cell>
          <cell r="J2062">
            <v>0.82767624020887698</v>
          </cell>
          <cell r="K2062">
            <v>2415.2882079999999</v>
          </cell>
          <cell r="L2062">
            <v>2.1848958333333299</v>
          </cell>
          <cell r="M2062">
            <v>73.652834999999996</v>
          </cell>
          <cell r="N2062">
            <v>0.48611111111111099</v>
          </cell>
          <cell r="O2062">
            <v>481.47925900000001</v>
          </cell>
          <cell r="P2062">
            <v>1.56065857885615</v>
          </cell>
          <cell r="Q2062">
            <v>148.045233</v>
          </cell>
          <cell r="R2062">
            <v>1.0719237435008599</v>
          </cell>
          <cell r="S2062">
            <v>675.090462</v>
          </cell>
          <cell r="T2062">
            <v>1.953125</v>
          </cell>
          <cell r="U2062">
            <v>232.465104</v>
          </cell>
          <cell r="V2062">
            <v>1.7646484375</v>
          </cell>
        </row>
        <row r="2063">
          <cell r="A2063" t="str">
            <v>160401</v>
          </cell>
          <cell r="B2063">
            <v>599.79999999999995</v>
          </cell>
          <cell r="C2063">
            <v>5197.8378990000001</v>
          </cell>
          <cell r="D2063">
            <v>3.0574018126888198</v>
          </cell>
          <cell r="E2063">
            <v>302.16055999999998</v>
          </cell>
          <cell r="F2063">
            <v>1.80966767371601</v>
          </cell>
          <cell r="G2063">
            <v>708.52779199999998</v>
          </cell>
          <cell r="H2063">
            <v>2.55038759689922</v>
          </cell>
          <cell r="I2063">
            <v>321.51987700000001</v>
          </cell>
          <cell r="J2063">
            <v>1.9410852713178199</v>
          </cell>
          <cell r="K2063">
            <v>4915.2673459999996</v>
          </cell>
          <cell r="L2063">
            <v>3.0941915227629502</v>
          </cell>
          <cell r="M2063">
            <v>351.93702200000001</v>
          </cell>
          <cell r="N2063">
            <v>1.2464678178963799</v>
          </cell>
          <cell r="O2063">
            <v>521.34945500000003</v>
          </cell>
          <cell r="P2063">
            <v>0.95988112927191604</v>
          </cell>
          <cell r="Q2063">
            <v>146.91978700000001</v>
          </cell>
          <cell r="R2063">
            <v>0.81426448736998502</v>
          </cell>
          <cell r="S2063">
            <v>2956.6463290000002</v>
          </cell>
          <cell r="T2063">
            <v>3.3548387096774102</v>
          </cell>
          <cell r="U2063">
            <v>593.17959299999995</v>
          </cell>
          <cell r="V2063">
            <v>1.86115007012622</v>
          </cell>
        </row>
        <row r="2064">
          <cell r="A2064" t="str">
            <v>160402</v>
          </cell>
          <cell r="B2064">
            <v>757.6</v>
          </cell>
          <cell r="C2064">
            <v>3528.776468</v>
          </cell>
          <cell r="D2064">
            <v>3.1969696969696901</v>
          </cell>
          <cell r="E2064">
            <v>206.96807699999999</v>
          </cell>
          <cell r="F2064">
            <v>1.2333333333333301</v>
          </cell>
          <cell r="G2064">
            <v>1279.5521450000001</v>
          </cell>
          <cell r="H2064">
            <v>1.4486552567237101</v>
          </cell>
          <cell r="I2064">
            <v>55.791243000000001</v>
          </cell>
          <cell r="J2064">
            <v>0.21882640586797</v>
          </cell>
          <cell r="K2064">
            <v>2327.9257379999999</v>
          </cell>
          <cell r="L2064">
            <v>1.5431034482758601</v>
          </cell>
          <cell r="M2064">
            <v>553.49790599999994</v>
          </cell>
          <cell r="N2064">
            <v>0.82758620689655105</v>
          </cell>
          <cell r="O2064">
            <v>756.75979099999995</v>
          </cell>
          <cell r="P2064">
            <v>4.4031830238726704</v>
          </cell>
          <cell r="Q2064">
            <v>752.00068499999998</v>
          </cell>
          <cell r="R2064">
            <v>4.3992042440318304</v>
          </cell>
          <cell r="S2064">
            <v>7153.5808230000002</v>
          </cell>
          <cell r="T2064">
            <v>3.8172043010752601</v>
          </cell>
          <cell r="U2064">
            <v>216.94478000000001</v>
          </cell>
          <cell r="V2064">
            <v>1.7446236559139701</v>
          </cell>
        </row>
        <row r="2065">
          <cell r="A2065" t="str">
            <v>161201</v>
          </cell>
          <cell r="B2065">
            <v>291.25</v>
          </cell>
          <cell r="C2065">
            <v>8.9040999999999995E-2</v>
          </cell>
          <cell r="D2065">
            <v>3.4246575342465699E-3</v>
          </cell>
          <cell r="E2065">
            <v>8.9040999999999995E-2</v>
          </cell>
          <cell r="F2065">
            <v>3.4246575342465699E-3</v>
          </cell>
          <cell r="G2065">
            <v>223.77771200000001</v>
          </cell>
          <cell r="H2065">
            <v>0.380136986301369</v>
          </cell>
          <cell r="I2065">
            <v>24.488123999999999</v>
          </cell>
          <cell r="J2065">
            <v>0.267123287671232</v>
          </cell>
          <cell r="K2065">
            <v>36.414597000000001</v>
          </cell>
          <cell r="L2065">
            <v>8.9655172413793102E-2</v>
          </cell>
          <cell r="M2065">
            <v>29.645862000000001</v>
          </cell>
          <cell r="N2065">
            <v>8.2758620689655102E-2</v>
          </cell>
          <cell r="O2065">
            <v>10.634264999999999</v>
          </cell>
          <cell r="P2065">
            <v>0.124999999999999</v>
          </cell>
          <cell r="Q2065">
            <v>8.8315239999999999</v>
          </cell>
          <cell r="R2065">
            <v>0.12171052631578901</v>
          </cell>
          <cell r="S2065">
            <v>5.9518789999999999</v>
          </cell>
          <cell r="T2065">
            <v>6.01503759398496E-2</v>
          </cell>
          <cell r="U2065">
            <v>5.9518789999999999</v>
          </cell>
          <cell r="V2065">
            <v>6.01503759398496E-2</v>
          </cell>
        </row>
        <row r="2066">
          <cell r="A2066" t="str">
            <v>161202</v>
          </cell>
          <cell r="B2066">
            <v>333</v>
          </cell>
          <cell r="C2066">
            <v>127.28631900000001</v>
          </cell>
          <cell r="D2066">
            <v>1.5703125</v>
          </cell>
          <cell r="E2066">
            <v>127.28631900000001</v>
          </cell>
          <cell r="F2066">
            <v>1.5703125</v>
          </cell>
          <cell r="G2066">
            <v>251.53966299999999</v>
          </cell>
          <cell r="H2066">
            <v>1.9661458333333299</v>
          </cell>
          <cell r="I2066">
            <v>251.53966299999999</v>
          </cell>
          <cell r="J2066">
            <v>1.9661458333333299</v>
          </cell>
          <cell r="K2066">
            <v>190.38459800000001</v>
          </cell>
          <cell r="L2066">
            <v>9.9476439790575896E-2</v>
          </cell>
          <cell r="M2066">
            <v>6.6171899999999999</v>
          </cell>
          <cell r="N2066">
            <v>3.4031413612565398E-2</v>
          </cell>
          <cell r="O2066">
            <v>819.88707199999999</v>
          </cell>
          <cell r="P2066">
            <v>4.1994459833795004</v>
          </cell>
          <cell r="Q2066">
            <v>380.88702599999999</v>
          </cell>
          <cell r="R2066">
            <v>3.2493074792243699</v>
          </cell>
          <cell r="S2066">
            <v>133.83560900000001</v>
          </cell>
          <cell r="T2066">
            <v>1.06341463414634</v>
          </cell>
          <cell r="U2066">
            <v>129.214878</v>
          </cell>
          <cell r="V2066">
            <v>1.0195121951219499</v>
          </cell>
        </row>
        <row r="2067">
          <cell r="A2067" t="str">
            <v>161301</v>
          </cell>
          <cell r="B2067">
            <v>862.4</v>
          </cell>
          <cell r="C2067">
            <v>359.95231999999999</v>
          </cell>
          <cell r="D2067">
            <v>3.03452243958573</v>
          </cell>
          <cell r="E2067">
            <v>354.55846600000001</v>
          </cell>
          <cell r="F2067">
            <v>2.9401611047180598</v>
          </cell>
          <cell r="G2067">
            <v>319.78295100000003</v>
          </cell>
          <cell r="H2067">
            <v>1.27681660899653</v>
          </cell>
          <cell r="I2067">
            <v>200.735174</v>
          </cell>
          <cell r="J2067">
            <v>0.756632064590542</v>
          </cell>
          <cell r="K2067">
            <v>1051.0272379999999</v>
          </cell>
          <cell r="L2067">
            <v>2.8650519031141801</v>
          </cell>
          <cell r="M2067">
            <v>426.50074899999998</v>
          </cell>
          <cell r="N2067">
            <v>2.40945790080738</v>
          </cell>
          <cell r="O2067">
            <v>748.07037400000002</v>
          </cell>
          <cell r="P2067">
            <v>0.59327925840092599</v>
          </cell>
          <cell r="Q2067">
            <v>10.124390999999999</v>
          </cell>
          <cell r="R2067">
            <v>6.2572421784472698E-2</v>
          </cell>
          <cell r="S2067">
            <v>1158.877383</v>
          </cell>
          <cell r="T2067">
            <v>3.3167848699763498</v>
          </cell>
          <cell r="U2067">
            <v>296.49491699999999</v>
          </cell>
          <cell r="V2067">
            <v>2.1300236406619302</v>
          </cell>
        </row>
        <row r="2068">
          <cell r="A2068" t="str">
            <v>161302</v>
          </cell>
          <cell r="B2068">
            <v>422.4</v>
          </cell>
          <cell r="C2068">
            <v>17.056851000000002</v>
          </cell>
          <cell r="D2068">
            <v>9.2378752886836002E-2</v>
          </cell>
          <cell r="E2068">
            <v>15.861656</v>
          </cell>
          <cell r="F2068">
            <v>9.0069284064665106E-2</v>
          </cell>
          <cell r="G2068">
            <v>1036.4948670000001</v>
          </cell>
          <cell r="H2068">
            <v>4.0324825986078796</v>
          </cell>
          <cell r="I2068">
            <v>534.10360600000001</v>
          </cell>
          <cell r="J2068">
            <v>3.8422273781902501</v>
          </cell>
          <cell r="K2068">
            <v>2264.830007</v>
          </cell>
          <cell r="L2068">
            <v>1.79812206572769</v>
          </cell>
          <cell r="M2068">
            <v>493.273552</v>
          </cell>
          <cell r="N2068">
            <v>1.1784037558685401</v>
          </cell>
          <cell r="O2068">
            <v>537.40019700000005</v>
          </cell>
          <cell r="P2068">
            <v>3.8571428571428501</v>
          </cell>
          <cell r="Q2068">
            <v>526.60551499999997</v>
          </cell>
          <cell r="R2068">
            <v>3.8166666666666602</v>
          </cell>
          <cell r="S2068">
            <v>613.90609300000006</v>
          </cell>
          <cell r="T2068">
            <v>1.3383084577114399</v>
          </cell>
          <cell r="U2068">
            <v>201.36459300000001</v>
          </cell>
          <cell r="V2068">
            <v>0.59452736318407895</v>
          </cell>
        </row>
        <row r="2069">
          <cell r="A2069" t="str">
            <v>161901</v>
          </cell>
          <cell r="B2069">
            <v>52.5</v>
          </cell>
          <cell r="C2069">
            <v>0</v>
          </cell>
          <cell r="D2069">
            <v>0</v>
          </cell>
          <cell r="E2069">
            <v>0</v>
          </cell>
          <cell r="F2069">
            <v>0</v>
          </cell>
          <cell r="G2069">
            <v>0</v>
          </cell>
          <cell r="H2069">
            <v>0</v>
          </cell>
          <cell r="I2069">
            <v>0</v>
          </cell>
          <cell r="J2069">
            <v>0</v>
          </cell>
          <cell r="K2069">
            <v>0</v>
          </cell>
          <cell r="L2069">
            <v>0</v>
          </cell>
          <cell r="M2069">
            <v>0</v>
          </cell>
          <cell r="N2069">
            <v>0</v>
          </cell>
          <cell r="O2069">
            <v>123.131446</v>
          </cell>
          <cell r="P2069">
            <v>2</v>
          </cell>
          <cell r="Q2069">
            <v>123.131446</v>
          </cell>
          <cell r="R2069">
            <v>2</v>
          </cell>
          <cell r="S2069">
            <v>669.81474300000002</v>
          </cell>
          <cell r="T2069">
            <v>1.90384615384615</v>
          </cell>
          <cell r="U2069">
            <v>0</v>
          </cell>
          <cell r="V2069">
            <v>0</v>
          </cell>
        </row>
        <row r="2070">
          <cell r="A2070" t="str">
            <v>161902</v>
          </cell>
          <cell r="B2070">
            <v>924.2</v>
          </cell>
          <cell r="C2070">
            <v>3647.69868</v>
          </cell>
          <cell r="D2070">
            <v>7.4587813620071604</v>
          </cell>
          <cell r="E2070">
            <v>693.25319100000002</v>
          </cell>
          <cell r="F2070">
            <v>6.4354838709677402</v>
          </cell>
          <cell r="G2070">
            <v>310.72322100000002</v>
          </cell>
          <cell r="H2070">
            <v>1.5434985968194499</v>
          </cell>
          <cell r="I2070">
            <v>256.63484299999999</v>
          </cell>
          <cell r="J2070">
            <v>1.48924228250701</v>
          </cell>
          <cell r="K2070">
            <v>1538.2546259999999</v>
          </cell>
          <cell r="L2070">
            <v>1.4048543689320301</v>
          </cell>
          <cell r="M2070">
            <v>131.24802500000001</v>
          </cell>
          <cell r="N2070">
            <v>1.0359223300970799</v>
          </cell>
          <cell r="O2070">
            <v>331.81073400000002</v>
          </cell>
          <cell r="P2070">
            <v>2.1820020222446899</v>
          </cell>
          <cell r="Q2070">
            <v>306.45857699999999</v>
          </cell>
          <cell r="R2070">
            <v>2.1233569261880598</v>
          </cell>
          <cell r="S2070">
            <v>2265.9467340000001</v>
          </cell>
          <cell r="T2070">
            <v>2.0656410256410198</v>
          </cell>
          <cell r="U2070">
            <v>586.26976000000002</v>
          </cell>
          <cell r="V2070">
            <v>1.13230769230769</v>
          </cell>
        </row>
        <row r="2071">
          <cell r="A2071" t="str">
            <v>162001</v>
          </cell>
          <cell r="B2071">
            <v>554.6</v>
          </cell>
          <cell r="C2071">
            <v>1152.0212019999999</v>
          </cell>
          <cell r="D2071">
            <v>3.0438596491227998</v>
          </cell>
          <cell r="E2071">
            <v>292.174283</v>
          </cell>
          <cell r="F2071">
            <v>1.09649122807017</v>
          </cell>
          <cell r="G2071">
            <v>13.085073</v>
          </cell>
          <cell r="H2071">
            <v>2.4691358024691301E-2</v>
          </cell>
          <cell r="I2071">
            <v>5.359057</v>
          </cell>
          <cell r="J2071">
            <v>2.2927689594356201E-2</v>
          </cell>
          <cell r="K2071">
            <v>640.18128999999999</v>
          </cell>
          <cell r="L2071">
            <v>2.6127886323268199</v>
          </cell>
          <cell r="M2071">
            <v>234.061486</v>
          </cell>
          <cell r="N2071">
            <v>1.80461811722912</v>
          </cell>
          <cell r="O2071">
            <v>46.865254</v>
          </cell>
          <cell r="P2071">
            <v>0.11351351351351301</v>
          </cell>
          <cell r="Q2071">
            <v>1.2482880000000001</v>
          </cell>
          <cell r="R2071">
            <v>1.4414414414414401E-2</v>
          </cell>
          <cell r="S2071">
            <v>108.43478</v>
          </cell>
          <cell r="T2071">
            <v>0.59459459459459396</v>
          </cell>
          <cell r="U2071">
            <v>96.550449999999998</v>
          </cell>
          <cell r="V2071">
            <v>0.57335907335907299</v>
          </cell>
        </row>
        <row r="2072">
          <cell r="A2072" t="str">
            <v>162002</v>
          </cell>
          <cell r="B2072">
            <v>478.2</v>
          </cell>
          <cell r="C2072">
            <v>1305.7322429999999</v>
          </cell>
          <cell r="D2072">
            <v>1.54244306418219</v>
          </cell>
          <cell r="E2072">
            <v>317.88719400000002</v>
          </cell>
          <cell r="F2072">
            <v>1.19668737060041</v>
          </cell>
          <cell r="G2072">
            <v>204.49522200000001</v>
          </cell>
          <cell r="H2072">
            <v>0.58958333333333302</v>
          </cell>
          <cell r="I2072">
            <v>42.297010999999998</v>
          </cell>
          <cell r="J2072">
            <v>0.50833333333333297</v>
          </cell>
          <cell r="K2072">
            <v>690.59426900000005</v>
          </cell>
          <cell r="L2072">
            <v>1.80293501048218</v>
          </cell>
          <cell r="M2072">
            <v>137.04699500000001</v>
          </cell>
          <cell r="N2072">
            <v>0.66247379454926603</v>
          </cell>
          <cell r="O2072">
            <v>93.117996000000005</v>
          </cell>
          <cell r="P2072">
            <v>0.14915966386554599</v>
          </cell>
          <cell r="Q2072">
            <v>6.4608189999999999</v>
          </cell>
          <cell r="R2072">
            <v>5.6722689075630203E-2</v>
          </cell>
          <cell r="S2072">
            <v>307.06498199999999</v>
          </cell>
          <cell r="T2072">
            <v>2.3389473684210502</v>
          </cell>
          <cell r="U2072">
            <v>269.18803500000001</v>
          </cell>
          <cell r="V2072">
            <v>2.31368421052631</v>
          </cell>
        </row>
        <row r="2073">
          <cell r="A2073" t="str">
            <v>162201</v>
          </cell>
          <cell r="B2073">
            <v>1785.5555549999999</v>
          </cell>
          <cell r="C2073">
            <v>17.028548000000001</v>
          </cell>
          <cell r="D2073">
            <v>8.5540838852097095E-2</v>
          </cell>
          <cell r="E2073">
            <v>17.028548000000001</v>
          </cell>
          <cell r="F2073">
            <v>8.5540838852097095E-2</v>
          </cell>
          <cell r="G2073">
            <v>423.760154</v>
          </cell>
          <cell r="H2073">
            <v>2.4728982300884899</v>
          </cell>
          <cell r="I2073">
            <v>415.76544999999999</v>
          </cell>
          <cell r="J2073">
            <v>2.4657079646017599</v>
          </cell>
          <cell r="K2073">
            <v>230.52891299999999</v>
          </cell>
          <cell r="L2073">
            <v>0.58885793871866199</v>
          </cell>
          <cell r="M2073">
            <v>81.903583999999995</v>
          </cell>
          <cell r="N2073">
            <v>0.4</v>
          </cell>
          <cell r="O2073">
            <v>519.24638900000002</v>
          </cell>
          <cell r="P2073">
            <v>1.07106598984771</v>
          </cell>
          <cell r="Q2073">
            <v>455.136256</v>
          </cell>
          <cell r="R2073">
            <v>0.93401015228426298</v>
          </cell>
          <cell r="S2073">
            <v>96.148838999999995</v>
          </cell>
          <cell r="T2073">
            <v>0.56360524814603497</v>
          </cell>
          <cell r="U2073">
            <v>90.847318000000001</v>
          </cell>
          <cell r="V2073">
            <v>0.51340559041642797</v>
          </cell>
        </row>
        <row r="2074">
          <cell r="A2074" t="str">
            <v>162202</v>
          </cell>
          <cell r="B2074">
            <v>593.625</v>
          </cell>
          <cell r="C2074">
            <v>35.531364000000004</v>
          </cell>
          <cell r="D2074">
            <v>0.327242524916943</v>
          </cell>
          <cell r="E2074">
            <v>35.531364000000004</v>
          </cell>
          <cell r="F2074">
            <v>0.327242524916943</v>
          </cell>
          <cell r="G2074">
            <v>182.973555</v>
          </cell>
          <cell r="H2074">
            <v>1.1003344481605299</v>
          </cell>
          <cell r="I2074">
            <v>106.41423899999999</v>
          </cell>
          <cell r="J2074">
            <v>0.76588628762541799</v>
          </cell>
          <cell r="K2074">
            <v>332.32568600000002</v>
          </cell>
          <cell r="L2074">
            <v>0.78151260504201603</v>
          </cell>
          <cell r="M2074">
            <v>68.560643999999996</v>
          </cell>
          <cell r="N2074">
            <v>0.44537815126050401</v>
          </cell>
          <cell r="O2074">
            <v>469.186058</v>
          </cell>
          <cell r="P2074">
            <v>1.2453151618398599</v>
          </cell>
          <cell r="Q2074">
            <v>367.070584</v>
          </cell>
          <cell r="R2074">
            <v>1.1413969335604699</v>
          </cell>
          <cell r="S2074">
            <v>29.408517</v>
          </cell>
          <cell r="T2074">
            <v>0.16695059625212899</v>
          </cell>
          <cell r="U2074">
            <v>29.408517</v>
          </cell>
          <cell r="V2074">
            <v>0.16695059625212899</v>
          </cell>
        </row>
        <row r="2075">
          <cell r="A2075" t="str">
            <v>162601</v>
          </cell>
          <cell r="B2075">
            <v>578.88888799999995</v>
          </cell>
          <cell r="C2075">
            <v>156.72461799999999</v>
          </cell>
          <cell r="D2075">
            <v>1.01331360946745</v>
          </cell>
          <cell r="E2075">
            <v>156.72461799999999</v>
          </cell>
          <cell r="F2075">
            <v>1.01331360946745</v>
          </cell>
          <cell r="G2075">
            <v>184.51990499999999</v>
          </cell>
          <cell r="H2075">
            <v>0.70430906389301595</v>
          </cell>
          <cell r="I2075">
            <v>77.883956999999995</v>
          </cell>
          <cell r="J2075">
            <v>0.42793462109955399</v>
          </cell>
          <cell r="K2075">
            <v>484.03190999999998</v>
          </cell>
          <cell r="L2075">
            <v>0.50149700598802305</v>
          </cell>
          <cell r="M2075">
            <v>94.235853000000006</v>
          </cell>
          <cell r="N2075">
            <v>0.309880239520958</v>
          </cell>
          <cell r="O2075">
            <v>392.07541500000002</v>
          </cell>
          <cell r="P2075">
            <v>0.53101361573373596</v>
          </cell>
          <cell r="Q2075">
            <v>25.807034000000002</v>
          </cell>
          <cell r="R2075">
            <v>0.17095310136157299</v>
          </cell>
          <cell r="S2075">
            <v>671.27012500000001</v>
          </cell>
          <cell r="T2075">
            <v>3.9132075471698098</v>
          </cell>
          <cell r="U2075">
            <v>631.22666600000002</v>
          </cell>
          <cell r="V2075">
            <v>3.7320754716981099</v>
          </cell>
        </row>
        <row r="2076">
          <cell r="A2076" t="str">
            <v>162602</v>
          </cell>
          <cell r="B2076">
            <v>1018.125</v>
          </cell>
          <cell r="C2076">
            <v>308.758557</v>
          </cell>
          <cell r="D2076">
            <v>2.1716842961757501</v>
          </cell>
          <cell r="E2076">
            <v>308.758557</v>
          </cell>
          <cell r="F2076">
            <v>2.1716842961757501</v>
          </cell>
          <cell r="G2076">
            <v>211.03817599999999</v>
          </cell>
          <cell r="H2076">
            <v>0.94926350245499103</v>
          </cell>
          <cell r="I2076">
            <v>168.364563</v>
          </cell>
          <cell r="J2076">
            <v>0.79869067103109603</v>
          </cell>
          <cell r="K2076">
            <v>288.57308399999999</v>
          </cell>
          <cell r="L2076">
            <v>1.0396694214876001</v>
          </cell>
          <cell r="M2076">
            <v>182.97241</v>
          </cell>
          <cell r="N2076">
            <v>0.87933884297520604</v>
          </cell>
          <cell r="O2076">
            <v>101.47344200000001</v>
          </cell>
          <cell r="P2076">
            <v>0.56343656343656301</v>
          </cell>
          <cell r="Q2076">
            <v>61.782217000000003</v>
          </cell>
          <cell r="R2076">
            <v>0.54045954045954003</v>
          </cell>
          <cell r="S2076">
            <v>25.042332999999999</v>
          </cell>
          <cell r="T2076">
            <v>0.54</v>
          </cell>
          <cell r="U2076">
            <v>25.042332999999999</v>
          </cell>
          <cell r="V2076">
            <v>0.54</v>
          </cell>
        </row>
        <row r="2077">
          <cell r="A2077" t="str">
            <v>162801</v>
          </cell>
          <cell r="B2077">
            <v>773.22222199999999</v>
          </cell>
          <cell r="C2077">
            <v>1719.993516</v>
          </cell>
          <cell r="D2077">
            <v>1.8829915560916699</v>
          </cell>
          <cell r="E2077">
            <v>246.66995900000001</v>
          </cell>
          <cell r="F2077">
            <v>0.47406513872135098</v>
          </cell>
          <cell r="G2077">
            <v>104.593295</v>
          </cell>
          <cell r="H2077">
            <v>0.37056504599211498</v>
          </cell>
          <cell r="I2077">
            <v>104.593295</v>
          </cell>
          <cell r="J2077">
            <v>0.37056504599211498</v>
          </cell>
          <cell r="K2077">
            <v>1029.397232</v>
          </cell>
          <cell r="L2077">
            <v>1.63398692810457</v>
          </cell>
          <cell r="M2077">
            <v>242.49623</v>
          </cell>
          <cell r="N2077">
            <v>1.1084967320261401</v>
          </cell>
          <cell r="O2077">
            <v>498.83477800000003</v>
          </cell>
          <cell r="P2077">
            <v>1.4204993429697701</v>
          </cell>
          <cell r="Q2077">
            <v>454.45477399999999</v>
          </cell>
          <cell r="R2077">
            <v>1.1931668856767399</v>
          </cell>
          <cell r="S2077">
            <v>105.675962</v>
          </cell>
          <cell r="T2077">
            <v>0.473118279569892</v>
          </cell>
          <cell r="U2077">
            <v>83.391553999999999</v>
          </cell>
          <cell r="V2077">
            <v>0.46639784946236501</v>
          </cell>
        </row>
        <row r="2078">
          <cell r="A2078" t="str">
            <v>162802</v>
          </cell>
          <cell r="B2078">
            <v>1076.6666660000001</v>
          </cell>
          <cell r="C2078">
            <v>341.23944599999999</v>
          </cell>
          <cell r="D2078">
            <v>0.320569902048085</v>
          </cell>
          <cell r="E2078">
            <v>17.430057999999999</v>
          </cell>
          <cell r="F2078">
            <v>8.3704363312555596E-2</v>
          </cell>
          <cell r="G2078">
            <v>249.129479</v>
          </cell>
          <cell r="H2078">
            <v>0.63031914893617003</v>
          </cell>
          <cell r="I2078">
            <v>106.257603</v>
          </cell>
          <cell r="J2078">
            <v>0.39184397163120499</v>
          </cell>
          <cell r="K2078">
            <v>1989.4457749999999</v>
          </cell>
          <cell r="L2078">
            <v>2.7281910009182702</v>
          </cell>
          <cell r="M2078">
            <v>676.59992299999999</v>
          </cell>
          <cell r="N2078">
            <v>2.3856749311294698</v>
          </cell>
          <cell r="O2078">
            <v>477.10947399999998</v>
          </cell>
          <cell r="P2078">
            <v>1.9384920634920599</v>
          </cell>
          <cell r="Q2078">
            <v>477.10947399999998</v>
          </cell>
          <cell r="R2078">
            <v>1.9384920634920599</v>
          </cell>
          <cell r="S2078">
            <v>82.679686000000004</v>
          </cell>
          <cell r="T2078">
            <v>0.20179820179820099</v>
          </cell>
          <cell r="U2078">
            <v>68.073775999999995</v>
          </cell>
          <cell r="V2078">
            <v>0.188811188811188</v>
          </cell>
        </row>
        <row r="2079">
          <cell r="A2079" t="str">
            <v>162901</v>
          </cell>
          <cell r="B2079">
            <v>1</v>
          </cell>
          <cell r="C2079">
            <v>1614.5824</v>
          </cell>
          <cell r="D2079">
            <v>1</v>
          </cell>
          <cell r="E2079">
            <v>0</v>
          </cell>
          <cell r="F2079">
            <v>0</v>
          </cell>
          <cell r="G2079">
            <v>31.062366999999998</v>
          </cell>
          <cell r="H2079">
            <v>1</v>
          </cell>
          <cell r="I2079">
            <v>31.062366999999998</v>
          </cell>
          <cell r="J2079">
            <v>1</v>
          </cell>
          <cell r="K2079">
            <v>0</v>
          </cell>
          <cell r="L2079">
            <v>0</v>
          </cell>
          <cell r="M2079">
            <v>0</v>
          </cell>
          <cell r="N2079">
            <v>0</v>
          </cell>
          <cell r="O2079">
            <v>0</v>
          </cell>
          <cell r="P2079">
            <v>0</v>
          </cell>
          <cell r="Q2079">
            <v>0</v>
          </cell>
          <cell r="R2079">
            <v>0</v>
          </cell>
          <cell r="S2079">
            <v>156.44999999999999</v>
          </cell>
          <cell r="T2079">
            <v>1</v>
          </cell>
          <cell r="U2079">
            <v>156.44999999999999</v>
          </cell>
          <cell r="V2079">
            <v>1</v>
          </cell>
        </row>
        <row r="2080">
          <cell r="A2080" t="str">
            <v>163101</v>
          </cell>
          <cell r="B2080">
            <v>899.6</v>
          </cell>
          <cell r="C2080">
            <v>83.322765000000004</v>
          </cell>
          <cell r="D2080">
            <v>0.154175588865096</v>
          </cell>
          <cell r="E2080">
            <v>20.190515999999999</v>
          </cell>
          <cell r="F2080">
            <v>0.122055674518201</v>
          </cell>
          <cell r="G2080">
            <v>374.618538</v>
          </cell>
          <cell r="H2080">
            <v>1.9732905982905899</v>
          </cell>
          <cell r="I2080">
            <v>231.16838999999999</v>
          </cell>
          <cell r="J2080">
            <v>1.45299145299145</v>
          </cell>
          <cell r="K2080">
            <v>644.39434700000004</v>
          </cell>
          <cell r="L2080">
            <v>1.1054897739504801</v>
          </cell>
          <cell r="M2080">
            <v>99.837063999999998</v>
          </cell>
          <cell r="N2080">
            <v>0.43379978471474701</v>
          </cell>
          <cell r="O2080">
            <v>126.487504</v>
          </cell>
          <cell r="P2080">
            <v>1.28802588996763</v>
          </cell>
          <cell r="Q2080">
            <v>58.916899999999998</v>
          </cell>
          <cell r="R2080">
            <v>1.1715210355987</v>
          </cell>
          <cell r="S2080">
            <v>2505.2652410000001</v>
          </cell>
          <cell r="T2080">
            <v>6.4611398963730498</v>
          </cell>
          <cell r="U2080">
            <v>717.97491300000002</v>
          </cell>
          <cell r="V2080">
            <v>4.8186528497409302</v>
          </cell>
        </row>
        <row r="2081">
          <cell r="A2081" t="str">
            <v>163102</v>
          </cell>
          <cell r="B2081">
            <v>1490.2</v>
          </cell>
          <cell r="C2081">
            <v>495.48458099999999</v>
          </cell>
          <cell r="D2081">
            <v>1.6032110091743099</v>
          </cell>
          <cell r="E2081">
            <v>136.21455499999999</v>
          </cell>
          <cell r="F2081">
            <v>1.39793577981651</v>
          </cell>
          <cell r="G2081">
            <v>246.008926</v>
          </cell>
          <cell r="H2081">
            <v>1.3116578793204401</v>
          </cell>
          <cell r="I2081">
            <v>235.27123599999999</v>
          </cell>
          <cell r="J2081">
            <v>1.22554188635032</v>
          </cell>
          <cell r="K2081">
            <v>1083.531999</v>
          </cell>
          <cell r="L2081">
            <v>2.9033412887828098</v>
          </cell>
          <cell r="M2081">
            <v>295.53839399999998</v>
          </cell>
          <cell r="N2081">
            <v>1.3926014319808999</v>
          </cell>
          <cell r="O2081">
            <v>201.63426200000001</v>
          </cell>
          <cell r="P2081">
            <v>2.61795027289266</v>
          </cell>
          <cell r="Q2081">
            <v>184.60867099999999</v>
          </cell>
          <cell r="R2081">
            <v>2.4851425106124898</v>
          </cell>
          <cell r="S2081">
            <v>1685.007012</v>
          </cell>
          <cell r="T2081">
            <v>6.49967679379444</v>
          </cell>
          <cell r="U2081">
            <v>609.082988</v>
          </cell>
          <cell r="V2081">
            <v>5.1389786683904299</v>
          </cell>
        </row>
        <row r="2082">
          <cell r="A2082" t="str">
            <v>163502</v>
          </cell>
          <cell r="B2082">
            <v>816.6</v>
          </cell>
          <cell r="C2082">
            <v>1415.4215220000001</v>
          </cell>
          <cell r="D2082">
            <v>1.9482551143200899</v>
          </cell>
          <cell r="E2082">
            <v>289.22967699999998</v>
          </cell>
          <cell r="F2082">
            <v>1.1829121540312799</v>
          </cell>
          <cell r="G2082">
            <v>125.473185</v>
          </cell>
          <cell r="H2082">
            <v>0.56242424242424205</v>
          </cell>
          <cell r="I2082">
            <v>124.05783</v>
          </cell>
          <cell r="J2082">
            <v>0.56000000000000005</v>
          </cell>
          <cell r="K2082">
            <v>496.55953399999999</v>
          </cell>
          <cell r="L2082">
            <v>1.7139393939393901</v>
          </cell>
          <cell r="M2082">
            <v>134.89616100000001</v>
          </cell>
          <cell r="N2082">
            <v>1.03515151515151</v>
          </cell>
          <cell r="O2082">
            <v>71.644491000000002</v>
          </cell>
          <cell r="P2082">
            <v>0.59024390243902403</v>
          </cell>
          <cell r="Q2082">
            <v>49.724145999999998</v>
          </cell>
          <cell r="R2082">
            <v>0.35975609756097499</v>
          </cell>
          <cell r="S2082">
            <v>727.05449599999997</v>
          </cell>
          <cell r="T2082">
            <v>1.7774936061380999</v>
          </cell>
          <cell r="U2082">
            <v>357.18520799999999</v>
          </cell>
          <cell r="V2082">
            <v>1.55242966751918</v>
          </cell>
        </row>
        <row r="2083">
          <cell r="A2083" t="str">
            <v>163503</v>
          </cell>
          <cell r="B2083">
            <v>587.375</v>
          </cell>
          <cell r="C2083">
            <v>610.91243799999995</v>
          </cell>
          <cell r="D2083">
            <v>1.14754098360655</v>
          </cell>
          <cell r="E2083">
            <v>83.835577999999998</v>
          </cell>
          <cell r="F2083">
            <v>0.71147540983606505</v>
          </cell>
          <cell r="G2083">
            <v>15.869047</v>
          </cell>
          <cell r="H2083">
            <v>7.2881355932203296E-2</v>
          </cell>
          <cell r="I2083">
            <v>15.869047</v>
          </cell>
          <cell r="J2083">
            <v>7.2881355932203296E-2</v>
          </cell>
          <cell r="K2083">
            <v>211.13771600000001</v>
          </cell>
          <cell r="L2083">
            <v>0.60380622837370201</v>
          </cell>
          <cell r="M2083">
            <v>25.828806</v>
          </cell>
          <cell r="N2083">
            <v>0.20588235294117599</v>
          </cell>
          <cell r="O2083">
            <v>204.73066800000001</v>
          </cell>
          <cell r="P2083">
            <v>1.49200710479573</v>
          </cell>
          <cell r="Q2083">
            <v>183.12267600000001</v>
          </cell>
          <cell r="R2083">
            <v>1.4174067495559499</v>
          </cell>
          <cell r="S2083">
            <v>406.89365700000002</v>
          </cell>
          <cell r="T2083">
            <v>2.8286655683690198</v>
          </cell>
          <cell r="U2083">
            <v>406.89365700000002</v>
          </cell>
          <cell r="V2083">
            <v>2.8286655683690198</v>
          </cell>
        </row>
        <row r="2084">
          <cell r="A2084" t="str">
            <v>163601</v>
          </cell>
          <cell r="B2084">
            <v>544.33333300000004</v>
          </cell>
          <cell r="C2084">
            <v>39.535406000000002</v>
          </cell>
          <cell r="D2084">
            <v>6.7307692307692304E-2</v>
          </cell>
          <cell r="E2084">
            <v>13.776717</v>
          </cell>
          <cell r="F2084">
            <v>6.0897435897435799E-2</v>
          </cell>
          <cell r="G2084">
            <v>129.64064300000001</v>
          </cell>
          <cell r="H2084">
            <v>0.15048543689320301</v>
          </cell>
          <cell r="I2084">
            <v>17.995466</v>
          </cell>
          <cell r="J2084">
            <v>8.5760517799352703E-2</v>
          </cell>
          <cell r="K2084">
            <v>155.263148</v>
          </cell>
          <cell r="L2084">
            <v>0.83928571428571397</v>
          </cell>
          <cell r="M2084">
            <v>143.91184999999999</v>
          </cell>
          <cell r="N2084">
            <v>0.82792207792207695</v>
          </cell>
          <cell r="O2084">
            <v>130.985073</v>
          </cell>
          <cell r="P2084">
            <v>0.45936981757877199</v>
          </cell>
          <cell r="Q2084">
            <v>12.828855000000001</v>
          </cell>
          <cell r="R2084">
            <v>6.1359867330016499E-2</v>
          </cell>
          <cell r="S2084">
            <v>15.259760999999999</v>
          </cell>
          <cell r="T2084">
            <v>6.8219633943427602E-2</v>
          </cell>
          <cell r="U2084">
            <v>15.259760999999999</v>
          </cell>
          <cell r="V2084">
            <v>6.8219633943427602E-2</v>
          </cell>
        </row>
        <row r="2085">
          <cell r="A2085" t="str">
            <v>163602</v>
          </cell>
          <cell r="B2085">
            <v>983</v>
          </cell>
          <cell r="C2085">
            <v>89.656060999999994</v>
          </cell>
          <cell r="D2085">
            <v>8.0366225839267502E-2</v>
          </cell>
          <cell r="E2085">
            <v>11.895851</v>
          </cell>
          <cell r="F2085">
            <v>5.4933875890132197E-2</v>
          </cell>
          <cell r="G2085">
            <v>98.348494000000002</v>
          </cell>
          <cell r="H2085">
            <v>1.0762195121951199</v>
          </cell>
          <cell r="I2085">
            <v>95.016964000000002</v>
          </cell>
          <cell r="J2085">
            <v>1.0752032520325201</v>
          </cell>
          <cell r="K2085">
            <v>132.14687900000001</v>
          </cell>
          <cell r="L2085">
            <v>0.74160732451678502</v>
          </cell>
          <cell r="M2085">
            <v>92.782722000000007</v>
          </cell>
          <cell r="N2085">
            <v>0.60325534079348897</v>
          </cell>
          <cell r="O2085">
            <v>692.174035</v>
          </cell>
          <cell r="P2085">
            <v>1.26064908722109</v>
          </cell>
          <cell r="Q2085">
            <v>681.30567900000005</v>
          </cell>
          <cell r="R2085">
            <v>1.25050709939148</v>
          </cell>
          <cell r="S2085">
            <v>590.51620600000001</v>
          </cell>
          <cell r="T2085">
            <v>1.61389172625127</v>
          </cell>
          <cell r="U2085">
            <v>391.32459899999998</v>
          </cell>
          <cell r="V2085">
            <v>1.5403472931562801</v>
          </cell>
        </row>
        <row r="2086">
          <cell r="A2086" t="str">
            <v>163702</v>
          </cell>
          <cell r="B2086">
            <v>24.428571000000002</v>
          </cell>
          <cell r="C2086">
            <v>4219.0527320000001</v>
          </cell>
          <cell r="D2086">
            <v>1.3333333333333299</v>
          </cell>
          <cell r="E2086">
            <v>13.458333</v>
          </cell>
          <cell r="F2086">
            <v>4.1666666666666602E-2</v>
          </cell>
          <cell r="G2086">
            <v>353.87564700000001</v>
          </cell>
          <cell r="H2086">
            <v>0.52</v>
          </cell>
          <cell r="I2086">
            <v>112.73823</v>
          </cell>
          <cell r="J2086">
            <v>0.28000000000000003</v>
          </cell>
          <cell r="K2086">
            <v>86.448666000000003</v>
          </cell>
          <cell r="L2086">
            <v>0.2</v>
          </cell>
          <cell r="M2086">
            <v>86.448666000000003</v>
          </cell>
          <cell r="N2086">
            <v>0.2</v>
          </cell>
          <cell r="O2086">
            <v>81.412499999999994</v>
          </cell>
          <cell r="P2086">
            <v>1.0833333333333299</v>
          </cell>
          <cell r="Q2086">
            <v>81.412499999999994</v>
          </cell>
          <cell r="R2086">
            <v>1.0833333333333299</v>
          </cell>
          <cell r="S2086">
            <v>159.14375000000001</v>
          </cell>
          <cell r="T2086">
            <v>1.125</v>
          </cell>
          <cell r="U2086">
            <v>159.14375000000001</v>
          </cell>
          <cell r="V2086">
            <v>1.125</v>
          </cell>
        </row>
        <row r="2087">
          <cell r="A2087" t="str">
            <v>163703</v>
          </cell>
          <cell r="B2087">
            <v>827.8</v>
          </cell>
          <cell r="C2087">
            <v>5908.2332720000004</v>
          </cell>
          <cell r="D2087">
            <v>4.3481927710843298</v>
          </cell>
          <cell r="E2087">
            <v>279.34711299999998</v>
          </cell>
          <cell r="F2087">
            <v>1.45542168674698</v>
          </cell>
          <cell r="G2087">
            <v>1680.6938580000001</v>
          </cell>
          <cell r="H2087">
            <v>2.3128760529482499</v>
          </cell>
          <cell r="I2087">
            <v>356.57140099999998</v>
          </cell>
          <cell r="J2087">
            <v>1.632972322503</v>
          </cell>
          <cell r="K2087">
            <v>2811.3805280000001</v>
          </cell>
          <cell r="L2087">
            <v>2.4471153846153801</v>
          </cell>
          <cell r="M2087">
            <v>806.20290399999999</v>
          </cell>
          <cell r="N2087">
            <v>2.078125</v>
          </cell>
          <cell r="O2087">
            <v>358.743584</v>
          </cell>
          <cell r="P2087">
            <v>1.4068209500608999</v>
          </cell>
          <cell r="Q2087">
            <v>317.58142500000002</v>
          </cell>
          <cell r="R2087">
            <v>1.3751522533495699</v>
          </cell>
          <cell r="S2087">
            <v>589.473615</v>
          </cell>
          <cell r="T2087">
            <v>2.5224242424242398</v>
          </cell>
          <cell r="U2087">
            <v>529.15614100000005</v>
          </cell>
          <cell r="V2087">
            <v>2.1406060606060602</v>
          </cell>
        </row>
        <row r="2088">
          <cell r="A2088" t="str">
            <v>163801</v>
          </cell>
          <cell r="B2088">
            <v>1</v>
          </cell>
          <cell r="C2088">
            <v>4709.0470500000001</v>
          </cell>
          <cell r="D2088">
            <v>2</v>
          </cell>
          <cell r="E2088">
            <v>102.842733</v>
          </cell>
          <cell r="F2088">
            <v>1</v>
          </cell>
          <cell r="G2088">
            <v>263</v>
          </cell>
          <cell r="H2088">
            <v>1</v>
          </cell>
          <cell r="I2088">
            <v>263</v>
          </cell>
          <cell r="J2088">
            <v>1</v>
          </cell>
          <cell r="K2088">
            <v>0</v>
          </cell>
          <cell r="L2088">
            <v>0</v>
          </cell>
          <cell r="M2088">
            <v>0</v>
          </cell>
          <cell r="N2088">
            <v>0</v>
          </cell>
          <cell r="O2088">
            <v>0</v>
          </cell>
          <cell r="P2088">
            <v>0</v>
          </cell>
          <cell r="Q2088">
            <v>0</v>
          </cell>
          <cell r="R2088">
            <v>0</v>
          </cell>
          <cell r="S2088">
            <v>347</v>
          </cell>
          <cell r="T2088">
            <v>1</v>
          </cell>
          <cell r="U2088">
            <v>347</v>
          </cell>
          <cell r="V2088">
            <v>1</v>
          </cell>
        </row>
        <row r="2089">
          <cell r="A2089" t="str">
            <v>163802</v>
          </cell>
          <cell r="B2089">
            <v>241.6</v>
          </cell>
          <cell r="C2089">
            <v>4320.5750959999996</v>
          </cell>
          <cell r="D2089">
            <v>2.78688524590163</v>
          </cell>
          <cell r="E2089">
            <v>204.025758</v>
          </cell>
          <cell r="F2089">
            <v>1.0327868852458999</v>
          </cell>
          <cell r="G2089">
            <v>826.82527600000003</v>
          </cell>
          <cell r="H2089">
            <v>1.54508196721311</v>
          </cell>
          <cell r="I2089">
            <v>442.55296099999998</v>
          </cell>
          <cell r="J2089">
            <v>1.43442622950819</v>
          </cell>
          <cell r="K2089">
            <v>4644.1169389999995</v>
          </cell>
          <cell r="L2089">
            <v>1.63934426229508</v>
          </cell>
          <cell r="M2089">
            <v>594.46653000000003</v>
          </cell>
          <cell r="N2089">
            <v>0.84016393442622905</v>
          </cell>
          <cell r="O2089">
            <v>197.16881900000001</v>
          </cell>
          <cell r="P2089">
            <v>1.0166666666666599</v>
          </cell>
          <cell r="Q2089">
            <v>103.226597</v>
          </cell>
          <cell r="R2089">
            <v>0.625</v>
          </cell>
          <cell r="S2089">
            <v>544.756214</v>
          </cell>
          <cell r="T2089">
            <v>1.44067796610169</v>
          </cell>
          <cell r="U2089">
            <v>378.110522</v>
          </cell>
          <cell r="V2089">
            <v>1.2669491525423699</v>
          </cell>
        </row>
        <row r="2090">
          <cell r="A2090" t="str">
            <v>164101</v>
          </cell>
          <cell r="B2090">
            <v>1</v>
          </cell>
          <cell r="C2090">
            <v>0</v>
          </cell>
          <cell r="D2090">
            <v>0</v>
          </cell>
          <cell r="E2090">
            <v>0</v>
          </cell>
          <cell r="F2090">
            <v>0</v>
          </cell>
          <cell r="G2090">
            <v>0</v>
          </cell>
          <cell r="H2090">
            <v>0</v>
          </cell>
          <cell r="I2090">
            <v>0</v>
          </cell>
          <cell r="J2090">
            <v>0</v>
          </cell>
          <cell r="K2090">
            <v>0</v>
          </cell>
          <cell r="L2090">
            <v>0</v>
          </cell>
          <cell r="M2090">
            <v>0</v>
          </cell>
          <cell r="N2090">
            <v>0</v>
          </cell>
          <cell r="O2090">
            <v>229.26666599999999</v>
          </cell>
          <cell r="P2090">
            <v>1</v>
          </cell>
          <cell r="Q2090">
            <v>229.26666599999999</v>
          </cell>
          <cell r="R2090">
            <v>1</v>
          </cell>
          <cell r="S2090">
            <v>0</v>
          </cell>
          <cell r="T2090">
            <v>0</v>
          </cell>
          <cell r="U2090">
            <v>0</v>
          </cell>
          <cell r="V2090">
            <v>0</v>
          </cell>
        </row>
        <row r="2091">
          <cell r="A2091" t="str">
            <v>164201</v>
          </cell>
          <cell r="B2091">
            <v>1</v>
          </cell>
          <cell r="C2091">
            <v>0</v>
          </cell>
          <cell r="D2091">
            <v>0</v>
          </cell>
          <cell r="E2091">
            <v>0</v>
          </cell>
          <cell r="F2091">
            <v>0</v>
          </cell>
          <cell r="G2091">
            <v>1372.8347000000001</v>
          </cell>
          <cell r="H2091">
            <v>2</v>
          </cell>
          <cell r="I2091">
            <v>120</v>
          </cell>
          <cell r="J2091">
            <v>1</v>
          </cell>
          <cell r="K2091">
            <v>0</v>
          </cell>
          <cell r="L2091">
            <v>0</v>
          </cell>
          <cell r="M2091">
            <v>0</v>
          </cell>
          <cell r="N2091">
            <v>0</v>
          </cell>
          <cell r="O2091">
            <v>730.28333299999997</v>
          </cell>
          <cell r="P2091">
            <v>2</v>
          </cell>
          <cell r="Q2091">
            <v>730.28333299999997</v>
          </cell>
          <cell r="R2091">
            <v>2</v>
          </cell>
          <cell r="S2091">
            <v>0</v>
          </cell>
          <cell r="T2091">
            <v>0</v>
          </cell>
          <cell r="U2091">
            <v>0</v>
          </cell>
          <cell r="V2091">
            <v>0</v>
          </cell>
        </row>
        <row r="2092">
          <cell r="A2092" t="str">
            <v>165501</v>
          </cell>
          <cell r="B2092">
            <v>1</v>
          </cell>
          <cell r="C2092">
            <v>77</v>
          </cell>
          <cell r="D2092">
            <v>1</v>
          </cell>
          <cell r="E2092">
            <v>77</v>
          </cell>
          <cell r="F2092">
            <v>1</v>
          </cell>
          <cell r="G2092">
            <v>0</v>
          </cell>
          <cell r="H2092">
            <v>0</v>
          </cell>
          <cell r="I2092">
            <v>0</v>
          </cell>
          <cell r="J2092">
            <v>0</v>
          </cell>
          <cell r="K2092">
            <v>0</v>
          </cell>
          <cell r="L2092">
            <v>0</v>
          </cell>
          <cell r="M2092">
            <v>0</v>
          </cell>
          <cell r="N2092">
            <v>0</v>
          </cell>
          <cell r="O2092">
            <v>1022.849999</v>
          </cell>
          <cell r="P2092">
            <v>2</v>
          </cell>
          <cell r="Q2092">
            <v>1022.849999</v>
          </cell>
          <cell r="R2092">
            <v>2</v>
          </cell>
          <cell r="S2092">
            <v>0</v>
          </cell>
          <cell r="T2092">
            <v>0</v>
          </cell>
          <cell r="U2092">
            <v>0</v>
          </cell>
          <cell r="V2092">
            <v>0</v>
          </cell>
        </row>
        <row r="2093">
          <cell r="A2093" t="str">
            <v>165901</v>
          </cell>
          <cell r="B2093">
            <v>545.33333300000004</v>
          </cell>
          <cell r="C2093">
            <v>360.94770999999997</v>
          </cell>
          <cell r="D2093">
            <v>0.212643678160919</v>
          </cell>
          <cell r="E2093">
            <v>16.387124</v>
          </cell>
          <cell r="F2093">
            <v>0.114942528735632</v>
          </cell>
          <cell r="G2093">
            <v>130.14320599999999</v>
          </cell>
          <cell r="H2093">
            <v>1.2027027027027</v>
          </cell>
          <cell r="I2093">
            <v>130.14320599999999</v>
          </cell>
          <cell r="J2093">
            <v>1.2027027027027</v>
          </cell>
          <cell r="K2093">
            <v>0</v>
          </cell>
          <cell r="L2093">
            <v>0</v>
          </cell>
          <cell r="M2093">
            <v>0</v>
          </cell>
          <cell r="N2093">
            <v>0</v>
          </cell>
          <cell r="O2093">
            <v>0</v>
          </cell>
          <cell r="P2093">
            <v>0</v>
          </cell>
          <cell r="Q2093">
            <v>0</v>
          </cell>
          <cell r="R2093">
            <v>0</v>
          </cell>
          <cell r="S2093">
            <v>0</v>
          </cell>
          <cell r="T2093">
            <v>0</v>
          </cell>
          <cell r="U2093">
            <v>0</v>
          </cell>
          <cell r="V2093">
            <v>0</v>
          </cell>
        </row>
        <row r="2094">
          <cell r="A2094" t="str">
            <v>165902</v>
          </cell>
          <cell r="B2094">
            <v>446</v>
          </cell>
          <cell r="C2094">
            <v>1771.3033170000001</v>
          </cell>
          <cell r="D2094">
            <v>1.5528089887640399</v>
          </cell>
          <cell r="E2094">
            <v>160.54343900000001</v>
          </cell>
          <cell r="F2094">
            <v>0.69887640449438204</v>
          </cell>
          <cell r="G2094">
            <v>1461.225543</v>
          </cell>
          <cell r="H2094">
            <v>2.86353467561521</v>
          </cell>
          <cell r="I2094">
            <v>342.525825</v>
          </cell>
          <cell r="J2094">
            <v>2.0827740492169999</v>
          </cell>
          <cell r="K2094">
            <v>0</v>
          </cell>
          <cell r="L2094">
            <v>0</v>
          </cell>
          <cell r="M2094">
            <v>0</v>
          </cell>
          <cell r="N2094">
            <v>0</v>
          </cell>
          <cell r="O2094">
            <v>0</v>
          </cell>
          <cell r="P2094">
            <v>0</v>
          </cell>
          <cell r="Q2094">
            <v>0</v>
          </cell>
          <cell r="R2094">
            <v>0</v>
          </cell>
          <cell r="S2094">
            <v>0</v>
          </cell>
          <cell r="T2094">
            <v>0</v>
          </cell>
          <cell r="U2094">
            <v>0</v>
          </cell>
          <cell r="V2094">
            <v>0</v>
          </cell>
        </row>
        <row r="2095">
          <cell r="A2095" t="str">
            <v>166201</v>
          </cell>
          <cell r="B2095">
            <v>1</v>
          </cell>
          <cell r="C2095">
            <v>0</v>
          </cell>
          <cell r="D2095">
            <v>0</v>
          </cell>
          <cell r="E2095">
            <v>0</v>
          </cell>
          <cell r="F2095">
            <v>0</v>
          </cell>
          <cell r="G2095">
            <v>838</v>
          </cell>
          <cell r="H2095">
            <v>1</v>
          </cell>
          <cell r="I2095">
            <v>838</v>
          </cell>
          <cell r="J2095">
            <v>1</v>
          </cell>
          <cell r="K2095">
            <v>0</v>
          </cell>
          <cell r="L2095">
            <v>0</v>
          </cell>
          <cell r="M2095">
            <v>0</v>
          </cell>
          <cell r="N2095">
            <v>0</v>
          </cell>
          <cell r="O2095">
            <v>0</v>
          </cell>
          <cell r="P2095">
            <v>0</v>
          </cell>
          <cell r="Q2095">
            <v>0</v>
          </cell>
          <cell r="R2095">
            <v>0</v>
          </cell>
          <cell r="S2095">
            <v>0</v>
          </cell>
          <cell r="T2095">
            <v>0</v>
          </cell>
          <cell r="U2095">
            <v>0</v>
          </cell>
          <cell r="V2095">
            <v>0</v>
          </cell>
        </row>
        <row r="2096">
          <cell r="A2096" t="str">
            <v>166301</v>
          </cell>
          <cell r="B2096">
            <v>9.5</v>
          </cell>
          <cell r="C2096">
            <v>0</v>
          </cell>
          <cell r="D2096">
            <v>0</v>
          </cell>
          <cell r="E2096">
            <v>0</v>
          </cell>
          <cell r="F2096">
            <v>0</v>
          </cell>
          <cell r="G2096">
            <v>0</v>
          </cell>
          <cell r="H2096">
            <v>0</v>
          </cell>
          <cell r="I2096">
            <v>0</v>
          </cell>
          <cell r="J2096">
            <v>0</v>
          </cell>
          <cell r="K2096">
            <v>408</v>
          </cell>
          <cell r="L2096">
            <v>1</v>
          </cell>
          <cell r="M2096">
            <v>0</v>
          </cell>
          <cell r="N2096">
            <v>0</v>
          </cell>
          <cell r="O2096">
            <v>139.39629600000001</v>
          </cell>
          <cell r="P2096">
            <v>1</v>
          </cell>
          <cell r="Q2096">
            <v>139.39629600000001</v>
          </cell>
          <cell r="R2096">
            <v>1</v>
          </cell>
          <cell r="S2096">
            <v>0</v>
          </cell>
          <cell r="T2096">
            <v>0</v>
          </cell>
          <cell r="U2096">
            <v>0</v>
          </cell>
          <cell r="V2096">
            <v>0</v>
          </cell>
        </row>
        <row r="2097">
          <cell r="A2097" t="str">
            <v>166302</v>
          </cell>
          <cell r="B2097">
            <v>23</v>
          </cell>
          <cell r="C2097">
            <v>13.027608000000001</v>
          </cell>
          <cell r="D2097">
            <v>4.54545454545454E-2</v>
          </cell>
          <cell r="E2097">
            <v>13.027608000000001</v>
          </cell>
          <cell r="F2097">
            <v>4.54545454545454E-2</v>
          </cell>
          <cell r="G2097">
            <v>0</v>
          </cell>
          <cell r="H2097">
            <v>0</v>
          </cell>
          <cell r="I2097">
            <v>0</v>
          </cell>
          <cell r="J2097">
            <v>0</v>
          </cell>
          <cell r="K2097">
            <v>2789.1057959999998</v>
          </cell>
          <cell r="L2097">
            <v>1.0434782608695601</v>
          </cell>
          <cell r="M2097">
            <v>12.366666</v>
          </cell>
          <cell r="N2097">
            <v>8.6956521739130405E-2</v>
          </cell>
          <cell r="O2097">
            <v>83.222915999999998</v>
          </cell>
          <cell r="P2097">
            <v>1.0416666666666601</v>
          </cell>
          <cell r="Q2097">
            <v>83.222915999999998</v>
          </cell>
          <cell r="R2097">
            <v>1.0416666666666601</v>
          </cell>
          <cell r="S2097">
            <v>0</v>
          </cell>
          <cell r="T2097">
            <v>0</v>
          </cell>
          <cell r="U2097">
            <v>0</v>
          </cell>
          <cell r="V2097">
            <v>0</v>
          </cell>
        </row>
        <row r="2098">
          <cell r="A2098" t="str">
            <v>166303</v>
          </cell>
          <cell r="B2098">
            <v>389.4</v>
          </cell>
          <cell r="C2098">
            <v>5582.408899</v>
          </cell>
          <cell r="D2098">
            <v>3.5676392572944202</v>
          </cell>
          <cell r="E2098">
            <v>106.10682300000001</v>
          </cell>
          <cell r="F2098">
            <v>0.74005305039787705</v>
          </cell>
          <cell r="G2098">
            <v>764.49141699999996</v>
          </cell>
          <cell r="H2098">
            <v>1.21518987341772</v>
          </cell>
          <cell r="I2098">
            <v>117.980644</v>
          </cell>
          <cell r="J2098">
            <v>0.77468354430379704</v>
          </cell>
          <cell r="K2098">
            <v>13917.834053</v>
          </cell>
          <cell r="L2098">
            <v>3.9465648854961799</v>
          </cell>
          <cell r="M2098">
            <v>398.47395999999998</v>
          </cell>
          <cell r="N2098">
            <v>1.1679389312977</v>
          </cell>
          <cell r="O2098">
            <v>1211.51982</v>
          </cell>
          <cell r="P2098">
            <v>2.1023017902813201</v>
          </cell>
          <cell r="Q2098">
            <v>76.529667000000003</v>
          </cell>
          <cell r="R2098">
            <v>1.46291560102301</v>
          </cell>
          <cell r="S2098">
            <v>551.02941099999998</v>
          </cell>
          <cell r="T2098">
            <v>1.6521739130434701</v>
          </cell>
          <cell r="U2098">
            <v>497.910528</v>
          </cell>
          <cell r="V2098">
            <v>1.5831202046035799</v>
          </cell>
        </row>
        <row r="2099">
          <cell r="A2099" t="str">
            <v>166401</v>
          </cell>
          <cell r="B2099">
            <v>131.66666599999999</v>
          </cell>
          <cell r="C2099">
            <v>620.70668799999999</v>
          </cell>
          <cell r="D2099">
            <v>0.34586466165413499</v>
          </cell>
          <cell r="E2099">
            <v>2.227322</v>
          </cell>
          <cell r="F2099">
            <v>2.2556390977443601E-2</v>
          </cell>
          <cell r="G2099">
            <v>0</v>
          </cell>
          <cell r="H2099">
            <v>0</v>
          </cell>
          <cell r="I2099">
            <v>0</v>
          </cell>
          <cell r="J2099">
            <v>0</v>
          </cell>
          <cell r="K2099">
            <v>0</v>
          </cell>
          <cell r="L2099">
            <v>0</v>
          </cell>
          <cell r="M2099">
            <v>0</v>
          </cell>
          <cell r="N2099">
            <v>0</v>
          </cell>
          <cell r="O2099">
            <v>8.3817819999999994</v>
          </cell>
          <cell r="P2099">
            <v>0.13953488372093001</v>
          </cell>
          <cell r="Q2099">
            <v>8.3817819999999994</v>
          </cell>
          <cell r="R2099">
            <v>0.13953488372093001</v>
          </cell>
          <cell r="S2099">
            <v>0</v>
          </cell>
          <cell r="T2099">
            <v>0</v>
          </cell>
          <cell r="U2099">
            <v>0</v>
          </cell>
          <cell r="V2099">
            <v>0</v>
          </cell>
        </row>
        <row r="2100">
          <cell r="A2100" t="str">
            <v>167301</v>
          </cell>
          <cell r="B2100">
            <v>779.6</v>
          </cell>
          <cell r="C2100">
            <v>1013.574974</v>
          </cell>
          <cell r="D2100">
            <v>3.2133220910623899</v>
          </cell>
          <cell r="E2100">
            <v>1013.574974</v>
          </cell>
          <cell r="F2100">
            <v>3.2133220910623899</v>
          </cell>
          <cell r="G2100">
            <v>804.15151200000003</v>
          </cell>
          <cell r="H2100">
            <v>3.15646258503401</v>
          </cell>
          <cell r="I2100">
            <v>797.74735199999998</v>
          </cell>
          <cell r="J2100">
            <v>3.1471088435374099</v>
          </cell>
          <cell r="K2100">
            <v>1890.850925</v>
          </cell>
          <cell r="L2100">
            <v>1.4222222222222201</v>
          </cell>
          <cell r="M2100">
            <v>27.336110999999999</v>
          </cell>
          <cell r="N2100">
            <v>7.7777777777777696E-2</v>
          </cell>
          <cell r="O2100">
            <v>0</v>
          </cell>
          <cell r="P2100">
            <v>0</v>
          </cell>
          <cell r="Q2100">
            <v>0</v>
          </cell>
          <cell r="R2100">
            <v>0</v>
          </cell>
          <cell r="S2100">
            <v>0</v>
          </cell>
          <cell r="T2100">
            <v>0</v>
          </cell>
          <cell r="U2100">
            <v>0</v>
          </cell>
          <cell r="V2100">
            <v>0</v>
          </cell>
        </row>
        <row r="2101">
          <cell r="A2101" t="str">
            <v>167302</v>
          </cell>
          <cell r="B2101">
            <v>822</v>
          </cell>
          <cell r="C2101">
            <v>154.41855799999999</v>
          </cell>
          <cell r="D2101">
            <v>0.765625</v>
          </cell>
          <cell r="E2101">
            <v>153.729105</v>
          </cell>
          <cell r="F2101">
            <v>0.763671875</v>
          </cell>
          <cell r="G2101">
            <v>640.33758799999998</v>
          </cell>
          <cell r="H2101">
            <v>2.1237623762376199</v>
          </cell>
          <cell r="I2101">
            <v>146.67645899999999</v>
          </cell>
          <cell r="J2101">
            <v>1.56633663366336</v>
          </cell>
          <cell r="K2101">
            <v>1294.839565</v>
          </cell>
          <cell r="L2101">
            <v>1.7711864406779601</v>
          </cell>
          <cell r="M2101">
            <v>322.309057</v>
          </cell>
          <cell r="N2101">
            <v>1.1228813559322</v>
          </cell>
          <cell r="O2101">
            <v>0</v>
          </cell>
          <cell r="P2101">
            <v>0</v>
          </cell>
          <cell r="Q2101">
            <v>0</v>
          </cell>
          <cell r="R2101">
            <v>0</v>
          </cell>
          <cell r="S2101">
            <v>0</v>
          </cell>
          <cell r="T2101">
            <v>0</v>
          </cell>
          <cell r="U2101">
            <v>0</v>
          </cell>
          <cell r="V2101">
            <v>0</v>
          </cell>
        </row>
        <row r="2102">
          <cell r="A2102" t="str">
            <v>167403</v>
          </cell>
          <cell r="B2102">
            <v>126.4</v>
          </cell>
          <cell r="C2102">
            <v>27.150732000000001</v>
          </cell>
          <cell r="D2102">
            <v>0.34615384615384598</v>
          </cell>
          <cell r="E2102">
            <v>27.150732000000001</v>
          </cell>
          <cell r="F2102">
            <v>0.34615384615384598</v>
          </cell>
          <cell r="G2102">
            <v>351.33891799999998</v>
          </cell>
          <cell r="H2102">
            <v>1.58778625954198</v>
          </cell>
          <cell r="I2102">
            <v>90.993773000000004</v>
          </cell>
          <cell r="J2102">
            <v>0.18320610687022901</v>
          </cell>
          <cell r="K2102">
            <v>2715.6123600000001</v>
          </cell>
          <cell r="L2102">
            <v>2.7749999999999999</v>
          </cell>
          <cell r="M2102">
            <v>333.17666600000001</v>
          </cell>
          <cell r="N2102">
            <v>1.1000000000000001</v>
          </cell>
          <cell r="O2102">
            <v>0</v>
          </cell>
          <cell r="P2102">
            <v>0</v>
          </cell>
          <cell r="Q2102">
            <v>0</v>
          </cell>
          <cell r="R2102">
            <v>0</v>
          </cell>
          <cell r="S2102">
            <v>0</v>
          </cell>
          <cell r="T2102">
            <v>0</v>
          </cell>
          <cell r="U2102">
            <v>0</v>
          </cell>
          <cell r="V2102">
            <v>0</v>
          </cell>
        </row>
        <row r="2103">
          <cell r="A2103" t="str">
            <v>167404</v>
          </cell>
          <cell r="B2103">
            <v>136.80000000000001</v>
          </cell>
          <cell r="C2103">
            <v>195.57388599999999</v>
          </cell>
          <cell r="D2103">
            <v>0.73239436619718301</v>
          </cell>
          <cell r="E2103">
            <v>195.57388599999999</v>
          </cell>
          <cell r="F2103">
            <v>0.73239436619718301</v>
          </cell>
          <cell r="G2103">
            <v>7.7590050000000002</v>
          </cell>
          <cell r="H2103">
            <v>1.4084507042253501E-2</v>
          </cell>
          <cell r="I2103">
            <v>0.77956099999999995</v>
          </cell>
          <cell r="J2103">
            <v>7.0422535211267599E-3</v>
          </cell>
          <cell r="K2103">
            <v>1840.186692</v>
          </cell>
          <cell r="L2103">
            <v>3.55038759689922</v>
          </cell>
          <cell r="M2103">
            <v>829.97170500000004</v>
          </cell>
          <cell r="N2103">
            <v>2.2403100775193701</v>
          </cell>
          <cell r="O2103">
            <v>0</v>
          </cell>
          <cell r="P2103">
            <v>0</v>
          </cell>
          <cell r="Q2103">
            <v>0</v>
          </cell>
          <cell r="R2103">
            <v>0</v>
          </cell>
          <cell r="S2103">
            <v>0</v>
          </cell>
          <cell r="T2103">
            <v>0</v>
          </cell>
          <cell r="U2103">
            <v>0</v>
          </cell>
          <cell r="V2103">
            <v>0</v>
          </cell>
        </row>
        <row r="2104">
          <cell r="A2104" t="str">
            <v>167901</v>
          </cell>
          <cell r="B2104">
            <v>462</v>
          </cell>
          <cell r="C2104">
            <v>1039.675847</v>
          </cell>
          <cell r="D2104">
            <v>4.8741007194244599</v>
          </cell>
          <cell r="E2104">
            <v>1039.675847</v>
          </cell>
          <cell r="F2104">
            <v>4.8741007194244599</v>
          </cell>
          <cell r="G2104">
            <v>198.243942</v>
          </cell>
          <cell r="H2104">
            <v>0.25945017182130498</v>
          </cell>
          <cell r="I2104">
            <v>43.424818999999999</v>
          </cell>
          <cell r="J2104">
            <v>0.137457044673539</v>
          </cell>
          <cell r="K2104">
            <v>3.3813939999999998</v>
          </cell>
          <cell r="L2104">
            <v>4.34027777777777E-2</v>
          </cell>
          <cell r="M2104">
            <v>3.3813939999999998</v>
          </cell>
          <cell r="N2104">
            <v>4.34027777777777E-2</v>
          </cell>
          <cell r="O2104">
            <v>271.829455</v>
          </cell>
          <cell r="P2104">
            <v>1.82118055555555</v>
          </cell>
          <cell r="Q2104">
            <v>240.55384799999999</v>
          </cell>
          <cell r="R2104">
            <v>1.76388888888888</v>
          </cell>
          <cell r="S2104">
            <v>378.89771400000001</v>
          </cell>
          <cell r="T2104">
            <v>2.2580645161290298</v>
          </cell>
          <cell r="U2104">
            <v>378.16572500000001</v>
          </cell>
          <cell r="V2104">
            <v>2.25</v>
          </cell>
        </row>
        <row r="2105">
          <cell r="A2105" t="str">
            <v>167902</v>
          </cell>
          <cell r="B2105">
            <v>1565.2222220000001</v>
          </cell>
          <cell r="C2105">
            <v>394.614755</v>
          </cell>
          <cell r="D2105">
            <v>2.0686225758329102</v>
          </cell>
          <cell r="E2105">
            <v>394.614755</v>
          </cell>
          <cell r="F2105">
            <v>2.0686225758329102</v>
          </cell>
          <cell r="G2105">
            <v>250.72758300000001</v>
          </cell>
          <cell r="H2105">
            <v>1.7541237113402</v>
          </cell>
          <cell r="I2105">
            <v>88.169323000000006</v>
          </cell>
          <cell r="J2105">
            <v>0.74536082474226795</v>
          </cell>
          <cell r="K2105">
            <v>273.57868100000002</v>
          </cell>
          <cell r="L2105">
            <v>0.49921011058451797</v>
          </cell>
          <cell r="M2105">
            <v>27.038844999999998</v>
          </cell>
          <cell r="N2105">
            <v>0.37598736176935199</v>
          </cell>
          <cell r="O2105">
            <v>239.28957399999999</v>
          </cell>
          <cell r="P2105">
            <v>1.61720904578047</v>
          </cell>
          <cell r="Q2105">
            <v>237.48746</v>
          </cell>
          <cell r="R2105">
            <v>1.6144511858797499</v>
          </cell>
          <cell r="S2105">
            <v>86.840801999999996</v>
          </cell>
          <cell r="T2105">
            <v>1.18393782383419</v>
          </cell>
          <cell r="U2105">
            <v>41.239852999999997</v>
          </cell>
          <cell r="V2105">
            <v>0.88860103626942999</v>
          </cell>
        </row>
        <row r="2106">
          <cell r="A2106" t="str">
            <v>168601</v>
          </cell>
          <cell r="B2106">
            <v>1494.6666660000001</v>
          </cell>
          <cell r="C2106">
            <v>125.81944</v>
          </cell>
          <cell r="D2106">
            <v>1.12003825920612</v>
          </cell>
          <cell r="E2106">
            <v>125.60572999999999</v>
          </cell>
          <cell r="F2106">
            <v>1.1195600191296</v>
          </cell>
          <cell r="G2106">
            <v>221.17674</v>
          </cell>
          <cell r="H2106">
            <v>1.21831325301204</v>
          </cell>
          <cell r="I2106">
            <v>217.20312200000001</v>
          </cell>
          <cell r="J2106">
            <v>1.21638554216867</v>
          </cell>
          <cell r="K2106">
            <v>1418.833961</v>
          </cell>
          <cell r="L2106">
            <v>0.58490566037735803</v>
          </cell>
          <cell r="M2106">
            <v>33.237420999999998</v>
          </cell>
          <cell r="N2106">
            <v>0.20440251572327001</v>
          </cell>
          <cell r="O2106">
            <v>0</v>
          </cell>
          <cell r="P2106">
            <v>0</v>
          </cell>
          <cell r="Q2106">
            <v>0</v>
          </cell>
          <cell r="R2106">
            <v>0</v>
          </cell>
          <cell r="S2106">
            <v>0</v>
          </cell>
          <cell r="T2106">
            <v>0</v>
          </cell>
          <cell r="U2106">
            <v>0</v>
          </cell>
          <cell r="V2106">
            <v>0</v>
          </cell>
        </row>
        <row r="2107">
          <cell r="A2107" t="str">
            <v>168602</v>
          </cell>
          <cell r="B2107">
            <v>680.6</v>
          </cell>
          <cell r="C2107">
            <v>120.368407</v>
          </cell>
          <cell r="D2107">
            <v>1.0515063168124299</v>
          </cell>
          <cell r="E2107">
            <v>120.368407</v>
          </cell>
          <cell r="F2107">
            <v>1.0515063168124299</v>
          </cell>
          <cell r="G2107">
            <v>217.82733099999999</v>
          </cell>
          <cell r="H2107">
            <v>1.2925170068027201</v>
          </cell>
          <cell r="I2107">
            <v>214.411438</v>
          </cell>
          <cell r="J2107">
            <v>1.27891156462585</v>
          </cell>
          <cell r="K2107">
            <v>212.573206</v>
          </cell>
          <cell r="L2107">
            <v>0.145569620253164</v>
          </cell>
          <cell r="M2107">
            <v>21.281223000000001</v>
          </cell>
          <cell r="N2107">
            <v>6.3291139240506306E-2</v>
          </cell>
          <cell r="O2107">
            <v>0</v>
          </cell>
          <cell r="P2107">
            <v>0</v>
          </cell>
          <cell r="Q2107">
            <v>0</v>
          </cell>
          <cell r="R2107">
            <v>0</v>
          </cell>
          <cell r="S2107">
            <v>0</v>
          </cell>
          <cell r="T2107">
            <v>0</v>
          </cell>
          <cell r="U2107">
            <v>0</v>
          </cell>
          <cell r="V2107">
            <v>0</v>
          </cell>
        </row>
        <row r="2108">
          <cell r="A2108" t="str">
            <v>168603</v>
          </cell>
          <cell r="B2108">
            <v>655.25</v>
          </cell>
          <cell r="C2108">
            <v>224.61000300000001</v>
          </cell>
          <cell r="D2108">
            <v>1.4386174016686499</v>
          </cell>
          <cell r="E2108">
            <v>224.61000300000001</v>
          </cell>
          <cell r="F2108">
            <v>1.4386174016686499</v>
          </cell>
          <cell r="G2108">
            <v>212.413859</v>
          </cell>
          <cell r="H2108">
            <v>1.1207729468598999</v>
          </cell>
          <cell r="I2108">
            <v>174.19403700000001</v>
          </cell>
          <cell r="J2108">
            <v>1.0471014492753601</v>
          </cell>
          <cell r="K2108">
            <v>0.77010500000000004</v>
          </cell>
          <cell r="L2108">
            <v>1.5873015873015799E-2</v>
          </cell>
          <cell r="M2108">
            <v>0.77010500000000004</v>
          </cell>
          <cell r="N2108">
            <v>1.5873015873015799E-2</v>
          </cell>
          <cell r="O2108">
            <v>0</v>
          </cell>
          <cell r="P2108">
            <v>0</v>
          </cell>
          <cell r="Q2108">
            <v>0</v>
          </cell>
          <cell r="R2108">
            <v>0</v>
          </cell>
          <cell r="S2108">
            <v>0</v>
          </cell>
          <cell r="T2108">
            <v>0</v>
          </cell>
          <cell r="U2108">
            <v>0</v>
          </cell>
          <cell r="V2108">
            <v>0</v>
          </cell>
        </row>
        <row r="2109">
          <cell r="A2109" t="str">
            <v>168701</v>
          </cell>
          <cell r="B2109">
            <v>18.5</v>
          </cell>
          <cell r="C2109">
            <v>0</v>
          </cell>
          <cell r="D2109">
            <v>0</v>
          </cell>
          <cell r="E2109">
            <v>0</v>
          </cell>
          <cell r="F2109">
            <v>0</v>
          </cell>
          <cell r="G2109">
            <v>5.9353059999999997</v>
          </cell>
          <cell r="H2109">
            <v>4.7619047619047603E-2</v>
          </cell>
          <cell r="I2109">
            <v>5.9353059999999997</v>
          </cell>
          <cell r="J2109">
            <v>4.7619047619047603E-2</v>
          </cell>
          <cell r="K2109">
            <v>4.1645830000000004</v>
          </cell>
          <cell r="L2109">
            <v>6.25E-2</v>
          </cell>
          <cell r="M2109">
            <v>4.1645830000000004</v>
          </cell>
          <cell r="N2109">
            <v>6.25E-2</v>
          </cell>
          <cell r="O2109">
            <v>0</v>
          </cell>
          <cell r="P2109">
            <v>0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</row>
        <row r="2110">
          <cell r="A2110" t="str">
            <v>168702</v>
          </cell>
          <cell r="B2110">
            <v>341.33333299999998</v>
          </cell>
          <cell r="C2110">
            <v>255.79528400000001</v>
          </cell>
          <cell r="D2110">
            <v>1.55238095238095</v>
          </cell>
          <cell r="E2110">
            <v>172.529787</v>
          </cell>
          <cell r="F2110">
            <v>1.44285714285714</v>
          </cell>
          <cell r="G2110">
            <v>144.05931799999999</v>
          </cell>
          <cell r="H2110">
            <v>0.51476793248945096</v>
          </cell>
          <cell r="I2110">
            <v>99.490065000000001</v>
          </cell>
          <cell r="J2110">
            <v>0.36286919831223602</v>
          </cell>
          <cell r="K2110">
            <v>201.32615300000001</v>
          </cell>
          <cell r="L2110">
            <v>0.42307692307692302</v>
          </cell>
          <cell r="M2110">
            <v>27.095383999999999</v>
          </cell>
          <cell r="N2110">
            <v>0.28461538461538399</v>
          </cell>
          <cell r="O2110">
            <v>0</v>
          </cell>
          <cell r="P2110">
            <v>0</v>
          </cell>
          <cell r="Q2110">
            <v>0</v>
          </cell>
          <cell r="R2110">
            <v>0</v>
          </cell>
          <cell r="S2110">
            <v>0</v>
          </cell>
          <cell r="T2110">
            <v>0</v>
          </cell>
          <cell r="U2110">
            <v>0</v>
          </cell>
          <cell r="V2110">
            <v>0</v>
          </cell>
        </row>
        <row r="2111">
          <cell r="A2111" t="str">
            <v>168903</v>
          </cell>
          <cell r="B2111">
            <v>161</v>
          </cell>
          <cell r="C2111">
            <v>3.6788829999999999</v>
          </cell>
          <cell r="D2111">
            <v>6.1728395061728296E-3</v>
          </cell>
          <cell r="E2111">
            <v>3.6788829999999999</v>
          </cell>
          <cell r="F2111">
            <v>6.1728395061728296E-3</v>
          </cell>
          <cell r="G2111">
            <v>95.597915</v>
          </cell>
          <cell r="H2111">
            <v>0.163636363636363</v>
          </cell>
          <cell r="I2111">
            <v>95.597915</v>
          </cell>
          <cell r="J2111">
            <v>0.163636363636363</v>
          </cell>
          <cell r="K2111">
            <v>0.86068299999999998</v>
          </cell>
          <cell r="L2111">
            <v>6.41025641025641E-3</v>
          </cell>
          <cell r="M2111">
            <v>0.86068299999999998</v>
          </cell>
          <cell r="N2111">
            <v>6.41025641025641E-3</v>
          </cell>
          <cell r="O2111">
            <v>0</v>
          </cell>
          <cell r="P2111">
            <v>0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</row>
        <row r="2112">
          <cell r="A2112" t="str">
            <v>168904</v>
          </cell>
          <cell r="B2112">
            <v>948.33333300000004</v>
          </cell>
          <cell r="C2112">
            <v>6417.368305</v>
          </cell>
          <cell r="D2112">
            <v>1.8135764944275501</v>
          </cell>
          <cell r="E2112">
            <v>71.491028</v>
          </cell>
          <cell r="F2112">
            <v>0.218844984802431</v>
          </cell>
          <cell r="G2112">
            <v>12.949894</v>
          </cell>
          <cell r="H2112">
            <v>4.8654244306418203E-2</v>
          </cell>
          <cell r="I2112">
            <v>8.2818290000000001</v>
          </cell>
          <cell r="J2112">
            <v>4.5548654244306402E-2</v>
          </cell>
          <cell r="K2112">
            <v>50.228006999999998</v>
          </cell>
          <cell r="L2112">
            <v>0.21412556053811599</v>
          </cell>
          <cell r="M2112">
            <v>47.027765000000002</v>
          </cell>
          <cell r="N2112">
            <v>0.19394618834080701</v>
          </cell>
          <cell r="O2112">
            <v>0</v>
          </cell>
          <cell r="P2112">
            <v>0</v>
          </cell>
          <cell r="Q2112">
            <v>0</v>
          </cell>
          <cell r="R2112">
            <v>0</v>
          </cell>
          <cell r="S2112">
            <v>0</v>
          </cell>
          <cell r="T2112">
            <v>0</v>
          </cell>
          <cell r="U2112">
            <v>0</v>
          </cell>
          <cell r="V2112">
            <v>0</v>
          </cell>
        </row>
        <row r="2113">
          <cell r="A2113" t="str">
            <v>169303</v>
          </cell>
          <cell r="B2113">
            <v>687</v>
          </cell>
          <cell r="C2113">
            <v>77.592248999999995</v>
          </cell>
          <cell r="D2113">
            <v>0.50363901018922796</v>
          </cell>
          <cell r="E2113">
            <v>76.366583000000006</v>
          </cell>
          <cell r="F2113">
            <v>0.49781659388646199</v>
          </cell>
          <cell r="G2113">
            <v>0</v>
          </cell>
          <cell r="H2113">
            <v>0</v>
          </cell>
          <cell r="I2113">
            <v>0</v>
          </cell>
          <cell r="J2113">
            <v>0</v>
          </cell>
          <cell r="K2113">
            <v>0</v>
          </cell>
          <cell r="L2113">
            <v>0</v>
          </cell>
          <cell r="M2113">
            <v>0</v>
          </cell>
          <cell r="N2113">
            <v>0</v>
          </cell>
          <cell r="O2113">
            <v>0</v>
          </cell>
          <cell r="P2113">
            <v>0</v>
          </cell>
          <cell r="Q2113">
            <v>0</v>
          </cell>
          <cell r="R2113">
            <v>0</v>
          </cell>
          <cell r="S2113">
            <v>0</v>
          </cell>
          <cell r="T2113">
            <v>0</v>
          </cell>
          <cell r="U2113">
            <v>0</v>
          </cell>
          <cell r="V2113">
            <v>0</v>
          </cell>
        </row>
        <row r="2114">
          <cell r="A2114" t="str">
            <v>169304</v>
          </cell>
          <cell r="B2114">
            <v>710</v>
          </cell>
          <cell r="C2114">
            <v>29.045390999999999</v>
          </cell>
          <cell r="D2114">
            <v>0.29718309859154901</v>
          </cell>
          <cell r="E2114">
            <v>29.045390999999999</v>
          </cell>
          <cell r="F2114">
            <v>0.29718309859154901</v>
          </cell>
          <cell r="G2114">
            <v>0</v>
          </cell>
          <cell r="H2114">
            <v>0</v>
          </cell>
          <cell r="I2114">
            <v>0</v>
          </cell>
          <cell r="J2114">
            <v>0</v>
          </cell>
          <cell r="K2114">
            <v>0</v>
          </cell>
          <cell r="L2114">
            <v>0</v>
          </cell>
          <cell r="M2114">
            <v>0</v>
          </cell>
          <cell r="N2114">
            <v>0</v>
          </cell>
          <cell r="O2114">
            <v>0</v>
          </cell>
          <cell r="P2114">
            <v>0</v>
          </cell>
          <cell r="Q2114">
            <v>0</v>
          </cell>
          <cell r="R2114">
            <v>0</v>
          </cell>
          <cell r="S2114">
            <v>0</v>
          </cell>
          <cell r="T2114">
            <v>0</v>
          </cell>
          <cell r="U2114">
            <v>0</v>
          </cell>
          <cell r="V2114">
            <v>0</v>
          </cell>
        </row>
        <row r="2115">
          <cell r="A2115" t="str">
            <v>200301</v>
          </cell>
          <cell r="B2115">
            <v>1</v>
          </cell>
          <cell r="C2115">
            <v>683</v>
          </cell>
          <cell r="D2115">
            <v>1</v>
          </cell>
          <cell r="E2115">
            <v>683</v>
          </cell>
          <cell r="F2115">
            <v>1</v>
          </cell>
          <cell r="G2115">
            <v>0</v>
          </cell>
          <cell r="H2115">
            <v>0</v>
          </cell>
          <cell r="I2115">
            <v>0</v>
          </cell>
          <cell r="J2115">
            <v>0</v>
          </cell>
          <cell r="K2115">
            <v>216</v>
          </cell>
          <cell r="L2115">
            <v>1</v>
          </cell>
          <cell r="M2115">
            <v>216</v>
          </cell>
          <cell r="N2115">
            <v>1</v>
          </cell>
          <cell r="O2115">
            <v>0</v>
          </cell>
          <cell r="P2115">
            <v>0</v>
          </cell>
          <cell r="Q2115">
            <v>0</v>
          </cell>
          <cell r="R2115">
            <v>0</v>
          </cell>
          <cell r="S2115">
            <v>0</v>
          </cell>
          <cell r="T2115">
            <v>0</v>
          </cell>
          <cell r="U2115">
            <v>0</v>
          </cell>
          <cell r="V2115">
            <v>0</v>
          </cell>
        </row>
        <row r="2116">
          <cell r="A2116" t="str">
            <v>200401</v>
          </cell>
          <cell r="B2116">
            <v>1</v>
          </cell>
          <cell r="C2116">
            <v>0</v>
          </cell>
          <cell r="D2116">
            <v>0</v>
          </cell>
          <cell r="E2116">
            <v>0</v>
          </cell>
          <cell r="F2116">
            <v>0</v>
          </cell>
          <cell r="G2116">
            <v>0</v>
          </cell>
          <cell r="H2116">
            <v>0</v>
          </cell>
          <cell r="I2116">
            <v>0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>
            <v>0</v>
          </cell>
          <cell r="P2116">
            <v>0</v>
          </cell>
          <cell r="Q2116">
            <v>0</v>
          </cell>
          <cell r="R2116">
            <v>0</v>
          </cell>
          <cell r="S2116">
            <v>84.866665999999995</v>
          </cell>
          <cell r="T2116">
            <v>1</v>
          </cell>
          <cell r="U2116">
            <v>84.866665999999995</v>
          </cell>
          <cell r="V2116">
            <v>1</v>
          </cell>
        </row>
        <row r="2117">
          <cell r="A2117" t="str">
            <v>200901</v>
          </cell>
          <cell r="B2117">
            <v>1</v>
          </cell>
          <cell r="C2117">
            <v>0</v>
          </cell>
          <cell r="D2117">
            <v>0</v>
          </cell>
          <cell r="E2117">
            <v>0</v>
          </cell>
          <cell r="F2117">
            <v>0</v>
          </cell>
          <cell r="G2117">
            <v>169</v>
          </cell>
          <cell r="H2117">
            <v>1</v>
          </cell>
          <cell r="I2117">
            <v>169</v>
          </cell>
          <cell r="J2117">
            <v>1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>
            <v>0</v>
          </cell>
          <cell r="P2117">
            <v>0</v>
          </cell>
          <cell r="Q2117">
            <v>0</v>
          </cell>
          <cell r="R2117">
            <v>0</v>
          </cell>
          <cell r="S2117">
            <v>0</v>
          </cell>
          <cell r="T2117">
            <v>0</v>
          </cell>
          <cell r="U2117">
            <v>0</v>
          </cell>
          <cell r="V2117">
            <v>0</v>
          </cell>
        </row>
        <row r="2118">
          <cell r="A2118" t="str">
            <v>203201</v>
          </cell>
          <cell r="B2118">
            <v>1</v>
          </cell>
          <cell r="C2118">
            <v>582</v>
          </cell>
          <cell r="D2118">
            <v>1</v>
          </cell>
          <cell r="E2118">
            <v>582</v>
          </cell>
          <cell r="F2118">
            <v>1</v>
          </cell>
          <cell r="G2118">
            <v>0</v>
          </cell>
          <cell r="H2118">
            <v>0</v>
          </cell>
          <cell r="I2118">
            <v>0</v>
          </cell>
          <cell r="J2118">
            <v>0</v>
          </cell>
          <cell r="K2118">
            <v>0</v>
          </cell>
          <cell r="L2118">
            <v>0</v>
          </cell>
          <cell r="M2118">
            <v>0</v>
          </cell>
          <cell r="N2118">
            <v>0</v>
          </cell>
          <cell r="O2118">
            <v>0</v>
          </cell>
          <cell r="P2118">
            <v>0</v>
          </cell>
          <cell r="Q2118">
            <v>0</v>
          </cell>
          <cell r="R2118">
            <v>0</v>
          </cell>
          <cell r="S2118">
            <v>0</v>
          </cell>
          <cell r="T2118">
            <v>0</v>
          </cell>
          <cell r="U2118">
            <v>0</v>
          </cell>
          <cell r="V2118">
            <v>0</v>
          </cell>
        </row>
        <row r="2119">
          <cell r="A2119" t="str">
            <v>204301</v>
          </cell>
          <cell r="B2119">
            <v>1</v>
          </cell>
          <cell r="C2119">
            <v>0</v>
          </cell>
          <cell r="D2119">
            <v>0</v>
          </cell>
          <cell r="E2119">
            <v>0</v>
          </cell>
          <cell r="F2119">
            <v>0</v>
          </cell>
          <cell r="G2119">
            <v>0</v>
          </cell>
          <cell r="H2119">
            <v>0</v>
          </cell>
          <cell r="I2119">
            <v>0</v>
          </cell>
          <cell r="J2119">
            <v>0</v>
          </cell>
          <cell r="K2119">
            <v>0</v>
          </cell>
          <cell r="L2119">
            <v>0</v>
          </cell>
          <cell r="M2119">
            <v>0</v>
          </cell>
          <cell r="N2119">
            <v>0</v>
          </cell>
          <cell r="O2119">
            <v>0</v>
          </cell>
          <cell r="P2119">
            <v>0</v>
          </cell>
          <cell r="Q2119">
            <v>0</v>
          </cell>
          <cell r="R2119">
            <v>0</v>
          </cell>
          <cell r="S2119">
            <v>66</v>
          </cell>
          <cell r="T2119">
            <v>1</v>
          </cell>
          <cell r="U2119">
            <v>66</v>
          </cell>
          <cell r="V2119">
            <v>1</v>
          </cell>
        </row>
        <row r="2120">
          <cell r="A2120" t="str">
            <v>204901</v>
          </cell>
          <cell r="B2120">
            <v>1</v>
          </cell>
          <cell r="C2120">
            <v>0</v>
          </cell>
          <cell r="D2120">
            <v>0</v>
          </cell>
          <cell r="E2120">
            <v>0</v>
          </cell>
          <cell r="F2120">
            <v>0</v>
          </cell>
          <cell r="G2120">
            <v>0</v>
          </cell>
          <cell r="H2120">
            <v>0</v>
          </cell>
          <cell r="I2120">
            <v>0</v>
          </cell>
          <cell r="J2120">
            <v>0</v>
          </cell>
          <cell r="K2120">
            <v>104.95</v>
          </cell>
          <cell r="L2120">
            <v>1</v>
          </cell>
          <cell r="M2120">
            <v>104.95</v>
          </cell>
          <cell r="N2120">
            <v>1</v>
          </cell>
          <cell r="O2120">
            <v>180.41666599999999</v>
          </cell>
          <cell r="P2120">
            <v>2</v>
          </cell>
          <cell r="Q2120">
            <v>180.41666599999999</v>
          </cell>
          <cell r="R2120">
            <v>2</v>
          </cell>
          <cell r="S2120">
            <v>123</v>
          </cell>
          <cell r="T2120">
            <v>1</v>
          </cell>
          <cell r="U2120">
            <v>123</v>
          </cell>
          <cell r="V2120">
            <v>1</v>
          </cell>
        </row>
        <row r="2121">
          <cell r="A2121" t="str">
            <v>205701</v>
          </cell>
          <cell r="B2121">
            <v>1</v>
          </cell>
          <cell r="C2121">
            <v>342</v>
          </cell>
          <cell r="D2121">
            <v>1</v>
          </cell>
          <cell r="E2121">
            <v>0</v>
          </cell>
          <cell r="F2121">
            <v>0</v>
          </cell>
          <cell r="G2121">
            <v>0</v>
          </cell>
          <cell r="H2121">
            <v>0</v>
          </cell>
          <cell r="I2121">
            <v>0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  <cell r="N2121">
            <v>0</v>
          </cell>
          <cell r="O2121">
            <v>0</v>
          </cell>
          <cell r="P2121">
            <v>0</v>
          </cell>
          <cell r="Q2121">
            <v>0</v>
          </cell>
          <cell r="R2121">
            <v>0</v>
          </cell>
          <cell r="S2121">
            <v>0</v>
          </cell>
          <cell r="T2121">
            <v>0</v>
          </cell>
          <cell r="U2121">
            <v>0</v>
          </cell>
          <cell r="V2121">
            <v>0</v>
          </cell>
        </row>
        <row r="2122">
          <cell r="A2122" t="str">
            <v>206401</v>
          </cell>
          <cell r="B2122">
            <v>1</v>
          </cell>
          <cell r="C2122">
            <v>0</v>
          </cell>
          <cell r="D2122">
            <v>0</v>
          </cell>
          <cell r="E2122">
            <v>0</v>
          </cell>
          <cell r="F2122">
            <v>0</v>
          </cell>
          <cell r="G2122">
            <v>0</v>
          </cell>
          <cell r="H2122">
            <v>0</v>
          </cell>
          <cell r="I2122">
            <v>0</v>
          </cell>
          <cell r="J2122">
            <v>0</v>
          </cell>
          <cell r="K2122">
            <v>490.25</v>
          </cell>
          <cell r="L2122">
            <v>1</v>
          </cell>
          <cell r="M2122">
            <v>490.25</v>
          </cell>
          <cell r="N2122">
            <v>1</v>
          </cell>
          <cell r="O2122">
            <v>0</v>
          </cell>
          <cell r="P2122">
            <v>0</v>
          </cell>
          <cell r="Q2122">
            <v>0</v>
          </cell>
          <cell r="R2122">
            <v>0</v>
          </cell>
          <cell r="S2122">
            <v>0</v>
          </cell>
          <cell r="T2122">
            <v>0</v>
          </cell>
          <cell r="U2122">
            <v>0</v>
          </cell>
          <cell r="V2122">
            <v>0</v>
          </cell>
        </row>
        <row r="2123">
          <cell r="A2123" t="str">
            <v>207001</v>
          </cell>
          <cell r="B2123">
            <v>1</v>
          </cell>
          <cell r="C2123">
            <v>0</v>
          </cell>
          <cell r="D2123">
            <v>0</v>
          </cell>
          <cell r="E2123">
            <v>0</v>
          </cell>
          <cell r="F2123">
            <v>0</v>
          </cell>
          <cell r="G2123">
            <v>0</v>
          </cell>
          <cell r="H2123">
            <v>0</v>
          </cell>
          <cell r="I2123">
            <v>0</v>
          </cell>
          <cell r="J2123">
            <v>0</v>
          </cell>
          <cell r="K2123">
            <v>65</v>
          </cell>
          <cell r="L2123">
            <v>1</v>
          </cell>
          <cell r="M2123">
            <v>65</v>
          </cell>
          <cell r="N2123">
            <v>1</v>
          </cell>
          <cell r="O2123">
            <v>0</v>
          </cell>
          <cell r="P2123">
            <v>0</v>
          </cell>
          <cell r="Q2123">
            <v>0</v>
          </cell>
          <cell r="R2123">
            <v>0</v>
          </cell>
          <cell r="S2123">
            <v>0</v>
          </cell>
          <cell r="T2123">
            <v>0</v>
          </cell>
          <cell r="U2123">
            <v>0</v>
          </cell>
          <cell r="V2123">
            <v>0</v>
          </cell>
        </row>
        <row r="2124">
          <cell r="A2124" t="str">
            <v>207301</v>
          </cell>
          <cell r="B2124">
            <v>1</v>
          </cell>
          <cell r="C2124">
            <v>48.899683000000003</v>
          </cell>
          <cell r="D2124">
            <v>1</v>
          </cell>
          <cell r="E2124">
            <v>48.899683000000003</v>
          </cell>
          <cell r="F2124">
            <v>1</v>
          </cell>
          <cell r="G2124">
            <v>0</v>
          </cell>
          <cell r="H2124">
            <v>0</v>
          </cell>
          <cell r="I2124">
            <v>0</v>
          </cell>
          <cell r="J2124">
            <v>0</v>
          </cell>
          <cell r="K2124">
            <v>0</v>
          </cell>
          <cell r="L2124">
            <v>0</v>
          </cell>
          <cell r="M2124">
            <v>0</v>
          </cell>
          <cell r="N2124">
            <v>0</v>
          </cell>
          <cell r="O2124">
            <v>0</v>
          </cell>
          <cell r="P2124">
            <v>0</v>
          </cell>
          <cell r="Q2124">
            <v>0</v>
          </cell>
          <cell r="R2124">
            <v>0</v>
          </cell>
          <cell r="S2124">
            <v>0</v>
          </cell>
          <cell r="T2124">
            <v>0</v>
          </cell>
          <cell r="U2124">
            <v>0</v>
          </cell>
          <cell r="V2124">
            <v>0</v>
          </cell>
        </row>
        <row r="2125">
          <cell r="A2125" t="str">
            <v>207901</v>
          </cell>
          <cell r="B2125">
            <v>1</v>
          </cell>
          <cell r="C2125">
            <v>0</v>
          </cell>
          <cell r="D2125">
            <v>0</v>
          </cell>
          <cell r="E2125">
            <v>0</v>
          </cell>
          <cell r="F2125">
            <v>0</v>
          </cell>
          <cell r="G2125">
            <v>76</v>
          </cell>
          <cell r="H2125">
            <v>1</v>
          </cell>
          <cell r="I2125">
            <v>76</v>
          </cell>
          <cell r="J2125">
            <v>1</v>
          </cell>
          <cell r="K2125">
            <v>0</v>
          </cell>
          <cell r="L2125">
            <v>0</v>
          </cell>
          <cell r="M2125">
            <v>0</v>
          </cell>
          <cell r="N2125">
            <v>0</v>
          </cell>
          <cell r="O2125">
            <v>0</v>
          </cell>
          <cell r="P2125">
            <v>0</v>
          </cell>
          <cell r="Q2125">
            <v>0</v>
          </cell>
          <cell r="R2125">
            <v>0</v>
          </cell>
          <cell r="S2125">
            <v>0</v>
          </cell>
          <cell r="T2125">
            <v>0</v>
          </cell>
          <cell r="U2125">
            <v>0</v>
          </cell>
          <cell r="V2125">
            <v>0</v>
          </cell>
        </row>
        <row r="2126">
          <cell r="A2126" t="str">
            <v>208001</v>
          </cell>
          <cell r="B2126">
            <v>1</v>
          </cell>
          <cell r="C2126">
            <v>196</v>
          </cell>
          <cell r="D2126">
            <v>1</v>
          </cell>
          <cell r="E2126">
            <v>196</v>
          </cell>
          <cell r="F2126">
            <v>1</v>
          </cell>
          <cell r="G2126">
            <v>0</v>
          </cell>
          <cell r="H2126">
            <v>0</v>
          </cell>
          <cell r="I2126">
            <v>0</v>
          </cell>
          <cell r="J2126">
            <v>0</v>
          </cell>
          <cell r="K2126">
            <v>0</v>
          </cell>
          <cell r="L2126">
            <v>0</v>
          </cell>
          <cell r="M2126">
            <v>0</v>
          </cell>
          <cell r="N2126">
            <v>0</v>
          </cell>
          <cell r="O2126">
            <v>0</v>
          </cell>
          <cell r="P2126">
            <v>0</v>
          </cell>
          <cell r="Q2126">
            <v>0</v>
          </cell>
          <cell r="R2126">
            <v>0</v>
          </cell>
          <cell r="S2126">
            <v>0</v>
          </cell>
          <cell r="T2126">
            <v>0</v>
          </cell>
          <cell r="U2126">
            <v>0</v>
          </cell>
          <cell r="V2126">
            <v>0</v>
          </cell>
        </row>
        <row r="2127">
          <cell r="A2127" t="str">
            <v>208601</v>
          </cell>
          <cell r="B2127">
            <v>1</v>
          </cell>
          <cell r="C2127">
            <v>0</v>
          </cell>
          <cell r="D2127">
            <v>0</v>
          </cell>
          <cell r="E2127">
            <v>0</v>
          </cell>
          <cell r="F2127">
            <v>0</v>
          </cell>
          <cell r="G2127">
            <v>0</v>
          </cell>
          <cell r="H2127">
            <v>0</v>
          </cell>
          <cell r="I2127">
            <v>0</v>
          </cell>
          <cell r="J2127">
            <v>0</v>
          </cell>
          <cell r="K2127">
            <v>138</v>
          </cell>
          <cell r="L2127">
            <v>1</v>
          </cell>
          <cell r="M2127">
            <v>0</v>
          </cell>
          <cell r="N2127">
            <v>0</v>
          </cell>
          <cell r="O2127">
            <v>0</v>
          </cell>
          <cell r="P2127">
            <v>0</v>
          </cell>
          <cell r="Q2127">
            <v>0</v>
          </cell>
          <cell r="R2127">
            <v>0</v>
          </cell>
          <cell r="S2127">
            <v>0</v>
          </cell>
          <cell r="T2127">
            <v>0</v>
          </cell>
          <cell r="U2127">
            <v>0</v>
          </cell>
          <cell r="V2127">
            <v>0</v>
          </cell>
        </row>
        <row r="2128">
          <cell r="A2128" t="str">
            <v>209101</v>
          </cell>
          <cell r="B2128">
            <v>1</v>
          </cell>
          <cell r="C2128">
            <v>293</v>
          </cell>
          <cell r="D2128">
            <v>1</v>
          </cell>
          <cell r="E2128">
            <v>293</v>
          </cell>
          <cell r="F2128">
            <v>1</v>
          </cell>
          <cell r="G2128">
            <v>0</v>
          </cell>
          <cell r="H2128">
            <v>0</v>
          </cell>
          <cell r="I2128">
            <v>0</v>
          </cell>
          <cell r="J2128">
            <v>0</v>
          </cell>
          <cell r="K2128">
            <v>0</v>
          </cell>
          <cell r="L2128">
            <v>0</v>
          </cell>
          <cell r="M2128">
            <v>0</v>
          </cell>
          <cell r="N2128">
            <v>0</v>
          </cell>
          <cell r="O2128">
            <v>0</v>
          </cell>
          <cell r="P2128">
            <v>0</v>
          </cell>
          <cell r="Q2128">
            <v>0</v>
          </cell>
          <cell r="R2128">
            <v>0</v>
          </cell>
          <cell r="S2128">
            <v>0</v>
          </cell>
          <cell r="T2128">
            <v>0</v>
          </cell>
          <cell r="U2128">
            <v>0</v>
          </cell>
          <cell r="V2128">
            <v>0</v>
          </cell>
        </row>
        <row r="2129">
          <cell r="A2129" t="str">
            <v>214001</v>
          </cell>
          <cell r="B2129">
            <v>1</v>
          </cell>
          <cell r="C2129">
            <v>0</v>
          </cell>
          <cell r="D2129">
            <v>0</v>
          </cell>
          <cell r="E2129">
            <v>0</v>
          </cell>
          <cell r="F2129">
            <v>0</v>
          </cell>
          <cell r="G2129">
            <v>0</v>
          </cell>
          <cell r="H2129">
            <v>0</v>
          </cell>
          <cell r="I2129">
            <v>0</v>
          </cell>
          <cell r="J2129">
            <v>0</v>
          </cell>
          <cell r="K2129">
            <v>327.28333300000003</v>
          </cell>
          <cell r="L2129">
            <v>2</v>
          </cell>
          <cell r="M2129">
            <v>327.28333300000003</v>
          </cell>
          <cell r="N2129">
            <v>2</v>
          </cell>
          <cell r="O2129">
            <v>0</v>
          </cell>
          <cell r="P2129">
            <v>0</v>
          </cell>
          <cell r="Q2129">
            <v>0</v>
          </cell>
          <cell r="R2129">
            <v>0</v>
          </cell>
          <cell r="S2129">
            <v>106</v>
          </cell>
          <cell r="T2129">
            <v>1</v>
          </cell>
          <cell r="U2129">
            <v>106</v>
          </cell>
          <cell r="V2129">
            <v>1</v>
          </cell>
        </row>
        <row r="2130">
          <cell r="A2130" t="str">
            <v>214301</v>
          </cell>
          <cell r="B2130">
            <v>1</v>
          </cell>
          <cell r="C2130">
            <v>0</v>
          </cell>
          <cell r="D2130">
            <v>0</v>
          </cell>
          <cell r="E2130">
            <v>0</v>
          </cell>
          <cell r="F2130">
            <v>0</v>
          </cell>
          <cell r="G2130">
            <v>112.236717</v>
          </cell>
          <cell r="H2130">
            <v>1</v>
          </cell>
          <cell r="I2130">
            <v>112.236717</v>
          </cell>
          <cell r="J2130">
            <v>1</v>
          </cell>
          <cell r="K2130">
            <v>0</v>
          </cell>
          <cell r="L2130">
            <v>0</v>
          </cell>
          <cell r="M2130">
            <v>0</v>
          </cell>
          <cell r="N2130">
            <v>0</v>
          </cell>
          <cell r="O2130">
            <v>78.8</v>
          </cell>
          <cell r="P2130">
            <v>1</v>
          </cell>
          <cell r="Q2130">
            <v>78.8</v>
          </cell>
          <cell r="R2130">
            <v>1</v>
          </cell>
          <cell r="S2130">
            <v>0</v>
          </cell>
          <cell r="T2130">
            <v>0</v>
          </cell>
          <cell r="U2130">
            <v>0</v>
          </cell>
          <cell r="V2130">
            <v>0</v>
          </cell>
        </row>
        <row r="2131">
          <cell r="A2131" t="str">
            <v>216001</v>
          </cell>
          <cell r="B2131">
            <v>1</v>
          </cell>
          <cell r="C2131">
            <v>196</v>
          </cell>
          <cell r="D2131">
            <v>1</v>
          </cell>
          <cell r="E2131">
            <v>196</v>
          </cell>
          <cell r="F2131">
            <v>1</v>
          </cell>
          <cell r="G2131">
            <v>0</v>
          </cell>
          <cell r="H2131">
            <v>0</v>
          </cell>
          <cell r="I2131">
            <v>0</v>
          </cell>
          <cell r="J2131">
            <v>0</v>
          </cell>
          <cell r="K2131">
            <v>0</v>
          </cell>
          <cell r="L2131">
            <v>0</v>
          </cell>
          <cell r="M2131">
            <v>0</v>
          </cell>
          <cell r="N2131">
            <v>0</v>
          </cell>
          <cell r="O2131">
            <v>0</v>
          </cell>
          <cell r="P2131">
            <v>0</v>
          </cell>
          <cell r="Q2131">
            <v>0</v>
          </cell>
          <cell r="R2131">
            <v>0</v>
          </cell>
          <cell r="S2131">
            <v>0</v>
          </cell>
          <cell r="T2131">
            <v>0</v>
          </cell>
          <cell r="U2131">
            <v>0</v>
          </cell>
          <cell r="V2131">
            <v>0</v>
          </cell>
        </row>
        <row r="2132">
          <cell r="A2132" t="str">
            <v>216101</v>
          </cell>
          <cell r="B2132">
            <v>1</v>
          </cell>
          <cell r="C2132">
            <v>125</v>
          </cell>
          <cell r="D2132">
            <v>1</v>
          </cell>
          <cell r="E2132">
            <v>125</v>
          </cell>
          <cell r="F2132">
            <v>1</v>
          </cell>
          <cell r="G2132">
            <v>0</v>
          </cell>
          <cell r="H2132">
            <v>0</v>
          </cell>
          <cell r="I2132">
            <v>0</v>
          </cell>
          <cell r="J2132">
            <v>0</v>
          </cell>
          <cell r="K2132">
            <v>0</v>
          </cell>
          <cell r="L2132">
            <v>0</v>
          </cell>
          <cell r="M2132">
            <v>0</v>
          </cell>
          <cell r="N2132">
            <v>0</v>
          </cell>
          <cell r="O2132">
            <v>0</v>
          </cell>
          <cell r="P2132">
            <v>0</v>
          </cell>
          <cell r="Q2132">
            <v>0</v>
          </cell>
          <cell r="R2132">
            <v>0</v>
          </cell>
          <cell r="S2132">
            <v>0</v>
          </cell>
          <cell r="T2132">
            <v>0</v>
          </cell>
          <cell r="U2132">
            <v>0</v>
          </cell>
          <cell r="V2132">
            <v>0</v>
          </cell>
        </row>
        <row r="2133">
          <cell r="A2133" t="str">
            <v>217301</v>
          </cell>
          <cell r="B2133">
            <v>1</v>
          </cell>
          <cell r="C2133">
            <v>0</v>
          </cell>
          <cell r="D2133">
            <v>0</v>
          </cell>
          <cell r="E2133">
            <v>0</v>
          </cell>
          <cell r="F2133">
            <v>0</v>
          </cell>
          <cell r="G2133">
            <v>133</v>
          </cell>
          <cell r="H2133">
            <v>1</v>
          </cell>
          <cell r="I2133">
            <v>133</v>
          </cell>
          <cell r="J2133">
            <v>1</v>
          </cell>
          <cell r="K2133">
            <v>0</v>
          </cell>
          <cell r="L2133">
            <v>0</v>
          </cell>
          <cell r="M2133">
            <v>0</v>
          </cell>
          <cell r="N2133">
            <v>0</v>
          </cell>
          <cell r="O2133">
            <v>0</v>
          </cell>
          <cell r="P2133">
            <v>0</v>
          </cell>
          <cell r="Q2133">
            <v>0</v>
          </cell>
          <cell r="R2133">
            <v>0</v>
          </cell>
          <cell r="S2133">
            <v>0</v>
          </cell>
          <cell r="T2133">
            <v>0</v>
          </cell>
          <cell r="U2133">
            <v>0</v>
          </cell>
          <cell r="V2133">
            <v>0</v>
          </cell>
        </row>
        <row r="2134">
          <cell r="A2134" t="str">
            <v>600101</v>
          </cell>
          <cell r="B2134">
            <v>223</v>
          </cell>
          <cell r="C2134">
            <v>284.819503</v>
          </cell>
          <cell r="D2134">
            <v>1.2331838565022399</v>
          </cell>
          <cell r="E2134">
            <v>284.819503</v>
          </cell>
          <cell r="F2134">
            <v>1.2331838565022399</v>
          </cell>
          <cell r="G2134">
            <v>0</v>
          </cell>
          <cell r="H2134">
            <v>0</v>
          </cell>
          <cell r="I2134">
            <v>0</v>
          </cell>
          <cell r="J2134">
            <v>0</v>
          </cell>
          <cell r="K2134">
            <v>0</v>
          </cell>
          <cell r="L2134">
            <v>0</v>
          </cell>
          <cell r="M2134">
            <v>0</v>
          </cell>
          <cell r="N2134">
            <v>0</v>
          </cell>
          <cell r="O2134">
            <v>0</v>
          </cell>
          <cell r="P2134">
            <v>0</v>
          </cell>
          <cell r="Q2134">
            <v>0</v>
          </cell>
          <cell r="R2134">
            <v>0</v>
          </cell>
          <cell r="S2134">
            <v>0</v>
          </cell>
          <cell r="T2134">
            <v>0</v>
          </cell>
          <cell r="U2134">
            <v>0</v>
          </cell>
          <cell r="V2134">
            <v>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A7D9B8-8B14-4288-95F9-1A788826CCD6}" name="Table3527" displayName="Table3527" ref="AC10:AF15" totalsRowShown="0">
  <autoFilter ref="AC10:AF15" xr:uid="{88C91235-8168-49F6-B54A-760FB401949C}"/>
  <tableColumns count="4">
    <tableColumn id="1" xr3:uid="{478F2F0D-0957-4D52-820C-E484F1F74EFF}" name="SAIDI incl MEDs quartiles" dataDxfId="2"/>
    <tableColumn id="2" xr3:uid="{0FE4C416-3F9F-43E6-9039-A4A9A8873387}" name="Column1" dataDxfId="1"/>
    <tableColumn id="3" xr3:uid="{17D8A084-5CDB-4E10-8CA4-1A71472FAC45}" name="Column2" dataDxfId="0"/>
    <tableColumn id="4" xr3:uid="{85417C38-2FE6-4838-80F5-9D725FA843B6}" name="Column3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D1A087-7D87-4A6C-A20D-4477D6DEB70C}" name="Table358" displayName="Table358" ref="AC11:AF16" totalsRowShown="0">
  <autoFilter ref="AC11:AF16" xr:uid="{CFAC8CA2-C0C0-44ED-B078-8D11C862A774}"/>
  <tableColumns count="4">
    <tableColumn id="1" xr3:uid="{475A5532-95E6-4080-9EC8-A243DC1B31FB}" name="SAIDI incl MEDs quartiles"/>
    <tableColumn id="2" xr3:uid="{DE822329-F1A6-44F4-8989-6AC0212FF619}" name="Column1"/>
    <tableColumn id="3" xr3:uid="{DA1FF86C-FC9B-44F3-ABE2-9B5C2D86CA5B}" name="Column2"/>
    <tableColumn id="4" xr3:uid="{F48F5151-0421-4A9B-AE66-119210F6C7C9}" name="Column3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6EF4A-2551-43B0-B217-92DBBEDC612D}">
  <dimension ref="A1:AH193"/>
  <sheetViews>
    <sheetView tabSelected="1" workbookViewId="0">
      <pane xSplit="6" ySplit="3" topLeftCell="V4" activePane="bottomRight" state="frozen"/>
      <selection pane="topRight" activeCell="G1" sqref="G1"/>
      <selection pane="bottomLeft" activeCell="A4" sqref="A4"/>
      <selection pane="bottomRight" activeCell="AF14" sqref="AF14"/>
    </sheetView>
  </sheetViews>
  <sheetFormatPr defaultRowHeight="15" x14ac:dyDescent="0.25"/>
  <cols>
    <col min="1" max="1" width="9" bestFit="1" customWidth="1"/>
    <col min="2" max="2" width="10.140625" bestFit="1" customWidth="1"/>
    <col min="3" max="3" width="19.42578125" bestFit="1" customWidth="1"/>
    <col min="4" max="4" width="28" bestFit="1" customWidth="1"/>
    <col min="5" max="5" width="12.5703125" bestFit="1" customWidth="1"/>
    <col min="6" max="6" width="9.42578125" bestFit="1" customWidth="1"/>
    <col min="7" max="10" width="8.28515625" customWidth="1"/>
    <col min="11" max="26" width="8.28515625" style="29" customWidth="1"/>
    <col min="27" max="27" width="27.85546875" bestFit="1" customWidth="1"/>
    <col min="29" max="29" width="28.140625" bestFit="1" customWidth="1"/>
    <col min="30" max="30" width="11.140625" bestFit="1" customWidth="1"/>
    <col min="31" max="31" width="11.28515625" bestFit="1" customWidth="1"/>
  </cols>
  <sheetData>
    <row r="1" spans="1:34" ht="15.75" x14ac:dyDescent="0.25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41" t="s">
        <v>5</v>
      </c>
      <c r="G1" s="36">
        <v>2023</v>
      </c>
      <c r="H1" s="36"/>
      <c r="I1" s="36"/>
      <c r="J1" s="36"/>
      <c r="K1" s="36">
        <v>2022</v>
      </c>
      <c r="L1" s="36"/>
      <c r="M1" s="36"/>
      <c r="N1" s="36"/>
      <c r="O1" s="36">
        <v>2021</v>
      </c>
      <c r="P1" s="36"/>
      <c r="Q1" s="36"/>
      <c r="R1" s="36"/>
      <c r="S1" s="36">
        <v>2020</v>
      </c>
      <c r="T1" s="36"/>
      <c r="U1" s="36"/>
      <c r="V1" s="36"/>
      <c r="W1" s="36">
        <v>2019</v>
      </c>
      <c r="X1" s="36"/>
      <c r="Y1" s="36"/>
      <c r="Z1" s="36"/>
    </row>
    <row r="2" spans="1:34" ht="15.75" x14ac:dyDescent="0.25">
      <c r="A2" s="37"/>
      <c r="B2" s="37"/>
      <c r="C2" s="37"/>
      <c r="D2" s="37"/>
      <c r="E2" s="37"/>
      <c r="F2" s="42"/>
      <c r="G2" s="33" t="s">
        <v>6</v>
      </c>
      <c r="H2" s="33"/>
      <c r="I2" s="33" t="s">
        <v>7</v>
      </c>
      <c r="J2" s="33"/>
      <c r="K2" s="33" t="s">
        <v>6</v>
      </c>
      <c r="L2" s="33"/>
      <c r="M2" s="33" t="s">
        <v>7</v>
      </c>
      <c r="N2" s="33"/>
      <c r="O2" s="33" t="s">
        <v>6</v>
      </c>
      <c r="P2" s="33"/>
      <c r="Q2" s="33" t="s">
        <v>7</v>
      </c>
      <c r="R2" s="33"/>
      <c r="S2" s="33" t="s">
        <v>6</v>
      </c>
      <c r="T2" s="33"/>
      <c r="U2" s="33" t="s">
        <v>7</v>
      </c>
      <c r="V2" s="33"/>
      <c r="W2" s="33" t="s">
        <v>6</v>
      </c>
      <c r="X2" s="33"/>
      <c r="Y2" s="33" t="s">
        <v>7</v>
      </c>
      <c r="Z2" s="33"/>
    </row>
    <row r="3" spans="1:34" ht="15.75" x14ac:dyDescent="0.25">
      <c r="A3" s="37"/>
      <c r="B3" s="37"/>
      <c r="C3" s="37"/>
      <c r="D3" s="37"/>
      <c r="E3" s="37"/>
      <c r="F3" s="43"/>
      <c r="G3" s="1" t="s">
        <v>8</v>
      </c>
      <c r="H3" s="2" t="s">
        <v>9</v>
      </c>
      <c r="I3" s="1" t="s">
        <v>8</v>
      </c>
      <c r="J3" s="2" t="s">
        <v>9</v>
      </c>
      <c r="K3" s="1" t="s">
        <v>8</v>
      </c>
      <c r="L3" s="2" t="s">
        <v>9</v>
      </c>
      <c r="M3" s="1" t="s">
        <v>8</v>
      </c>
      <c r="N3" s="2" t="s">
        <v>9</v>
      </c>
      <c r="O3" s="1" t="s">
        <v>8</v>
      </c>
      <c r="P3" s="2" t="s">
        <v>9</v>
      </c>
      <c r="Q3" s="1" t="s">
        <v>8</v>
      </c>
      <c r="R3" s="2" t="s">
        <v>9</v>
      </c>
      <c r="S3" s="1" t="s">
        <v>8</v>
      </c>
      <c r="T3" s="2" t="s">
        <v>9</v>
      </c>
      <c r="U3" s="1" t="s">
        <v>8</v>
      </c>
      <c r="V3" s="2" t="s">
        <v>9</v>
      </c>
      <c r="W3" s="1" t="s">
        <v>8</v>
      </c>
      <c r="X3" s="2" t="s">
        <v>9</v>
      </c>
      <c r="Y3" s="1" t="s">
        <v>8</v>
      </c>
      <c r="Z3" s="2" t="s">
        <v>9</v>
      </c>
      <c r="AA3" s="3" t="s">
        <v>10</v>
      </c>
    </row>
    <row r="4" spans="1:34" ht="14.45" customHeight="1" x14ac:dyDescent="0.25">
      <c r="A4" s="3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5">
        <f>IFERROR(INDEX([1]raw_data!B:B,MATCH('SAIDI excl MEDs sort (5-yr avg)'!B105,[1]raw_data!A:A,0)),0)</f>
        <v>1734.2</v>
      </c>
      <c r="G4" s="6">
        <f>SUMIFS([1]raw_data!C:C,[1]raw_data!$A:$A,$B4)</f>
        <v>36.783123000000003</v>
      </c>
      <c r="H4" s="7">
        <f>SUMIFS([1]raw_data!D:D,[1]raw_data!$A:$A,$B4)</f>
        <v>0.187113857016769</v>
      </c>
      <c r="I4" s="6">
        <f>SUMIFS([1]raw_data!E:E,[1]raw_data!$A:$A,$B4)</f>
        <v>36.783123000000003</v>
      </c>
      <c r="J4" s="7">
        <f>SUMIFS([1]raw_data!F:F,[1]raw_data!$A:$A,$B4)</f>
        <v>0.187113857016769</v>
      </c>
      <c r="K4" s="6">
        <f>SUMIFS([1]raw_data!G:G,[1]raw_data!$A:$A,$B4)</f>
        <v>355.562141</v>
      </c>
      <c r="L4" s="7">
        <f>SUMIFS([1]raw_data!H:H,[1]raw_data!$A:$A,$B4)</f>
        <v>1.1356957649092401</v>
      </c>
      <c r="M4" s="6">
        <f>SUMIFS([1]raw_data!I:I,[1]raw_data!$A:$A,$B4)</f>
        <v>338.43867</v>
      </c>
      <c r="N4" s="7">
        <f>SUMIFS([1]raw_data!J:J,[1]raw_data!$A:$A,$B4)</f>
        <v>1.12791702679343</v>
      </c>
      <c r="O4" s="6">
        <f>SUMIFS([1]raw_data!K:K,[1]raw_data!$A:$A,$B4)</f>
        <v>283.72983900000003</v>
      </c>
      <c r="P4" s="7">
        <f>SUMIFS([1]raw_data!L:L,[1]raw_data!$A:$A,$B4)</f>
        <v>0.18836565096952901</v>
      </c>
      <c r="Q4" s="6">
        <f>SUMIFS([1]raw_data!M:M,[1]raw_data!$A:$A,$B4)</f>
        <v>34.433995000000003</v>
      </c>
      <c r="R4" s="7">
        <f>SUMIFS([1]raw_data!N:N,[1]raw_data!$A:$A,$B4)</f>
        <v>9.3259464450600099E-2</v>
      </c>
      <c r="S4" s="6">
        <f>SUMIFS([1]raw_data!O:O,[1]raw_data!$A:$A,$B4)</f>
        <v>88.714450999999997</v>
      </c>
      <c r="T4" s="7">
        <f>SUMIFS([1]raw_data!P:P,[1]raw_data!$A:$A,$B4)</f>
        <v>0.21058558558558499</v>
      </c>
      <c r="U4" s="6">
        <f>SUMIFS([1]raw_data!Q:Q,[1]raw_data!$A:$A,$B4)</f>
        <v>70.178622000000004</v>
      </c>
      <c r="V4" s="7">
        <f>SUMIFS([1]raw_data!R:R,[1]raw_data!$A:$A,$B4)</f>
        <v>0.20270270270270199</v>
      </c>
      <c r="W4" s="6">
        <f>SUMIFS([1]raw_data!S:S,[1]raw_data!$A:$A,$B4)</f>
        <v>2912.5</v>
      </c>
      <c r="X4" s="7">
        <f>SUMIFS([1]raw_data!T:T,[1]raw_data!$A:$A,$B4)</f>
        <v>10</v>
      </c>
      <c r="Y4" s="6">
        <f>SUMIFS([1]raw_data!U:U,[1]raw_data!$A:$A,$B4)</f>
        <v>2912.5</v>
      </c>
      <c r="Z4" s="7">
        <f>SUMIFS([1]raw_data!V:V,[1]raw_data!$A:$A,$B4)</f>
        <v>10</v>
      </c>
      <c r="AA4" s="4">
        <f t="shared" ref="AA4:AA67" si="0">(I4+M4+Q4+U4+Y4)/5</f>
        <v>678.46688199999994</v>
      </c>
    </row>
    <row r="5" spans="1:34" x14ac:dyDescent="0.25">
      <c r="A5" s="35"/>
      <c r="B5" s="4" t="s">
        <v>16</v>
      </c>
      <c r="C5" s="4" t="s">
        <v>17</v>
      </c>
      <c r="D5" s="4" t="s">
        <v>18</v>
      </c>
      <c r="E5" s="4" t="s">
        <v>19</v>
      </c>
      <c r="F5" s="5">
        <f>IFERROR(INDEX([1]raw_data!B:B,MATCH('SAIDI excl MEDs sort (5-yr avg)'!B152,[1]raw_data!A:A,0)),0)</f>
        <v>1850.6</v>
      </c>
      <c r="G5" s="6">
        <f>SUMIFS([1]raw_data!C:C,[1]raw_data!$A:$A,$B5)</f>
        <v>2.0923280000000002</v>
      </c>
      <c r="H5" s="7">
        <f>SUMIFS([1]raw_data!D:D,[1]raw_data!$A:$A,$B5)</f>
        <v>2.7027027027027001E-2</v>
      </c>
      <c r="I5" s="6">
        <f>SUMIFS([1]raw_data!E:E,[1]raw_data!$A:$A,$B5)</f>
        <v>2.0923280000000002</v>
      </c>
      <c r="J5" s="7">
        <f>SUMIFS([1]raw_data!F:F,[1]raw_data!$A:$A,$B5)</f>
        <v>2.7027027027027001E-2</v>
      </c>
      <c r="K5" s="6">
        <f>SUMIFS([1]raw_data!G:G,[1]raw_data!$A:$A,$B5)</f>
        <v>10.627008999999999</v>
      </c>
      <c r="L5" s="7">
        <f>SUMIFS([1]raw_data!H:H,[1]raw_data!$A:$A,$B5)</f>
        <v>9.1743119266054995E-2</v>
      </c>
      <c r="M5" s="6">
        <f>SUMIFS([1]raw_data!I:I,[1]raw_data!$A:$A,$B5)</f>
        <v>10.627008999999999</v>
      </c>
      <c r="N5" s="7">
        <f>SUMIFS([1]raw_data!J:J,[1]raw_data!$A:$A,$B5)</f>
        <v>9.1743119266054995E-2</v>
      </c>
      <c r="O5" s="6">
        <f>SUMIFS([1]raw_data!K:K,[1]raw_data!$A:$A,$B5)</f>
        <v>33.639042000000003</v>
      </c>
      <c r="P5" s="7">
        <f>SUMIFS([1]raw_data!L:L,[1]raw_data!$A:$A,$B5)</f>
        <v>0.101851851851851</v>
      </c>
      <c r="Q5" s="6">
        <f>SUMIFS([1]raw_data!M:M,[1]raw_data!$A:$A,$B5)</f>
        <v>5.6944439999999998</v>
      </c>
      <c r="R5" s="7">
        <f>SUMIFS([1]raw_data!N:N,[1]raw_data!$A:$A,$B5)</f>
        <v>9.2592592592592504E-2</v>
      </c>
      <c r="S5" s="6">
        <f>SUMIFS([1]raw_data!O:O,[1]raw_data!$A:$A,$B5)</f>
        <v>143.33301800000001</v>
      </c>
      <c r="T5" s="7">
        <f>SUMIFS([1]raw_data!P:P,[1]raw_data!$A:$A,$B5)</f>
        <v>1.02830188679245</v>
      </c>
      <c r="U5" s="6">
        <f>SUMIFS([1]raw_data!Q:Q,[1]raw_data!$A:$A,$B5)</f>
        <v>143.33301800000001</v>
      </c>
      <c r="V5" s="7">
        <f>SUMIFS([1]raw_data!R:R,[1]raw_data!$A:$A,$B5)</f>
        <v>1.02830188679245</v>
      </c>
      <c r="W5" s="6">
        <f>SUMIFS([1]raw_data!S:S,[1]raw_data!$A:$A,$B5)</f>
        <v>2794.547286</v>
      </c>
      <c r="X5" s="7">
        <f>SUMIFS([1]raw_data!T:T,[1]raw_data!$A:$A,$B5)</f>
        <v>20.558139534883701</v>
      </c>
      <c r="Y5" s="6">
        <f>SUMIFS([1]raw_data!U:U,[1]raw_data!$A:$A,$B5)</f>
        <v>2794.547286</v>
      </c>
      <c r="Z5" s="7">
        <f>SUMIFS([1]raw_data!V:V,[1]raw_data!$A:$A,$B5)</f>
        <v>20.558139534883701</v>
      </c>
      <c r="AA5" s="4">
        <f t="shared" si="0"/>
        <v>591.25881700000002</v>
      </c>
    </row>
    <row r="6" spans="1:34" x14ac:dyDescent="0.25">
      <c r="A6" s="35"/>
      <c r="B6" s="4" t="s">
        <v>20</v>
      </c>
      <c r="C6" s="4" t="s">
        <v>21</v>
      </c>
      <c r="D6" s="4" t="s">
        <v>22</v>
      </c>
      <c r="E6" s="4" t="s">
        <v>23</v>
      </c>
      <c r="F6" s="5">
        <f>IFERROR(INDEX([1]raw_data!B:B,MATCH('SAIDI excl MEDs sort (5-yr avg)'!B8,[1]raw_data!A:A,0)),0)</f>
        <v>896</v>
      </c>
      <c r="G6" s="6">
        <f>SUMIFS([1]raw_data!C:C,[1]raw_data!$A:$A,$B6)</f>
        <v>679.65555500000005</v>
      </c>
      <c r="H6" s="7">
        <f>SUMIFS([1]raw_data!D:D,[1]raw_data!$A:$A,$B6)</f>
        <v>2.13291139240506</v>
      </c>
      <c r="I6" s="6">
        <f>SUMIFS([1]raw_data!E:E,[1]raw_data!$A:$A,$B6)</f>
        <v>557.56305799999996</v>
      </c>
      <c r="J6" s="7">
        <f>SUMIFS([1]raw_data!F:F,[1]raw_data!$A:$A,$B6)</f>
        <v>2.1012658227848098</v>
      </c>
      <c r="K6" s="6">
        <f>SUMIFS([1]raw_data!G:G,[1]raw_data!$A:$A,$B6)</f>
        <v>2129.2801359999999</v>
      </c>
      <c r="L6" s="7">
        <f>SUMIFS([1]raw_data!H:H,[1]raw_data!$A:$A,$B6)</f>
        <v>4.45</v>
      </c>
      <c r="M6" s="6">
        <f>SUMIFS([1]raw_data!I:I,[1]raw_data!$A:$A,$B6)</f>
        <v>694.74955799999998</v>
      </c>
      <c r="N6" s="7">
        <f>SUMIFS([1]raw_data!J:J,[1]raw_data!$A:$A,$B6)</f>
        <v>2.3187500000000001</v>
      </c>
      <c r="O6" s="6">
        <f>SUMIFS([1]raw_data!K:K,[1]raw_data!$A:$A,$B6)</f>
        <v>2045.7740389999999</v>
      </c>
      <c r="P6" s="7">
        <f>SUMIFS([1]raw_data!L:L,[1]raw_data!$A:$A,$B6)</f>
        <v>2.7445482866043598</v>
      </c>
      <c r="Q6" s="6">
        <f>SUMIFS([1]raw_data!M:M,[1]raw_data!$A:$A,$B6)</f>
        <v>425.370768</v>
      </c>
      <c r="R6" s="7">
        <f>SUMIFS([1]raw_data!N:N,[1]raw_data!$A:$A,$B6)</f>
        <v>1.09657320872274</v>
      </c>
      <c r="S6" s="6">
        <f>SUMIFS([1]raw_data!O:O,[1]raw_data!$A:$A,$B6)</f>
        <v>8.7541139999999995</v>
      </c>
      <c r="T6" s="7">
        <f>SUMIFS([1]raw_data!P:P,[1]raw_data!$A:$A,$B6)</f>
        <v>0.101851851851851</v>
      </c>
      <c r="U6" s="6">
        <f>SUMIFS([1]raw_data!Q:Q,[1]raw_data!$A:$A,$B6)</f>
        <v>2.545061</v>
      </c>
      <c r="V6" s="7">
        <f>SUMIFS([1]raw_data!R:R,[1]raw_data!$A:$A,$B6)</f>
        <v>5.2469135802469098E-2</v>
      </c>
      <c r="W6" s="6">
        <f>SUMIFS([1]raw_data!S:S,[1]raw_data!$A:$A,$B6)</f>
        <v>864.60437400000001</v>
      </c>
      <c r="X6" s="7">
        <f>SUMIFS([1]raw_data!T:T,[1]raw_data!$A:$A,$B6)</f>
        <v>3.5562499999999999</v>
      </c>
      <c r="Y6" s="6">
        <f>SUMIFS([1]raw_data!U:U,[1]raw_data!$A:$A,$B6)</f>
        <v>861.11427000000003</v>
      </c>
      <c r="Z6" s="7">
        <f>SUMIFS([1]raw_data!V:V,[1]raw_data!$A:$A,$B6)</f>
        <v>3.4937499999999999</v>
      </c>
      <c r="AA6" s="4">
        <f t="shared" si="0"/>
        <v>508.26854299999997</v>
      </c>
    </row>
    <row r="7" spans="1:34" x14ac:dyDescent="0.25">
      <c r="A7" s="35"/>
      <c r="B7" s="4" t="s">
        <v>24</v>
      </c>
      <c r="C7" s="4" t="s">
        <v>25</v>
      </c>
      <c r="D7" s="4" t="s">
        <v>26</v>
      </c>
      <c r="E7" s="4" t="s">
        <v>27</v>
      </c>
      <c r="F7" s="5">
        <f>IFERROR(INDEX([1]raw_data!B:B,MATCH('SAIDI excl MEDs sort (5-yr avg)'!B31,[1]raw_data!A:A,0)),0)</f>
        <v>1071.2222220000001</v>
      </c>
      <c r="G7" s="6">
        <f>SUMIFS([1]raw_data!C:C,[1]raw_data!$A:$A,$B7)</f>
        <v>960.652198</v>
      </c>
      <c r="H7" s="7">
        <f>SUMIFS([1]raw_data!D:D,[1]raw_data!$A:$A,$B7)</f>
        <v>3.2951885565669699</v>
      </c>
      <c r="I7" s="6">
        <f>SUMIFS([1]raw_data!E:E,[1]raw_data!$A:$A,$B7)</f>
        <v>220.01796899999999</v>
      </c>
      <c r="J7" s="7">
        <f>SUMIFS([1]raw_data!F:F,[1]raw_data!$A:$A,$B7)</f>
        <v>2.3784135240572102</v>
      </c>
      <c r="K7" s="6">
        <f>SUMIFS([1]raw_data!G:G,[1]raw_data!$A:$A,$B7)</f>
        <v>11.529491</v>
      </c>
      <c r="L7" s="7">
        <f>SUMIFS([1]raw_data!H:H,[1]raw_data!$A:$A,$B7)</f>
        <v>0.16103896103896101</v>
      </c>
      <c r="M7" s="6">
        <f>SUMIFS([1]raw_data!I:I,[1]raw_data!$A:$A,$B7)</f>
        <v>11.529491</v>
      </c>
      <c r="N7" s="7">
        <f>SUMIFS([1]raw_data!J:J,[1]raw_data!$A:$A,$B7)</f>
        <v>0.16103896103896101</v>
      </c>
      <c r="O7" s="6">
        <f>SUMIFS([1]raw_data!K:K,[1]raw_data!$A:$A,$B7)</f>
        <v>543.74913100000003</v>
      </c>
      <c r="P7" s="7">
        <f>SUMIFS([1]raw_data!L:L,[1]raw_data!$A:$A,$B7)</f>
        <v>3.2786458333333299</v>
      </c>
      <c r="Q7" s="6">
        <f>SUMIFS([1]raw_data!M:M,[1]raw_data!$A:$A,$B7)</f>
        <v>462.263216</v>
      </c>
      <c r="R7" s="7">
        <f>SUMIFS([1]raw_data!N:N,[1]raw_data!$A:$A,$B7)</f>
        <v>3.1966145833333299</v>
      </c>
      <c r="S7" s="6">
        <f>SUMIFS([1]raw_data!O:O,[1]raw_data!$A:$A,$B7)</f>
        <v>1222.81873</v>
      </c>
      <c r="T7" s="7">
        <f>SUMIFS([1]raw_data!P:P,[1]raw_data!$A:$A,$B7)</f>
        <v>6.4159061277705298</v>
      </c>
      <c r="U7" s="6">
        <f>SUMIFS([1]raw_data!Q:Q,[1]raw_data!$A:$A,$B7)</f>
        <v>1024.0025419999999</v>
      </c>
      <c r="V7" s="7">
        <f>SUMIFS([1]raw_data!R:R,[1]raw_data!$A:$A,$B7)</f>
        <v>5.9530638852672704</v>
      </c>
      <c r="W7" s="6">
        <f>SUMIFS([1]raw_data!S:S,[1]raw_data!$A:$A,$B7)</f>
        <v>2392.2077939999999</v>
      </c>
      <c r="X7" s="7">
        <f>SUMIFS([1]raw_data!T:T,[1]raw_data!$A:$A,$B7)</f>
        <v>5.7562582345191</v>
      </c>
      <c r="Y7" s="6">
        <f>SUMIFS([1]raw_data!U:U,[1]raw_data!$A:$A,$B7)</f>
        <v>746.78473799999995</v>
      </c>
      <c r="Z7" s="7">
        <f>SUMIFS([1]raw_data!V:V,[1]raw_data!$A:$A,$B7)</f>
        <v>4.64558629776021</v>
      </c>
      <c r="AA7" s="4">
        <f t="shared" si="0"/>
        <v>492.91959120000001</v>
      </c>
    </row>
    <row r="8" spans="1:34" x14ac:dyDescent="0.25">
      <c r="A8" s="35"/>
      <c r="B8" s="4" t="s">
        <v>28</v>
      </c>
      <c r="C8" s="4" t="s">
        <v>29</v>
      </c>
      <c r="D8" s="4" t="s">
        <v>30</v>
      </c>
      <c r="E8" s="4" t="s">
        <v>31</v>
      </c>
      <c r="F8" s="5">
        <f>IFERROR(INDEX([1]raw_data!B:B,MATCH('SAIDI excl MEDs sort (5-yr avg)'!B5,[1]raw_data!A:A,0)),0)</f>
        <v>97.5</v>
      </c>
      <c r="G8" s="6">
        <f>SUMIFS([1]raw_data!C:C,[1]raw_data!$A:$A,$B8)</f>
        <v>1584.280722</v>
      </c>
      <c r="H8" s="7">
        <f>SUMIFS([1]raw_data!D:D,[1]raw_data!$A:$A,$B8)</f>
        <v>8.6051587301587293</v>
      </c>
      <c r="I8" s="6">
        <f>SUMIFS([1]raw_data!E:E,[1]raw_data!$A:$A,$B8)</f>
        <v>963.49289399999998</v>
      </c>
      <c r="J8" s="7">
        <f>SUMIFS([1]raw_data!F:F,[1]raw_data!$A:$A,$B8)</f>
        <v>5.9980158730158699</v>
      </c>
      <c r="K8" s="6">
        <f>SUMIFS([1]raw_data!G:G,[1]raw_data!$A:$A,$B8)</f>
        <v>138.462243</v>
      </c>
      <c r="L8" s="7">
        <f>SUMIFS([1]raw_data!H:H,[1]raw_data!$A:$A,$B8)</f>
        <v>1.5803842264914001</v>
      </c>
      <c r="M8" s="6">
        <f>SUMIFS([1]raw_data!I:I,[1]raw_data!$A:$A,$B8)</f>
        <v>137.176367</v>
      </c>
      <c r="N8" s="7">
        <f>SUMIFS([1]raw_data!J:J,[1]raw_data!$A:$A,$B8)</f>
        <v>1.5733063700707699</v>
      </c>
      <c r="O8" s="6">
        <f>SUMIFS([1]raw_data!K:K,[1]raw_data!$A:$A,$B8)</f>
        <v>18.361093</v>
      </c>
      <c r="P8" s="7">
        <f>SUMIFS([1]raw_data!L:L,[1]raw_data!$A:$A,$B8)</f>
        <v>0.231755424063116</v>
      </c>
      <c r="Q8" s="6">
        <f>SUMIFS([1]raw_data!M:M,[1]raw_data!$A:$A,$B8)</f>
        <v>18.212835999999999</v>
      </c>
      <c r="R8" s="7">
        <f>SUMIFS([1]raw_data!N:N,[1]raw_data!$A:$A,$B8)</f>
        <v>0.22978303747534501</v>
      </c>
      <c r="S8" s="6">
        <f>SUMIFS([1]raw_data!O:O,[1]raw_data!$A:$A,$B8)</f>
        <v>124.695329</v>
      </c>
      <c r="T8" s="7">
        <f>SUMIFS([1]raw_data!P:P,[1]raw_data!$A:$A,$B8)</f>
        <v>1.0238500851788701</v>
      </c>
      <c r="U8" s="6">
        <f>SUMIFS([1]raw_data!Q:Q,[1]raw_data!$A:$A,$B8)</f>
        <v>124.695329</v>
      </c>
      <c r="V8" s="7">
        <f>SUMIFS([1]raw_data!R:R,[1]raw_data!$A:$A,$B8)</f>
        <v>1.0238500851788701</v>
      </c>
      <c r="W8" s="6">
        <f>SUMIFS([1]raw_data!S:S,[1]raw_data!$A:$A,$B8)</f>
        <v>831.64991399999997</v>
      </c>
      <c r="X8" s="7">
        <f>SUMIFS([1]raw_data!T:T,[1]raw_data!$A:$A,$B8)</f>
        <v>3.0857142857142801</v>
      </c>
      <c r="Y8" s="6">
        <f>SUMIFS([1]raw_data!U:U,[1]raw_data!$A:$A,$B8)</f>
        <v>831.64991399999997</v>
      </c>
      <c r="Z8" s="7">
        <f>SUMIFS([1]raw_data!V:V,[1]raw_data!$A:$A,$B8)</f>
        <v>3.0857142857142801</v>
      </c>
      <c r="AA8" s="4">
        <f t="shared" si="0"/>
        <v>415.04546799999997</v>
      </c>
    </row>
    <row r="9" spans="1:34" x14ac:dyDescent="0.25">
      <c r="A9" s="35"/>
      <c r="B9" s="4" t="s">
        <v>32</v>
      </c>
      <c r="C9" s="4" t="s">
        <v>21</v>
      </c>
      <c r="D9" s="4" t="s">
        <v>33</v>
      </c>
      <c r="E9" s="4" t="s">
        <v>23</v>
      </c>
      <c r="F9" s="5">
        <f>IFERROR(INDEX([1]raw_data!B:B,MATCH('SAIDI excl MEDs sort (5-yr avg)'!B38,[1]raw_data!A:A,0)),0)</f>
        <v>1789.8</v>
      </c>
      <c r="G9" s="6">
        <f>SUMIFS([1]raw_data!C:C,[1]raw_data!$A:$A,$B9)</f>
        <v>972.31505900000002</v>
      </c>
      <c r="H9" s="7">
        <f>SUMIFS([1]raw_data!D:D,[1]raw_data!$A:$A,$B9)</f>
        <v>1.72413793103448</v>
      </c>
      <c r="I9" s="6">
        <f>SUMIFS([1]raw_data!E:E,[1]raw_data!$A:$A,$B9)</f>
        <v>182.198418</v>
      </c>
      <c r="J9" s="7">
        <f>SUMIFS([1]raw_data!F:F,[1]raw_data!$A:$A,$B9)</f>
        <v>1.40948275862068</v>
      </c>
      <c r="K9" s="6">
        <f>SUMIFS([1]raw_data!G:G,[1]raw_data!$A:$A,$B9)</f>
        <v>848.48058900000001</v>
      </c>
      <c r="L9" s="7">
        <f>SUMIFS([1]raw_data!H:H,[1]raw_data!$A:$A,$B9)</f>
        <v>2</v>
      </c>
      <c r="M9" s="6">
        <f>SUMIFS([1]raw_data!I:I,[1]raw_data!$A:$A,$B9)</f>
        <v>848.48058900000001</v>
      </c>
      <c r="N9" s="7">
        <f>SUMIFS([1]raw_data!J:J,[1]raw_data!$A:$A,$B9)</f>
        <v>2</v>
      </c>
      <c r="O9" s="6">
        <f>SUMIFS([1]raw_data!K:K,[1]raw_data!$A:$A,$B9)</f>
        <v>14.829824</v>
      </c>
      <c r="P9" s="7">
        <f>SUMIFS([1]raw_data!L:L,[1]raw_data!$A:$A,$B9)</f>
        <v>3.07017543859649E-2</v>
      </c>
      <c r="Q9" s="6">
        <f>SUMIFS([1]raw_data!M:M,[1]raw_data!$A:$A,$B9)</f>
        <v>11.219443999999999</v>
      </c>
      <c r="R9" s="7">
        <f>SUMIFS([1]raw_data!N:N,[1]raw_data!$A:$A,$B9)</f>
        <v>2.1929824561403501E-2</v>
      </c>
      <c r="S9" s="6">
        <f>SUMIFS([1]raw_data!O:O,[1]raw_data!$A:$A,$B9)</f>
        <v>542.36747400000002</v>
      </c>
      <c r="T9" s="7">
        <f>SUMIFS([1]raw_data!P:P,[1]raw_data!$A:$A,$B9)</f>
        <v>4.0396475770925102</v>
      </c>
      <c r="U9" s="6">
        <f>SUMIFS([1]raw_data!Q:Q,[1]raw_data!$A:$A,$B9)</f>
        <v>542.36747400000002</v>
      </c>
      <c r="V9" s="7">
        <f>SUMIFS([1]raw_data!R:R,[1]raw_data!$A:$A,$B9)</f>
        <v>4.0396475770925102</v>
      </c>
      <c r="W9" s="6">
        <f>SUMIFS([1]raw_data!S:S,[1]raw_data!$A:$A,$B9)</f>
        <v>431.474853</v>
      </c>
      <c r="X9" s="7">
        <f>SUMIFS([1]raw_data!T:T,[1]raw_data!$A:$A,$B9)</f>
        <v>1.29824561403508</v>
      </c>
      <c r="Y9" s="6">
        <f>SUMIFS([1]raw_data!U:U,[1]raw_data!$A:$A,$B9)</f>
        <v>430.52741200000003</v>
      </c>
      <c r="Z9" s="7">
        <f>SUMIFS([1]raw_data!V:V,[1]raw_data!$A:$A,$B9)</f>
        <v>1.2938596491228</v>
      </c>
      <c r="AA9" s="4">
        <f t="shared" si="0"/>
        <v>402.95866740000002</v>
      </c>
    </row>
    <row r="10" spans="1:34" ht="15.75" x14ac:dyDescent="0.25">
      <c r="A10" s="35"/>
      <c r="B10" s="4" t="s">
        <v>34</v>
      </c>
      <c r="C10" s="4" t="s">
        <v>35</v>
      </c>
      <c r="D10" s="4" t="s">
        <v>36</v>
      </c>
      <c r="E10" s="4" t="s">
        <v>15</v>
      </c>
      <c r="F10" s="5">
        <f>IFERROR(INDEX([1]raw_data!B:B,MATCH('SAIDI excl MEDs sort (5-yr avg)'!B17,[1]raw_data!A:A,0)),0)</f>
        <v>281.375</v>
      </c>
      <c r="G10" s="6">
        <f>SUMIFS([1]raw_data!C:C,[1]raw_data!$A:$A,$B10)</f>
        <v>324.26567</v>
      </c>
      <c r="H10" s="7">
        <f>SUMIFS([1]raw_data!D:D,[1]raw_data!$A:$A,$B10)</f>
        <v>1.9806397306397301</v>
      </c>
      <c r="I10" s="6">
        <f>SUMIFS([1]raw_data!E:E,[1]raw_data!$A:$A,$B10)</f>
        <v>303.224852</v>
      </c>
      <c r="J10" s="7">
        <f>SUMIFS([1]raw_data!F:F,[1]raw_data!$A:$A,$B10)</f>
        <v>1.9638047138047099</v>
      </c>
      <c r="K10" s="6">
        <f>SUMIFS([1]raw_data!G:G,[1]raw_data!$A:$A,$B10)</f>
        <v>779.845598</v>
      </c>
      <c r="L10" s="7">
        <f>SUMIFS([1]raw_data!H:H,[1]raw_data!$A:$A,$B10)</f>
        <v>2.6413043478260798</v>
      </c>
      <c r="M10" s="6">
        <f>SUMIFS([1]raw_data!I:I,[1]raw_data!$A:$A,$B10)</f>
        <v>610.75228400000003</v>
      </c>
      <c r="N10" s="7">
        <f>SUMIFS([1]raw_data!J:J,[1]raw_data!$A:$A,$B10)</f>
        <v>2.5351170568561798</v>
      </c>
      <c r="O10" s="6">
        <f>SUMIFS([1]raw_data!K:K,[1]raw_data!$A:$A,$B10)</f>
        <v>701.83879400000001</v>
      </c>
      <c r="P10" s="7">
        <f>SUMIFS([1]raw_data!L:L,[1]raw_data!$A:$A,$B10)</f>
        <v>3.9368155012636801</v>
      </c>
      <c r="Q10" s="6">
        <f>SUMIFS([1]raw_data!M:M,[1]raw_data!$A:$A,$B10)</f>
        <v>688.37534300000004</v>
      </c>
      <c r="R10" s="7">
        <f>SUMIFS([1]raw_data!N:N,[1]raw_data!$A:$A,$B10)</f>
        <v>3.9098567818028598</v>
      </c>
      <c r="S10" s="6">
        <f>SUMIFS([1]raw_data!O:O,[1]raw_data!$A:$A,$B10)</f>
        <v>249.568016</v>
      </c>
      <c r="T10" s="7">
        <f>SUMIFS([1]raw_data!P:P,[1]raw_data!$A:$A,$B10)</f>
        <v>0.50040096230954201</v>
      </c>
      <c r="U10" s="6">
        <f>SUMIFS([1]raw_data!Q:Q,[1]raw_data!$A:$A,$B10)</f>
        <v>87.759889999999999</v>
      </c>
      <c r="V10" s="7">
        <f>SUMIFS([1]raw_data!R:R,[1]raw_data!$A:$A,$B10)</f>
        <v>0.37610264635124202</v>
      </c>
      <c r="W10" s="6">
        <f>SUMIFS([1]raw_data!S:S,[1]raw_data!$A:$A,$B10)</f>
        <v>684.83887000000004</v>
      </c>
      <c r="X10" s="7">
        <f>SUMIFS([1]raw_data!T:T,[1]raw_data!$A:$A,$B10)</f>
        <v>1.24339471577261</v>
      </c>
      <c r="Y10" s="6">
        <f>SUMIFS([1]raw_data!U:U,[1]raw_data!$A:$A,$B10)</f>
        <v>282.07016199999998</v>
      </c>
      <c r="Z10" s="7">
        <f>SUMIFS([1]raw_data!V:V,[1]raw_data!$A:$A,$B10)</f>
        <v>1.0536429143314601</v>
      </c>
      <c r="AA10" s="4">
        <f t="shared" si="0"/>
        <v>394.43650620000005</v>
      </c>
      <c r="AC10" s="8" t="s">
        <v>37</v>
      </c>
      <c r="AD10" t="s">
        <v>38</v>
      </c>
      <c r="AE10" t="s">
        <v>39</v>
      </c>
      <c r="AF10" t="s">
        <v>40</v>
      </c>
    </row>
    <row r="11" spans="1:34" x14ac:dyDescent="0.25">
      <c r="A11" s="35"/>
      <c r="B11" s="4" t="s">
        <v>41</v>
      </c>
      <c r="C11" s="4" t="s">
        <v>21</v>
      </c>
      <c r="D11" s="4" t="s">
        <v>42</v>
      </c>
      <c r="E11" s="4" t="s">
        <v>23</v>
      </c>
      <c r="F11" s="5">
        <f>IFERROR(INDEX([1]raw_data!B:B,MATCH('SAIDI excl MEDs sort (5-yr avg)'!B81,[1]raw_data!A:A,0)),0)</f>
        <v>739.11111100000005</v>
      </c>
      <c r="G11" s="6">
        <f>SUMIFS([1]raw_data!C:C,[1]raw_data!$A:$A,$B11)</f>
        <v>82.039223000000007</v>
      </c>
      <c r="H11" s="7">
        <f>SUMIFS([1]raw_data!D:D,[1]raw_data!$A:$A,$B11)</f>
        <v>0.17593790426908101</v>
      </c>
      <c r="I11" s="6">
        <f>SUMIFS([1]raw_data!E:E,[1]raw_data!$A:$A,$B11)</f>
        <v>66.847300000000004</v>
      </c>
      <c r="J11" s="7">
        <f>SUMIFS([1]raw_data!F:F,[1]raw_data!$A:$A,$B11)</f>
        <v>0.16817593790426899</v>
      </c>
      <c r="K11" s="6">
        <f>SUMIFS([1]raw_data!G:G,[1]raw_data!$A:$A,$B11)</f>
        <v>30.980419999999999</v>
      </c>
      <c r="L11" s="7">
        <f>SUMIFS([1]raw_data!H:H,[1]raw_data!$A:$A,$B11)</f>
        <v>0.18158567774935999</v>
      </c>
      <c r="M11" s="6">
        <f>SUMIFS([1]raw_data!I:I,[1]raw_data!$A:$A,$B11)</f>
        <v>16.733418</v>
      </c>
      <c r="N11" s="7">
        <f>SUMIFS([1]raw_data!J:J,[1]raw_data!$A:$A,$B11)</f>
        <v>0.12531969309462901</v>
      </c>
      <c r="O11" s="6">
        <f>SUMIFS([1]raw_data!K:K,[1]raw_data!$A:$A,$B11)</f>
        <v>275.75771200000003</v>
      </c>
      <c r="P11" s="7">
        <f>SUMIFS([1]raw_data!L:L,[1]raw_data!$A:$A,$B11)</f>
        <v>1.3910256410256401</v>
      </c>
      <c r="Q11" s="6">
        <f>SUMIFS([1]raw_data!M:M,[1]raw_data!$A:$A,$B11)</f>
        <v>245.56743499999999</v>
      </c>
      <c r="R11" s="7">
        <f>SUMIFS([1]raw_data!N:N,[1]raw_data!$A:$A,$B11)</f>
        <v>1.34743589743589</v>
      </c>
      <c r="S11" s="6">
        <f>SUMIFS([1]raw_data!O:O,[1]raw_data!$A:$A,$B11)</f>
        <v>206.52351100000001</v>
      </c>
      <c r="T11" s="7">
        <f>SUMIFS([1]raw_data!P:P,[1]raw_data!$A:$A,$B11)</f>
        <v>2.06632653061224</v>
      </c>
      <c r="U11" s="6">
        <f>SUMIFS([1]raw_data!Q:Q,[1]raw_data!$A:$A,$B11)</f>
        <v>188.185969</v>
      </c>
      <c r="V11" s="7">
        <f>SUMIFS([1]raw_data!R:R,[1]raw_data!$A:$A,$B11)</f>
        <v>1.99744897959183</v>
      </c>
      <c r="W11" s="6">
        <f>SUMIFS([1]raw_data!S:S,[1]raw_data!$A:$A,$B11)</f>
        <v>1422.10925</v>
      </c>
      <c r="X11" s="7">
        <f>SUMIFS([1]raw_data!T:T,[1]raw_data!$A:$A,$B11)</f>
        <v>4.3009367681498798</v>
      </c>
      <c r="Y11" s="6">
        <f>SUMIFS([1]raw_data!U:U,[1]raw_data!$A:$A,$B11)</f>
        <v>1422.10925</v>
      </c>
      <c r="Z11" s="7">
        <f>SUMIFS([1]raw_data!V:V,[1]raw_data!$A:$A,$B11)</f>
        <v>4.3009367681498798</v>
      </c>
      <c r="AA11" s="4">
        <f t="shared" si="0"/>
        <v>387.88867440000001</v>
      </c>
      <c r="AC11" s="9" t="s">
        <v>0</v>
      </c>
      <c r="AD11" s="10" t="s">
        <v>8</v>
      </c>
      <c r="AE11" s="11" t="s">
        <v>43</v>
      </c>
      <c r="AF11" t="s">
        <v>44</v>
      </c>
    </row>
    <row r="12" spans="1:34" x14ac:dyDescent="0.25">
      <c r="A12" s="35"/>
      <c r="B12" s="4" t="s">
        <v>45</v>
      </c>
      <c r="C12" s="4" t="s">
        <v>46</v>
      </c>
      <c r="D12" s="4" t="s">
        <v>47</v>
      </c>
      <c r="E12" s="4" t="s">
        <v>19</v>
      </c>
      <c r="F12" s="5">
        <f>IFERROR(INDEX([1]raw_data!B:B,MATCH('SAIDI excl MEDs sort (5-yr avg)'!B155,[1]raw_data!A:A,0)),0)</f>
        <v>170</v>
      </c>
      <c r="G12" s="6">
        <f>SUMIFS([1]raw_data!C:C,[1]raw_data!$A:$A,$B12)</f>
        <v>1.494802</v>
      </c>
      <c r="H12" s="7">
        <f>SUMIFS([1]raw_data!D:D,[1]raw_data!$A:$A,$B12)</f>
        <v>9.6153846153846107E-3</v>
      </c>
      <c r="I12" s="6">
        <f>SUMIFS([1]raw_data!E:E,[1]raw_data!$A:$A,$B12)</f>
        <v>1.494802</v>
      </c>
      <c r="J12" s="7">
        <f>SUMIFS([1]raw_data!F:F,[1]raw_data!$A:$A,$B12)</f>
        <v>9.6153846153846107E-3</v>
      </c>
      <c r="K12" s="6">
        <f>SUMIFS([1]raw_data!G:G,[1]raw_data!$A:$A,$B12)</f>
        <v>729.53537700000004</v>
      </c>
      <c r="L12" s="7">
        <f>SUMIFS([1]raw_data!H:H,[1]raw_data!$A:$A,$B12)</f>
        <v>0.99056603773584895</v>
      </c>
      <c r="M12" s="6">
        <f>SUMIFS([1]raw_data!I:I,[1]raw_data!$A:$A,$B12)</f>
        <v>729.53537700000004</v>
      </c>
      <c r="N12" s="7">
        <f>SUMIFS([1]raw_data!J:J,[1]raw_data!$A:$A,$B12)</f>
        <v>0.99056603773584895</v>
      </c>
      <c r="O12" s="6">
        <f>SUMIFS([1]raw_data!K:K,[1]raw_data!$A:$A,$B12)</f>
        <v>7.5429899999999996</v>
      </c>
      <c r="P12" s="7">
        <f>SUMIFS([1]raw_data!L:L,[1]raw_data!$A:$A,$B12)</f>
        <v>5.6074766355140103E-2</v>
      </c>
      <c r="Q12" s="6">
        <f>SUMIFS([1]raw_data!M:M,[1]raw_data!$A:$A,$B12)</f>
        <v>7.5429899999999996</v>
      </c>
      <c r="R12" s="7">
        <f>SUMIFS([1]raw_data!N:N,[1]raw_data!$A:$A,$B12)</f>
        <v>5.6074766355140103E-2</v>
      </c>
      <c r="S12" s="6">
        <f>SUMIFS([1]raw_data!O:O,[1]raw_data!$A:$A,$B12)</f>
        <v>32.553702999999999</v>
      </c>
      <c r="T12" s="7">
        <f>SUMIFS([1]raw_data!P:P,[1]raw_data!$A:$A,$B12)</f>
        <v>0.73015873015873001</v>
      </c>
      <c r="U12" s="6">
        <f>SUMIFS([1]raw_data!Q:Q,[1]raw_data!$A:$A,$B12)</f>
        <v>32.553702999999999</v>
      </c>
      <c r="V12" s="7">
        <f>SUMIFS([1]raw_data!R:R,[1]raw_data!$A:$A,$B12)</f>
        <v>0.73015873015873001</v>
      </c>
      <c r="W12" s="6">
        <f>SUMIFS([1]raw_data!S:S,[1]raw_data!$A:$A,$B12)</f>
        <v>1089.061027</v>
      </c>
      <c r="X12" s="7">
        <f>SUMIFS([1]raw_data!T:T,[1]raw_data!$A:$A,$B12)</f>
        <v>2.9849624060150299</v>
      </c>
      <c r="Y12" s="6">
        <f>SUMIFS([1]raw_data!U:U,[1]raw_data!$A:$A,$B12)</f>
        <v>1089.061027</v>
      </c>
      <c r="Z12" s="7">
        <f>SUMIFS([1]raw_data!V:V,[1]raw_data!$A:$A,$B12)</f>
        <v>2.9849624060150299</v>
      </c>
      <c r="AA12" s="4">
        <f t="shared" si="0"/>
        <v>372.0375798</v>
      </c>
      <c r="AC12" s="9" t="s">
        <v>48</v>
      </c>
      <c r="AD12" s="10" t="s">
        <v>49</v>
      </c>
      <c r="AE12" s="12">
        <f>COUNT(AA114:AA193)</f>
        <v>80</v>
      </c>
      <c r="AF12" s="13">
        <f>SUM(F114:F193)</f>
        <v>62676.566258999999</v>
      </c>
      <c r="AH12" t="s">
        <v>50</v>
      </c>
    </row>
    <row r="13" spans="1:34" x14ac:dyDescent="0.25">
      <c r="A13" s="35"/>
      <c r="B13" s="4" t="s">
        <v>51</v>
      </c>
      <c r="C13" s="4" t="s">
        <v>13</v>
      </c>
      <c r="D13" s="4" t="s">
        <v>52</v>
      </c>
      <c r="E13" s="4" t="s">
        <v>15</v>
      </c>
      <c r="F13" s="5">
        <f>IFERROR(INDEX([1]raw_data!B:B,MATCH('SAIDI excl MEDs sort (5-yr avg)'!B128,[1]raw_data!A:A,0)),0)</f>
        <v>145.42857100000001</v>
      </c>
      <c r="G13" s="6">
        <f>SUMIFS([1]raw_data!C:C,[1]raw_data!$A:$A,$B13)</f>
        <v>4.9247180000000004</v>
      </c>
      <c r="H13" s="7">
        <f>SUMIFS([1]raw_data!D:D,[1]raw_data!$A:$A,$B13)</f>
        <v>4.3010752688171998E-2</v>
      </c>
      <c r="I13" s="6">
        <f>SUMIFS([1]raw_data!E:E,[1]raw_data!$A:$A,$B13)</f>
        <v>4.9247180000000004</v>
      </c>
      <c r="J13" s="7">
        <f>SUMIFS([1]raw_data!F:F,[1]raw_data!$A:$A,$B13)</f>
        <v>4.3010752688171998E-2</v>
      </c>
      <c r="K13" s="6">
        <f>SUMIFS([1]raw_data!G:G,[1]raw_data!$A:$A,$B13)</f>
        <v>804.01910899999996</v>
      </c>
      <c r="L13" s="7">
        <f>SUMIFS([1]raw_data!H:H,[1]raw_data!$A:$A,$B13)</f>
        <v>2.8947368421052602</v>
      </c>
      <c r="M13" s="6">
        <f>SUMIFS([1]raw_data!I:I,[1]raw_data!$A:$A,$B13)</f>
        <v>494.934912</v>
      </c>
      <c r="N13" s="7">
        <f>SUMIFS([1]raw_data!J:J,[1]raw_data!$A:$A,$B13)</f>
        <v>1.03157894736842</v>
      </c>
      <c r="O13" s="6">
        <f>SUMIFS([1]raw_data!K:K,[1]raw_data!$A:$A,$B13)</f>
        <v>3065.1187490000002</v>
      </c>
      <c r="P13" s="7">
        <f>SUMIFS([1]raw_data!L:L,[1]raw_data!$A:$A,$B13)</f>
        <v>2.078125</v>
      </c>
      <c r="Q13" s="6">
        <f>SUMIFS([1]raw_data!M:M,[1]raw_data!$A:$A,$B13)</f>
        <v>304.7921</v>
      </c>
      <c r="R13" s="7">
        <f>SUMIFS([1]raw_data!N:N,[1]raw_data!$A:$A,$B13)</f>
        <v>1.0625</v>
      </c>
      <c r="S13" s="6">
        <f>SUMIFS([1]raw_data!O:O,[1]raw_data!$A:$A,$B13)</f>
        <v>862.62482199999999</v>
      </c>
      <c r="T13" s="7">
        <f>SUMIFS([1]raw_data!P:P,[1]raw_data!$A:$A,$B13)</f>
        <v>2.6861702127659499</v>
      </c>
      <c r="U13" s="6">
        <f>SUMIFS([1]raw_data!Q:Q,[1]raw_data!$A:$A,$B13)</f>
        <v>814.02588600000001</v>
      </c>
      <c r="V13" s="7">
        <f>SUMIFS([1]raw_data!R:R,[1]raw_data!$A:$A,$B13)</f>
        <v>2.6702127659574399</v>
      </c>
      <c r="W13" s="6">
        <f>SUMIFS([1]raw_data!S:S,[1]raw_data!$A:$A,$B13)</f>
        <v>398.09609799999998</v>
      </c>
      <c r="X13" s="7">
        <f>SUMIFS([1]raw_data!T:T,[1]raw_data!$A:$A,$B13)</f>
        <v>1.2978723404255299</v>
      </c>
      <c r="Y13" s="6">
        <f>SUMIFS([1]raw_data!U:U,[1]raw_data!$A:$A,$B13)</f>
        <v>223.07056700000001</v>
      </c>
      <c r="Z13" s="7">
        <f>SUMIFS([1]raw_data!V:V,[1]raw_data!$A:$A,$B13)</f>
        <v>1.2553191489361699</v>
      </c>
      <c r="AA13" s="4">
        <f t="shared" si="0"/>
        <v>368.3496366</v>
      </c>
      <c r="AC13" s="9" t="s">
        <v>53</v>
      </c>
      <c r="AD13" s="10" t="s">
        <v>54</v>
      </c>
      <c r="AE13" s="11">
        <f>COUNT(AA76:AA113)</f>
        <v>38</v>
      </c>
      <c r="AF13" s="13">
        <f>SUM(F76:F113)</f>
        <v>41688.737693000003</v>
      </c>
      <c r="AH13" t="s">
        <v>55</v>
      </c>
    </row>
    <row r="14" spans="1:34" x14ac:dyDescent="0.25">
      <c r="A14" s="35"/>
      <c r="B14" s="4" t="s">
        <v>56</v>
      </c>
      <c r="C14" s="4" t="s">
        <v>57</v>
      </c>
      <c r="D14" s="4" t="s">
        <v>58</v>
      </c>
      <c r="E14" s="4" t="s">
        <v>19</v>
      </c>
      <c r="F14" s="5">
        <f>IFERROR(INDEX([1]raw_data!B:B,MATCH('SAIDI excl MEDs sort (5-yr avg)'!B113,[1]raw_data!A:A,0)),0)</f>
        <v>3001.7777769999998</v>
      </c>
      <c r="G14" s="6">
        <f>SUMIFS([1]raw_data!C:C,[1]raw_data!$A:$A,$B14)</f>
        <v>28.890062</v>
      </c>
      <c r="H14" s="7">
        <f>SUMIFS([1]raw_data!D:D,[1]raw_data!$A:$A,$B14)</f>
        <v>0.12903225806451599</v>
      </c>
      <c r="I14" s="6">
        <f>SUMIFS([1]raw_data!E:E,[1]raw_data!$A:$A,$B14)</f>
        <v>28.890062</v>
      </c>
      <c r="J14" s="7">
        <f>SUMIFS([1]raw_data!F:F,[1]raw_data!$A:$A,$B14)</f>
        <v>0.12903225806451599</v>
      </c>
      <c r="K14" s="6">
        <f>SUMIFS([1]raw_data!G:G,[1]raw_data!$A:$A,$B14)</f>
        <v>169.45605900000001</v>
      </c>
      <c r="L14" s="7">
        <f>SUMIFS([1]raw_data!H:H,[1]raw_data!$A:$A,$B14)</f>
        <v>1.0967741935483799</v>
      </c>
      <c r="M14" s="6">
        <f>SUMIFS([1]raw_data!I:I,[1]raw_data!$A:$A,$B14)</f>
        <v>169.45605900000001</v>
      </c>
      <c r="N14" s="7">
        <f>SUMIFS([1]raw_data!J:J,[1]raw_data!$A:$A,$B14)</f>
        <v>1.0967741935483799</v>
      </c>
      <c r="O14" s="6">
        <f>SUMIFS([1]raw_data!K:K,[1]raw_data!$A:$A,$B14)</f>
        <v>774.29623600000002</v>
      </c>
      <c r="P14" s="7">
        <f>SUMIFS([1]raw_data!L:L,[1]raw_data!$A:$A,$B14)</f>
        <v>0.38709677419354799</v>
      </c>
      <c r="Q14" s="6">
        <f>SUMIFS([1]raw_data!M:M,[1]raw_data!$A:$A,$B14)</f>
        <v>226.41881699999999</v>
      </c>
      <c r="R14" s="7">
        <f>SUMIFS([1]raw_data!N:N,[1]raw_data!$A:$A,$B14)</f>
        <v>0.25806451612903197</v>
      </c>
      <c r="S14" s="6">
        <f>SUMIFS([1]raw_data!O:O,[1]raw_data!$A:$A,$B14)</f>
        <v>95.686666000000002</v>
      </c>
      <c r="T14" s="7">
        <f>SUMIFS([1]raw_data!P:P,[1]raw_data!$A:$A,$B14)</f>
        <v>1.1000000000000001</v>
      </c>
      <c r="U14" s="6">
        <f>SUMIFS([1]raw_data!Q:Q,[1]raw_data!$A:$A,$B14)</f>
        <v>95.686666000000002</v>
      </c>
      <c r="V14" s="7">
        <f>SUMIFS([1]raw_data!R:R,[1]raw_data!$A:$A,$B14)</f>
        <v>1.1000000000000001</v>
      </c>
      <c r="W14" s="6">
        <f>SUMIFS([1]raw_data!S:S,[1]raw_data!$A:$A,$B14)</f>
        <v>3096.9843740000001</v>
      </c>
      <c r="X14" s="7">
        <f>SUMIFS([1]raw_data!T:T,[1]raw_data!$A:$A,$B14)</f>
        <v>4.625</v>
      </c>
      <c r="Y14" s="6">
        <f>SUMIFS([1]raw_data!U:U,[1]raw_data!$A:$A,$B14)</f>
        <v>1302.8072910000001</v>
      </c>
      <c r="Z14" s="7">
        <f>SUMIFS([1]raw_data!V:V,[1]raw_data!$A:$A,$B14)</f>
        <v>3.5625</v>
      </c>
      <c r="AA14" s="4">
        <f t="shared" si="0"/>
        <v>364.65177900000003</v>
      </c>
      <c r="AC14" s="9" t="s">
        <v>59</v>
      </c>
      <c r="AD14" s="10" t="s">
        <v>60</v>
      </c>
      <c r="AE14" s="11">
        <f>COUNT(AA41:AA75)</f>
        <v>35</v>
      </c>
      <c r="AF14" s="13">
        <f>SUM(F41:F75)</f>
        <v>32578.752775000004</v>
      </c>
      <c r="AH14" t="s">
        <v>61</v>
      </c>
    </row>
    <row r="15" spans="1:34" x14ac:dyDescent="0.25">
      <c r="A15" s="35"/>
      <c r="B15" s="4" t="s">
        <v>62</v>
      </c>
      <c r="C15" s="4" t="s">
        <v>63</v>
      </c>
      <c r="D15" s="4" t="s">
        <v>64</v>
      </c>
      <c r="E15" s="4" t="s">
        <v>65</v>
      </c>
      <c r="F15" s="5">
        <f>IFERROR(INDEX([1]raw_data!B:B,MATCH('SAIDI excl MEDs sort (5-yr avg)'!B52,[1]raw_data!A:A,0)),0)</f>
        <v>3867.4</v>
      </c>
      <c r="G15" s="6">
        <f>SUMIFS([1]raw_data!C:C,[1]raw_data!$A:$A,$B15)</f>
        <v>319.74330200000003</v>
      </c>
      <c r="H15" s="7">
        <f>SUMIFS([1]raw_data!D:D,[1]raw_data!$A:$A,$B15)</f>
        <v>1.4084302325581299</v>
      </c>
      <c r="I15" s="6">
        <f>SUMIFS([1]raw_data!E:E,[1]raw_data!$A:$A,$B15)</f>
        <v>137.58237800000001</v>
      </c>
      <c r="J15" s="7">
        <f>SUMIFS([1]raw_data!F:F,[1]raw_data!$A:$A,$B15)</f>
        <v>0.97529069767441801</v>
      </c>
      <c r="K15" s="6">
        <f>SUMIFS([1]raw_data!G:G,[1]raw_data!$A:$A,$B15)</f>
        <v>212.185518</v>
      </c>
      <c r="L15" s="7">
        <f>SUMIFS([1]raw_data!H:H,[1]raw_data!$A:$A,$B15)</f>
        <v>1.84791965566714</v>
      </c>
      <c r="M15" s="6">
        <f>SUMIFS([1]raw_data!I:I,[1]raw_data!$A:$A,$B15)</f>
        <v>160.96565899999999</v>
      </c>
      <c r="N15" s="7">
        <f>SUMIFS([1]raw_data!J:J,[1]raw_data!$A:$A,$B15)</f>
        <v>1.8278335724533701</v>
      </c>
      <c r="O15" s="6">
        <f>SUMIFS([1]raw_data!K:K,[1]raw_data!$A:$A,$B15)</f>
        <v>1162.814893</v>
      </c>
      <c r="P15" s="7">
        <f>SUMIFS([1]raw_data!L:L,[1]raw_data!$A:$A,$B15)</f>
        <v>1.9281609195402201</v>
      </c>
      <c r="Q15" s="6">
        <f>SUMIFS([1]raw_data!M:M,[1]raw_data!$A:$A,$B15)</f>
        <v>334.13675699999999</v>
      </c>
      <c r="R15" s="7">
        <f>SUMIFS([1]raw_data!N:N,[1]raw_data!$A:$A,$B15)</f>
        <v>0.97844827586206795</v>
      </c>
      <c r="S15" s="6">
        <f>SUMIFS([1]raw_data!O:O,[1]raw_data!$A:$A,$B15)</f>
        <v>2639.6718470000001</v>
      </c>
      <c r="T15" s="7">
        <f>SUMIFS([1]raw_data!P:P,[1]raw_data!$A:$A,$B15)</f>
        <v>5.5354058721934303</v>
      </c>
      <c r="U15" s="6">
        <f>SUMIFS([1]raw_data!Q:Q,[1]raw_data!$A:$A,$B15)</f>
        <v>457.83952199999999</v>
      </c>
      <c r="V15" s="7">
        <f>SUMIFS([1]raw_data!R:R,[1]raw_data!$A:$A,$B15)</f>
        <v>4.3402417962003401</v>
      </c>
      <c r="W15" s="6">
        <f>SUMIFS([1]raw_data!S:S,[1]raw_data!$A:$A,$B15)</f>
        <v>1204.6404669999999</v>
      </c>
      <c r="X15" s="7">
        <f>SUMIFS([1]raw_data!T:T,[1]raw_data!$A:$A,$B15)</f>
        <v>4.4731369150779798</v>
      </c>
      <c r="Y15" s="6">
        <f>SUMIFS([1]raw_data!U:U,[1]raw_data!$A:$A,$B15)</f>
        <v>624.11605999999995</v>
      </c>
      <c r="Z15" s="7">
        <f>SUMIFS([1]raw_data!V:V,[1]raw_data!$A:$A,$B15)</f>
        <v>2.9497400346620402</v>
      </c>
      <c r="AA15" s="4">
        <f t="shared" si="0"/>
        <v>342.92807519999997</v>
      </c>
      <c r="AC15" s="14" t="s">
        <v>66</v>
      </c>
      <c r="AD15" s="15" t="s">
        <v>67</v>
      </c>
      <c r="AE15" s="16">
        <f>COUNT(AA4:AA40)</f>
        <v>37</v>
      </c>
      <c r="AF15" s="13">
        <f>SUM(F4:F40)</f>
        <v>37432.256742999998</v>
      </c>
      <c r="AH15" t="s">
        <v>68</v>
      </c>
    </row>
    <row r="16" spans="1:34" x14ac:dyDescent="0.25">
      <c r="A16" s="35"/>
      <c r="B16" s="4" t="s">
        <v>69</v>
      </c>
      <c r="C16" s="4" t="s">
        <v>70</v>
      </c>
      <c r="D16" s="4" t="s">
        <v>71</v>
      </c>
      <c r="E16" s="4" t="s">
        <v>15</v>
      </c>
      <c r="F16" s="5">
        <f>IFERROR(INDEX([1]raw_data!B:B,MATCH('SAIDI excl MEDs sort (5-yr avg)'!B51,[1]raw_data!A:A,0)),0)</f>
        <v>490.6</v>
      </c>
      <c r="G16" s="6">
        <f>SUMIFS([1]raw_data!C:C,[1]raw_data!$A:$A,$B16)</f>
        <v>96.340509999999995</v>
      </c>
      <c r="H16" s="7">
        <f>SUMIFS([1]raw_data!D:D,[1]raw_data!$A:$A,$B16)</f>
        <v>0.54225352112675995</v>
      </c>
      <c r="I16" s="6">
        <f>SUMIFS([1]raw_data!E:E,[1]raw_data!$A:$A,$B16)</f>
        <v>64.690905000000001</v>
      </c>
      <c r="J16" s="7">
        <f>SUMIFS([1]raw_data!F:F,[1]raw_data!$A:$A,$B16)</f>
        <v>0.45070422535211202</v>
      </c>
      <c r="K16" s="6">
        <f>SUMIFS([1]raw_data!G:G,[1]raw_data!$A:$A,$B16)</f>
        <v>115.37965699999999</v>
      </c>
      <c r="L16" s="7">
        <f>SUMIFS([1]raw_data!H:H,[1]raw_data!$A:$A,$B16)</f>
        <v>0.77277277277277201</v>
      </c>
      <c r="M16" s="6">
        <f>SUMIFS([1]raw_data!I:I,[1]raw_data!$A:$A,$B16)</f>
        <v>86.368157999999994</v>
      </c>
      <c r="N16" s="7">
        <f>SUMIFS([1]raw_data!J:J,[1]raw_data!$A:$A,$B16)</f>
        <v>0.75175175175175102</v>
      </c>
      <c r="O16" s="6">
        <f>SUMIFS([1]raw_data!K:K,[1]raw_data!$A:$A,$B16)</f>
        <v>510.86051300000003</v>
      </c>
      <c r="P16" s="7">
        <f>SUMIFS([1]raw_data!L:L,[1]raw_data!$A:$A,$B16)</f>
        <v>3.0797546012269899</v>
      </c>
      <c r="Q16" s="6">
        <f>SUMIFS([1]raw_data!M:M,[1]raw_data!$A:$A,$B16)</f>
        <v>476.02249399999999</v>
      </c>
      <c r="R16" s="7">
        <f>SUMIFS([1]raw_data!N:N,[1]raw_data!$A:$A,$B16)</f>
        <v>3.05010224948875</v>
      </c>
      <c r="S16" s="6">
        <f>SUMIFS([1]raw_data!O:O,[1]raw_data!$A:$A,$B16)</f>
        <v>347.23569300000003</v>
      </c>
      <c r="T16" s="7">
        <f>SUMIFS([1]raw_data!P:P,[1]raw_data!$A:$A,$B16)</f>
        <v>1.7559462254395</v>
      </c>
      <c r="U16" s="6">
        <f>SUMIFS([1]raw_data!Q:Q,[1]raw_data!$A:$A,$B16)</f>
        <v>343.02576599999998</v>
      </c>
      <c r="V16" s="7">
        <f>SUMIFS([1]raw_data!R:R,[1]raw_data!$A:$A,$B16)</f>
        <v>1.7352637021716599</v>
      </c>
      <c r="W16" s="6">
        <f>SUMIFS([1]raw_data!S:S,[1]raw_data!$A:$A,$B16)</f>
        <v>753.34017300000005</v>
      </c>
      <c r="X16" s="7">
        <f>SUMIFS([1]raw_data!T:T,[1]raw_data!$A:$A,$B16)</f>
        <v>1.8020022246941001</v>
      </c>
      <c r="Y16" s="6">
        <f>SUMIFS([1]raw_data!U:U,[1]raw_data!$A:$A,$B16)</f>
        <v>700.52639899999997</v>
      </c>
      <c r="Z16" s="7">
        <f>SUMIFS([1]raw_data!V:V,[1]raw_data!$A:$A,$B16)</f>
        <v>1.7842046718576099</v>
      </c>
      <c r="AA16" s="4">
        <f t="shared" si="0"/>
        <v>334.12674440000001</v>
      </c>
    </row>
    <row r="17" spans="1:32" x14ac:dyDescent="0.25">
      <c r="A17" s="35"/>
      <c r="B17" s="4" t="s">
        <v>72</v>
      </c>
      <c r="C17" s="4" t="s">
        <v>29</v>
      </c>
      <c r="D17" s="4" t="s">
        <v>73</v>
      </c>
      <c r="E17" s="4" t="s">
        <v>31</v>
      </c>
      <c r="F17" s="5">
        <f>IFERROR(INDEX([1]raw_data!B:B,MATCH('SAIDI excl MEDs sort (5-yr avg)'!B33,[1]raw_data!A:A,0)),0)</f>
        <v>1418.4</v>
      </c>
      <c r="G17" s="6">
        <f>SUMIFS([1]raw_data!C:C,[1]raw_data!$A:$A,$B17)</f>
        <v>3211.011246</v>
      </c>
      <c r="H17" s="7">
        <f>SUMIFS([1]raw_data!D:D,[1]raw_data!$A:$A,$B17)</f>
        <v>1.53169014084507</v>
      </c>
      <c r="I17" s="6">
        <f>SUMIFS([1]raw_data!E:E,[1]raw_data!$A:$A,$B17)</f>
        <v>197.276186</v>
      </c>
      <c r="J17" s="7">
        <f>SUMIFS([1]raw_data!F:F,[1]raw_data!$A:$A,$B17)</f>
        <v>0.71126760563380198</v>
      </c>
      <c r="K17" s="6">
        <f>SUMIFS([1]raw_data!G:G,[1]raw_data!$A:$A,$B17)</f>
        <v>81.064815999999993</v>
      </c>
      <c r="L17" s="7">
        <f>SUMIFS([1]raw_data!H:H,[1]raw_data!$A:$A,$B17)</f>
        <v>0.43416370106761498</v>
      </c>
      <c r="M17" s="6">
        <f>SUMIFS([1]raw_data!I:I,[1]raw_data!$A:$A,$B17)</f>
        <v>81.064815999999993</v>
      </c>
      <c r="N17" s="7">
        <f>SUMIFS([1]raw_data!J:J,[1]raw_data!$A:$A,$B17)</f>
        <v>0.43416370106761498</v>
      </c>
      <c r="O17" s="6">
        <f>SUMIFS([1]raw_data!K:K,[1]raw_data!$A:$A,$B17)</f>
        <v>20.287009999999999</v>
      </c>
      <c r="P17" s="7">
        <f>SUMIFS([1]raw_data!L:L,[1]raw_data!$A:$A,$B17)</f>
        <v>8.5409252669039107E-2</v>
      </c>
      <c r="Q17" s="6">
        <f>SUMIFS([1]raw_data!M:M,[1]raw_data!$A:$A,$B17)</f>
        <v>9.3793589999999991</v>
      </c>
      <c r="R17" s="7">
        <f>SUMIFS([1]raw_data!N:N,[1]raw_data!$A:$A,$B17)</f>
        <v>8.1850533807829098E-2</v>
      </c>
      <c r="S17" s="6">
        <f>SUMIFS([1]raw_data!O:O,[1]raw_data!$A:$A,$B17)</f>
        <v>156.79398699999999</v>
      </c>
      <c r="T17" s="7">
        <f>SUMIFS([1]raw_data!P:P,[1]raw_data!$A:$A,$B17)</f>
        <v>1.1214285714285701</v>
      </c>
      <c r="U17" s="6">
        <f>SUMIFS([1]raw_data!Q:Q,[1]raw_data!$A:$A,$B17)</f>
        <v>156.51535699999999</v>
      </c>
      <c r="V17" s="7">
        <f>SUMIFS([1]raw_data!R:R,[1]raw_data!$A:$A,$B17)</f>
        <v>1.11785714285714</v>
      </c>
      <c r="W17" s="6">
        <f>SUMIFS([1]raw_data!S:S,[1]raw_data!$A:$A,$B17)</f>
        <v>1158.511964</v>
      </c>
      <c r="X17" s="7">
        <f>SUMIFS([1]raw_data!T:T,[1]raw_data!$A:$A,$B17)</f>
        <v>3.3107142857142802</v>
      </c>
      <c r="Y17" s="6">
        <f>SUMIFS([1]raw_data!U:U,[1]raw_data!$A:$A,$B17)</f>
        <v>1158.511964</v>
      </c>
      <c r="Z17" s="7">
        <f>SUMIFS([1]raw_data!V:V,[1]raw_data!$A:$A,$B17)</f>
        <v>3.3107142857142802</v>
      </c>
      <c r="AA17" s="4">
        <f t="shared" si="0"/>
        <v>320.54953640000002</v>
      </c>
      <c r="AC17" t="s">
        <v>27</v>
      </c>
      <c r="AD17">
        <f>COUNTIF(E4:E40,"Muskegon")</f>
        <v>4</v>
      </c>
      <c r="AF17">
        <f>COUNTIF(E4:E193,"Muskegon")</f>
        <v>21</v>
      </c>
    </row>
    <row r="18" spans="1:32" x14ac:dyDescent="0.25">
      <c r="A18" s="35"/>
      <c r="B18" s="4" t="s">
        <v>74</v>
      </c>
      <c r="C18" s="4" t="s">
        <v>17</v>
      </c>
      <c r="D18" s="4" t="s">
        <v>75</v>
      </c>
      <c r="E18" s="4" t="s">
        <v>19</v>
      </c>
      <c r="F18" s="5">
        <f>IFERROR(INDEX([1]raw_data!B:B,MATCH('SAIDI excl MEDs sort (5-yr avg)'!B12,[1]raw_data!A:A,0)),0)</f>
        <v>115.2</v>
      </c>
      <c r="G18" s="6">
        <f>SUMIFS([1]raw_data!C:C,[1]raw_data!$A:$A,$B18)</f>
        <v>372.971092</v>
      </c>
      <c r="H18" s="7">
        <f>SUMIFS([1]raw_data!D:D,[1]raw_data!$A:$A,$B18)</f>
        <v>2.8692307692307599</v>
      </c>
      <c r="I18" s="6">
        <f>SUMIFS([1]raw_data!E:E,[1]raw_data!$A:$A,$B18)</f>
        <v>372.971092</v>
      </c>
      <c r="J18" s="7">
        <f>SUMIFS([1]raw_data!F:F,[1]raw_data!$A:$A,$B18)</f>
        <v>2.8692307692307599</v>
      </c>
      <c r="K18" s="6">
        <f>SUMIFS([1]raw_data!G:G,[1]raw_data!$A:$A,$B18)</f>
        <v>642.08119799999997</v>
      </c>
      <c r="L18" s="7">
        <f>SUMIFS([1]raw_data!H:H,[1]raw_data!$A:$A,$B18)</f>
        <v>2.8571428571428501</v>
      </c>
      <c r="M18" s="6">
        <f>SUMIFS([1]raw_data!I:I,[1]raw_data!$A:$A,$B18)</f>
        <v>642.08119799999997</v>
      </c>
      <c r="N18" s="7">
        <f>SUMIFS([1]raw_data!J:J,[1]raw_data!$A:$A,$B18)</f>
        <v>2.8571428571428501</v>
      </c>
      <c r="O18" s="6">
        <f>SUMIFS([1]raw_data!K:K,[1]raw_data!$A:$A,$B18)</f>
        <v>242.96370899999999</v>
      </c>
      <c r="P18" s="7">
        <f>SUMIFS([1]raw_data!L:L,[1]raw_data!$A:$A,$B18)</f>
        <v>1.0322580645161199</v>
      </c>
      <c r="Q18" s="6">
        <f>SUMIFS([1]raw_data!M:M,[1]raw_data!$A:$A,$B18)</f>
        <v>242.96370899999999</v>
      </c>
      <c r="R18" s="7">
        <f>SUMIFS([1]raw_data!N:N,[1]raw_data!$A:$A,$B18)</f>
        <v>1.0322580645161199</v>
      </c>
      <c r="S18" s="6">
        <f>SUMIFS([1]raw_data!O:O,[1]raw_data!$A:$A,$B18)</f>
        <v>265.76652799999999</v>
      </c>
      <c r="T18" s="7">
        <f>SUMIFS([1]raw_data!P:P,[1]raw_data!$A:$A,$B18)</f>
        <v>2.1735537190082601</v>
      </c>
      <c r="U18" s="6">
        <f>SUMIFS([1]raw_data!Q:Q,[1]raw_data!$A:$A,$B18)</f>
        <v>265.76652799999999</v>
      </c>
      <c r="V18" s="7">
        <f>SUMIFS([1]raw_data!R:R,[1]raw_data!$A:$A,$B18)</f>
        <v>2.1735537190082601</v>
      </c>
      <c r="W18" s="6">
        <f>SUMIFS([1]raw_data!S:S,[1]raw_data!$A:$A,$B18)</f>
        <v>30.495370000000001</v>
      </c>
      <c r="X18" s="7">
        <f>SUMIFS([1]raw_data!T:T,[1]raw_data!$A:$A,$B18)</f>
        <v>0.12962962962962901</v>
      </c>
      <c r="Y18" s="6">
        <f>SUMIFS([1]raw_data!U:U,[1]raw_data!$A:$A,$B18)</f>
        <v>30.495370000000001</v>
      </c>
      <c r="Z18" s="7">
        <f>SUMIFS([1]raw_data!V:V,[1]raw_data!$A:$A,$B18)</f>
        <v>0.12962962962962901</v>
      </c>
      <c r="AA18" s="4">
        <f t="shared" si="0"/>
        <v>310.85557940000001</v>
      </c>
      <c r="AC18" t="s">
        <v>76</v>
      </c>
      <c r="AD18">
        <f>COUNTIF(E4:E40,"Jackson")</f>
        <v>0</v>
      </c>
      <c r="AF18">
        <f>COUNTIF(E4:E193,"Jackson")</f>
        <v>13</v>
      </c>
    </row>
    <row r="19" spans="1:32" x14ac:dyDescent="0.25">
      <c r="A19" s="35"/>
      <c r="B19" s="4" t="s">
        <v>77</v>
      </c>
      <c r="C19" s="4" t="s">
        <v>78</v>
      </c>
      <c r="D19" s="4" t="s">
        <v>79</v>
      </c>
      <c r="E19" s="4" t="s">
        <v>15</v>
      </c>
      <c r="F19" s="5">
        <f>IFERROR(INDEX([1]raw_data!B:B,MATCH('SAIDI excl MEDs sort (5-yr avg)'!B112,[1]raw_data!A:A,0)),0)</f>
        <v>1801.2222220000001</v>
      </c>
      <c r="G19" s="6">
        <f>SUMIFS([1]raw_data!C:C,[1]raw_data!$A:$A,$B19)</f>
        <v>754.12926500000003</v>
      </c>
      <c r="H19" s="7">
        <f>SUMIFS([1]raw_data!D:D,[1]raw_data!$A:$A,$B19)</f>
        <v>2.3661504424778701</v>
      </c>
      <c r="I19" s="6">
        <f>SUMIFS([1]raw_data!E:E,[1]raw_data!$A:$A,$B19)</f>
        <v>29.527079000000001</v>
      </c>
      <c r="J19" s="7">
        <f>SUMIFS([1]raw_data!F:F,[1]raw_data!$A:$A,$B19)</f>
        <v>0.11504424778760999</v>
      </c>
      <c r="K19" s="6">
        <f>SUMIFS([1]raw_data!G:G,[1]raw_data!$A:$A,$B19)</f>
        <v>1408.641292</v>
      </c>
      <c r="L19" s="7">
        <f>SUMIFS([1]raw_data!H:H,[1]raw_data!$A:$A,$B19)</f>
        <v>3.57821229050279</v>
      </c>
      <c r="M19" s="6">
        <f>SUMIFS([1]raw_data!I:I,[1]raw_data!$A:$A,$B19)</f>
        <v>645.20146799999998</v>
      </c>
      <c r="N19" s="7">
        <f>SUMIFS([1]raw_data!J:J,[1]raw_data!$A:$A,$B19)</f>
        <v>3.1011173184357501</v>
      </c>
      <c r="O19" s="6">
        <f>SUMIFS([1]raw_data!K:K,[1]raw_data!$A:$A,$B19)</f>
        <v>1151.5359699999999</v>
      </c>
      <c r="P19" s="7">
        <f>SUMIFS([1]raw_data!L:L,[1]raw_data!$A:$A,$B19)</f>
        <v>3.1907158836688998</v>
      </c>
      <c r="Q19" s="6">
        <f>SUMIFS([1]raw_data!M:M,[1]raw_data!$A:$A,$B19)</f>
        <v>574.44378200000006</v>
      </c>
      <c r="R19" s="7">
        <f>SUMIFS([1]raw_data!N:N,[1]raw_data!$A:$A,$B19)</f>
        <v>2.3836689038031298</v>
      </c>
      <c r="S19" s="6">
        <f>SUMIFS([1]raw_data!O:O,[1]raw_data!$A:$A,$B19)</f>
        <v>225.948577</v>
      </c>
      <c r="T19" s="7">
        <f>SUMIFS([1]raw_data!P:P,[1]raw_data!$A:$A,$B19)</f>
        <v>0.81412429378531004</v>
      </c>
      <c r="U19" s="6">
        <f>SUMIFS([1]raw_data!Q:Q,[1]raw_data!$A:$A,$B19)</f>
        <v>176.40363400000001</v>
      </c>
      <c r="V19" s="7">
        <f>SUMIFS([1]raw_data!R:R,[1]raw_data!$A:$A,$B19)</f>
        <v>0.78248587570621397</v>
      </c>
      <c r="W19" s="6">
        <f>SUMIFS([1]raw_data!S:S,[1]raw_data!$A:$A,$B19)</f>
        <v>121.857586</v>
      </c>
      <c r="X19" s="7">
        <f>SUMIFS([1]raw_data!T:T,[1]raw_data!$A:$A,$B19)</f>
        <v>0.76636050516647503</v>
      </c>
      <c r="Y19" s="6">
        <f>SUMIFS([1]raw_data!U:U,[1]raw_data!$A:$A,$B19)</f>
        <v>75.233408999999995</v>
      </c>
      <c r="Z19" s="7">
        <f>SUMIFS([1]raw_data!V:V,[1]raw_data!$A:$A,$B19)</f>
        <v>0.70264064293914996</v>
      </c>
      <c r="AA19" s="4">
        <f t="shared" si="0"/>
        <v>300.16187439999999</v>
      </c>
      <c r="AC19" t="s">
        <v>31</v>
      </c>
      <c r="AD19">
        <f>COUNTIF(E4:E40,"Adrian")</f>
        <v>4</v>
      </c>
      <c r="AF19">
        <f>COUNTIF(E4:E193,"Adrian")</f>
        <v>6</v>
      </c>
    </row>
    <row r="20" spans="1:32" x14ac:dyDescent="0.25">
      <c r="A20" s="35"/>
      <c r="B20" s="4" t="s">
        <v>80</v>
      </c>
      <c r="C20" s="4" t="s">
        <v>25</v>
      </c>
      <c r="D20" s="4" t="s">
        <v>81</v>
      </c>
      <c r="E20" s="4" t="s">
        <v>27</v>
      </c>
      <c r="F20" s="5">
        <f>IFERROR(INDEX([1]raw_data!B:B,MATCH('SAIDI excl MEDs sort (5-yr avg)'!B95,[1]raw_data!A:A,0)),0)</f>
        <v>1140.2</v>
      </c>
      <c r="G20" s="6">
        <f>SUMIFS([1]raw_data!C:C,[1]raw_data!$A:$A,$B20)</f>
        <v>307.82750700000003</v>
      </c>
      <c r="H20" s="7">
        <f>SUMIFS([1]raw_data!D:D,[1]raw_data!$A:$A,$B20)</f>
        <v>1.3902439024390201</v>
      </c>
      <c r="I20" s="6">
        <f>SUMIFS([1]raw_data!E:E,[1]raw_data!$A:$A,$B20)</f>
        <v>47.865195</v>
      </c>
      <c r="J20" s="7">
        <f>SUMIFS([1]raw_data!F:F,[1]raw_data!$A:$A,$B20)</f>
        <v>0.55222013758599098</v>
      </c>
      <c r="K20" s="6">
        <f>SUMIFS([1]raw_data!G:G,[1]raw_data!$A:$A,$B20)</f>
        <v>54.390946999999997</v>
      </c>
      <c r="L20" s="7">
        <f>SUMIFS([1]raw_data!H:H,[1]raw_data!$A:$A,$B20)</f>
        <v>0.43670076726342699</v>
      </c>
      <c r="M20" s="6">
        <f>SUMIFS([1]raw_data!I:I,[1]raw_data!$A:$A,$B20)</f>
        <v>51.134146999999999</v>
      </c>
      <c r="N20" s="7">
        <f>SUMIFS([1]raw_data!J:J,[1]raw_data!$A:$A,$B20)</f>
        <v>0.43158567774936002</v>
      </c>
      <c r="O20" s="6">
        <f>SUMIFS([1]raw_data!K:K,[1]raw_data!$A:$A,$B20)</f>
        <v>329.80128300000001</v>
      </c>
      <c r="P20" s="7">
        <f>SUMIFS([1]raw_data!L:L,[1]raw_data!$A:$A,$B20)</f>
        <v>1.36136071887034</v>
      </c>
      <c r="Q20" s="6">
        <f>SUMIFS([1]raw_data!M:M,[1]raw_data!$A:$A,$B20)</f>
        <v>326.219041</v>
      </c>
      <c r="R20" s="7">
        <f>SUMIFS([1]raw_data!N:N,[1]raw_data!$A:$A,$B20)</f>
        <v>1.34467265725288</v>
      </c>
      <c r="S20" s="6">
        <f>SUMIFS([1]raw_data!O:O,[1]raw_data!$A:$A,$B20)</f>
        <v>636.05321900000001</v>
      </c>
      <c r="T20" s="7">
        <f>SUMIFS([1]raw_data!P:P,[1]raw_data!$A:$A,$B20)</f>
        <v>5.36896329684481</v>
      </c>
      <c r="U20" s="6">
        <f>SUMIFS([1]raw_data!Q:Q,[1]raw_data!$A:$A,$B20)</f>
        <v>633.26832999999999</v>
      </c>
      <c r="V20" s="7">
        <f>SUMIFS([1]raw_data!R:R,[1]raw_data!$A:$A,$B20)</f>
        <v>5.3535093367675399</v>
      </c>
      <c r="W20" s="6">
        <f>SUMIFS([1]raw_data!S:S,[1]raw_data!$A:$A,$B20)</f>
        <v>748.17708900000002</v>
      </c>
      <c r="X20" s="7">
        <f>SUMIFS([1]raw_data!T:T,[1]raw_data!$A:$A,$B20)</f>
        <v>3.4767518009168299</v>
      </c>
      <c r="Y20" s="6">
        <f>SUMIFS([1]raw_data!U:U,[1]raw_data!$A:$A,$B20)</f>
        <v>358.96884899999998</v>
      </c>
      <c r="Z20" s="7">
        <f>SUMIFS([1]raw_data!V:V,[1]raw_data!$A:$A,$B20)</f>
        <v>2.1604453176162401</v>
      </c>
      <c r="AA20" s="4">
        <f t="shared" si="0"/>
        <v>283.49111240000002</v>
      </c>
      <c r="AC20" t="s">
        <v>65</v>
      </c>
      <c r="AD20">
        <f>COUNTIF(E4:E40,"Battle Creek")</f>
        <v>3</v>
      </c>
      <c r="AF20">
        <f>COUNTIF(E4:E193,"Battle Creek")</f>
        <v>11</v>
      </c>
    </row>
    <row r="21" spans="1:32" x14ac:dyDescent="0.25">
      <c r="A21" s="35"/>
      <c r="B21" s="4" t="s">
        <v>82</v>
      </c>
      <c r="C21" s="4" t="s">
        <v>83</v>
      </c>
      <c r="D21" s="4" t="s">
        <v>84</v>
      </c>
      <c r="E21" s="4" t="s">
        <v>19</v>
      </c>
      <c r="F21" s="5">
        <f>IFERROR(INDEX([1]raw_data!B:B,MATCH('SAIDI excl MEDs sort (5-yr avg)'!B78,[1]raw_data!A:A,0)),0)</f>
        <v>810.11111100000005</v>
      </c>
      <c r="G21" s="6">
        <f>SUMIFS([1]raw_data!C:C,[1]raw_data!$A:$A,$B21)</f>
        <v>75.388831999999994</v>
      </c>
      <c r="H21" s="7">
        <f>SUMIFS([1]raw_data!D:D,[1]raw_data!$A:$A,$B21)</f>
        <v>0.98727272727272697</v>
      </c>
      <c r="I21" s="6">
        <f>SUMIFS([1]raw_data!E:E,[1]raw_data!$A:$A,$B21)</f>
        <v>75.317212999999995</v>
      </c>
      <c r="J21" s="7">
        <f>SUMIFS([1]raw_data!F:F,[1]raw_data!$A:$A,$B21)</f>
        <v>0.98545454545454503</v>
      </c>
      <c r="K21" s="6">
        <f>SUMIFS([1]raw_data!G:G,[1]raw_data!$A:$A,$B21)</f>
        <v>1964.8346469999999</v>
      </c>
      <c r="L21" s="7">
        <f>SUMIFS([1]raw_data!H:H,[1]raw_data!$A:$A,$B21)</f>
        <v>2.8378378378378302</v>
      </c>
      <c r="M21" s="6">
        <f>SUMIFS([1]raw_data!I:I,[1]raw_data!$A:$A,$B21)</f>
        <v>774.96845399999995</v>
      </c>
      <c r="N21" s="7">
        <f>SUMIFS([1]raw_data!J:J,[1]raw_data!$A:$A,$B21)</f>
        <v>1.92252252252252</v>
      </c>
      <c r="O21" s="6">
        <f>SUMIFS([1]raw_data!K:K,[1]raw_data!$A:$A,$B21)</f>
        <v>236.29394400000001</v>
      </c>
      <c r="P21" s="7">
        <f>SUMIFS([1]raw_data!L:L,[1]raw_data!$A:$A,$B21)</f>
        <v>2.91187050359712</v>
      </c>
      <c r="Q21" s="6">
        <f>SUMIFS([1]raw_data!M:M,[1]raw_data!$A:$A,$B21)</f>
        <v>231.529256</v>
      </c>
      <c r="R21" s="7">
        <f>SUMIFS([1]raw_data!N:N,[1]raw_data!$A:$A,$B21)</f>
        <v>2.9082733812949599</v>
      </c>
      <c r="S21" s="6">
        <f>SUMIFS([1]raw_data!O:O,[1]raw_data!$A:$A,$B21)</f>
        <v>269.82518099999999</v>
      </c>
      <c r="T21" s="7">
        <f>SUMIFS([1]raw_data!P:P,[1]raw_data!$A:$A,$B21)</f>
        <v>3.1159420289855002</v>
      </c>
      <c r="U21" s="6">
        <f>SUMIFS([1]raw_data!Q:Q,[1]raw_data!$A:$A,$B21)</f>
        <v>269.82518099999999</v>
      </c>
      <c r="V21" s="7">
        <f>SUMIFS([1]raw_data!R:R,[1]raw_data!$A:$A,$B21)</f>
        <v>3.1159420289855002</v>
      </c>
      <c r="W21" s="6">
        <f>SUMIFS([1]raw_data!S:S,[1]raw_data!$A:$A,$B21)</f>
        <v>19.616042</v>
      </c>
      <c r="X21" s="7">
        <f>SUMIFS([1]raw_data!T:T,[1]raw_data!$A:$A,$B21)</f>
        <v>4.8689138576778999E-2</v>
      </c>
      <c r="Y21" s="6">
        <f>SUMIFS([1]raw_data!U:U,[1]raw_data!$A:$A,$B21)</f>
        <v>19.616042</v>
      </c>
      <c r="Z21" s="7">
        <f>SUMIFS([1]raw_data!V:V,[1]raw_data!$A:$A,$B21)</f>
        <v>4.8689138576778999E-2</v>
      </c>
      <c r="AA21" s="4">
        <f t="shared" si="0"/>
        <v>274.25122920000001</v>
      </c>
      <c r="AC21" t="s">
        <v>23</v>
      </c>
      <c r="AD21">
        <f>COUNTIF(E4:E40,"Kalamazoo")</f>
        <v>5</v>
      </c>
      <c r="AF21">
        <f>COUNTIF(E4:E193,"Kalamazoo")</f>
        <v>31</v>
      </c>
    </row>
    <row r="22" spans="1:32" x14ac:dyDescent="0.25">
      <c r="A22" s="35"/>
      <c r="B22" s="4" t="s">
        <v>85</v>
      </c>
      <c r="C22" s="4" t="s">
        <v>86</v>
      </c>
      <c r="D22" s="4" t="s">
        <v>87</v>
      </c>
      <c r="E22" s="4" t="s">
        <v>31</v>
      </c>
      <c r="F22" s="5">
        <f>IFERROR(INDEX([1]raw_data!B:B,MATCH('SAIDI excl MEDs sort (5-yr avg)'!B99,[1]raw_data!A:A,0)),0)</f>
        <v>1514.8</v>
      </c>
      <c r="G22" s="6">
        <f>SUMIFS([1]raw_data!C:C,[1]raw_data!$A:$A,$B22)</f>
        <v>5540.9072210000004</v>
      </c>
      <c r="H22" s="7">
        <f>SUMIFS([1]raw_data!D:D,[1]raw_data!$A:$A,$B22)</f>
        <v>1.68450704225352</v>
      </c>
      <c r="I22" s="6">
        <f>SUMIFS([1]raw_data!E:E,[1]raw_data!$A:$A,$B22)</f>
        <v>45.11083</v>
      </c>
      <c r="J22" s="7">
        <f>SUMIFS([1]raw_data!F:F,[1]raw_data!$A:$A,$B22)</f>
        <v>0.66830985915492902</v>
      </c>
      <c r="K22" s="6">
        <f>SUMIFS([1]raw_data!G:G,[1]raw_data!$A:$A,$B22)</f>
        <v>869.58842000000004</v>
      </c>
      <c r="L22" s="7">
        <f>SUMIFS([1]raw_data!H:H,[1]raw_data!$A:$A,$B22)</f>
        <v>3.0140056022408901</v>
      </c>
      <c r="M22" s="6">
        <f>SUMIFS([1]raw_data!I:I,[1]raw_data!$A:$A,$B22)</f>
        <v>120.40631</v>
      </c>
      <c r="N22" s="7">
        <f>SUMIFS([1]raw_data!J:J,[1]raw_data!$A:$A,$B22)</f>
        <v>1.3970588235294099</v>
      </c>
      <c r="O22" s="6">
        <f>SUMIFS([1]raw_data!K:K,[1]raw_data!$A:$A,$B22)</f>
        <v>551.84508800000003</v>
      </c>
      <c r="P22" s="7">
        <f>SUMIFS([1]raw_data!L:L,[1]raw_data!$A:$A,$B22)</f>
        <v>3.1547116736990102</v>
      </c>
      <c r="Q22" s="6">
        <f>SUMIFS([1]raw_data!M:M,[1]raw_data!$A:$A,$B22)</f>
        <v>183.48197300000001</v>
      </c>
      <c r="R22" s="7">
        <f>SUMIFS([1]raw_data!N:N,[1]raw_data!$A:$A,$B22)</f>
        <v>2.1540084388185599</v>
      </c>
      <c r="S22" s="6">
        <f>SUMIFS([1]raw_data!O:O,[1]raw_data!$A:$A,$B22)</f>
        <v>121.565547</v>
      </c>
      <c r="T22" s="7">
        <f>SUMIFS([1]raw_data!P:P,[1]raw_data!$A:$A,$B22)</f>
        <v>1.79860139860139</v>
      </c>
      <c r="U22" s="6">
        <f>SUMIFS([1]raw_data!Q:Q,[1]raw_data!$A:$A,$B22)</f>
        <v>120.984953</v>
      </c>
      <c r="V22" s="7">
        <f>SUMIFS([1]raw_data!R:R,[1]raw_data!$A:$A,$B22)</f>
        <v>1.76993006993006</v>
      </c>
      <c r="W22" s="6">
        <f>SUMIFS([1]raw_data!S:S,[1]raw_data!$A:$A,$B22)</f>
        <v>892.23187399999995</v>
      </c>
      <c r="X22" s="7">
        <f>SUMIFS([1]raw_data!T:T,[1]raw_data!$A:$A,$B22)</f>
        <v>2.2251235003528498</v>
      </c>
      <c r="Y22" s="6">
        <f>SUMIFS([1]raw_data!U:U,[1]raw_data!$A:$A,$B22)</f>
        <v>891.73432100000002</v>
      </c>
      <c r="Z22" s="7">
        <f>SUMIFS([1]raw_data!V:V,[1]raw_data!$A:$A,$B22)</f>
        <v>2.2244177840508099</v>
      </c>
      <c r="AA22" s="4">
        <f t="shared" si="0"/>
        <v>272.34367740000005</v>
      </c>
      <c r="AC22" t="s">
        <v>15</v>
      </c>
      <c r="AD22">
        <f>COUNTIF(E4:E40,"Flint")</f>
        <v>10</v>
      </c>
      <c r="AF22">
        <f>COUNTIF(E4:E193,"Flint")</f>
        <v>42</v>
      </c>
    </row>
    <row r="23" spans="1:32" x14ac:dyDescent="0.25">
      <c r="A23" s="35"/>
      <c r="B23" s="4" t="s">
        <v>88</v>
      </c>
      <c r="C23" s="4" t="s">
        <v>89</v>
      </c>
      <c r="D23" s="4" t="s">
        <v>90</v>
      </c>
      <c r="E23" s="4" t="s">
        <v>15</v>
      </c>
      <c r="F23" s="5">
        <f>IFERROR(INDEX([1]raw_data!B:B,MATCH('SAIDI excl MEDs sort (5-yr avg)'!B151,[1]raw_data!A:A,0)),0)</f>
        <v>48.25</v>
      </c>
      <c r="G23" s="6">
        <f>SUMIFS([1]raw_data!C:C,[1]raw_data!$A:$A,$B23)</f>
        <v>4.6434639999999998</v>
      </c>
      <c r="H23" s="7">
        <f>SUMIFS([1]raw_data!D:D,[1]raw_data!$A:$A,$B23)</f>
        <v>9.5693779904306199E-3</v>
      </c>
      <c r="I23" s="6">
        <f>SUMIFS([1]raw_data!E:E,[1]raw_data!$A:$A,$B23)</f>
        <v>4.6434639999999998</v>
      </c>
      <c r="J23" s="7">
        <f>SUMIFS([1]raw_data!F:F,[1]raw_data!$A:$A,$B23)</f>
        <v>9.5693779904306199E-3</v>
      </c>
      <c r="K23" s="6">
        <f>SUMIFS([1]raw_data!G:G,[1]raw_data!$A:$A,$B23)</f>
        <v>372.71669200000002</v>
      </c>
      <c r="L23" s="7">
        <f>SUMIFS([1]raw_data!H:H,[1]raw_data!$A:$A,$B23)</f>
        <v>1.0240096038415301</v>
      </c>
      <c r="M23" s="6">
        <f>SUMIFS([1]raw_data!I:I,[1]raw_data!$A:$A,$B23)</f>
        <v>372.71669200000002</v>
      </c>
      <c r="N23" s="7">
        <f>SUMIFS([1]raw_data!J:J,[1]raw_data!$A:$A,$B23)</f>
        <v>1.0240096038415301</v>
      </c>
      <c r="O23" s="6">
        <f>SUMIFS([1]raw_data!K:K,[1]raw_data!$A:$A,$B23)</f>
        <v>467.58827600000001</v>
      </c>
      <c r="P23" s="7">
        <f>SUMIFS([1]raw_data!L:L,[1]raw_data!$A:$A,$B23)</f>
        <v>1.5741626794258301</v>
      </c>
      <c r="Q23" s="6">
        <f>SUMIFS([1]raw_data!M:M,[1]raw_data!$A:$A,$B23)</f>
        <v>465.26313699999997</v>
      </c>
      <c r="R23" s="7">
        <f>SUMIFS([1]raw_data!N:N,[1]raw_data!$A:$A,$B23)</f>
        <v>1.5717703349282199</v>
      </c>
      <c r="S23" s="6">
        <f>SUMIFS([1]raw_data!O:O,[1]raw_data!$A:$A,$B23)</f>
        <v>94.243662</v>
      </c>
      <c r="T23" s="7">
        <f>SUMIFS([1]raw_data!P:P,[1]raw_data!$A:$A,$B23)</f>
        <v>0.839964633068081</v>
      </c>
      <c r="U23" s="6">
        <f>SUMIFS([1]raw_data!Q:Q,[1]raw_data!$A:$A,$B23)</f>
        <v>45.957264000000002</v>
      </c>
      <c r="V23" s="7">
        <f>SUMIFS([1]raw_data!R:R,[1]raw_data!$A:$A,$B23)</f>
        <v>6.9849690539345699E-2</v>
      </c>
      <c r="W23" s="6">
        <f>SUMIFS([1]raw_data!S:S,[1]raw_data!$A:$A,$B23)</f>
        <v>468.30377700000003</v>
      </c>
      <c r="X23" s="7">
        <f>SUMIFS([1]raw_data!T:T,[1]raw_data!$A:$A,$B23)</f>
        <v>2.3314045239347698</v>
      </c>
      <c r="Y23" s="6">
        <f>SUMIFS([1]raw_data!U:U,[1]raw_data!$A:$A,$B23)</f>
        <v>467.35640799999999</v>
      </c>
      <c r="Z23" s="7">
        <f>SUMIFS([1]raw_data!V:V,[1]raw_data!$A:$A,$B23)</f>
        <v>2.3303524460810001</v>
      </c>
      <c r="AA23" s="4">
        <f t="shared" si="0"/>
        <v>271.18739299999999</v>
      </c>
      <c r="AC23" t="s">
        <v>19</v>
      </c>
      <c r="AD23">
        <f>COUNTIF(E4:E40,"Grand Rapids")</f>
        <v>11</v>
      </c>
      <c r="AF23">
        <f>COUNTIF(E4:E193,"Grand Rapids")</f>
        <v>66</v>
      </c>
    </row>
    <row r="24" spans="1:32" x14ac:dyDescent="0.25">
      <c r="A24" s="35"/>
      <c r="B24" s="4" t="s">
        <v>91</v>
      </c>
      <c r="C24" s="4" t="s">
        <v>92</v>
      </c>
      <c r="D24" s="4" t="s">
        <v>93</v>
      </c>
      <c r="E24" s="4" t="s">
        <v>23</v>
      </c>
      <c r="F24" s="5">
        <f>IFERROR(INDEX([1]raw_data!B:B,MATCH('SAIDI excl MEDs sort (5-yr avg)'!B53,[1]raw_data!A:A,0)),0)</f>
        <v>1705.2</v>
      </c>
      <c r="G24" s="6">
        <f>SUMIFS([1]raw_data!C:C,[1]raw_data!$A:$A,$B24)</f>
        <v>607.41873299999997</v>
      </c>
      <c r="H24" s="7">
        <f>SUMIFS([1]raw_data!D:D,[1]raw_data!$A:$A,$B24)</f>
        <v>2.1030684500393302</v>
      </c>
      <c r="I24" s="6">
        <f>SUMIFS([1]raw_data!E:E,[1]raw_data!$A:$A,$B24)</f>
        <v>135.212276</v>
      </c>
      <c r="J24" s="7">
        <f>SUMIFS([1]raw_data!F:F,[1]raw_data!$A:$A,$B24)</f>
        <v>1.09756097560975</v>
      </c>
      <c r="K24" s="6">
        <f>SUMIFS([1]raw_data!G:G,[1]raw_data!$A:$A,$B24)</f>
        <v>175.690056</v>
      </c>
      <c r="L24" s="7">
        <f>SUMIFS([1]raw_data!H:H,[1]raw_data!$A:$A,$B24)</f>
        <v>0.80769230769230704</v>
      </c>
      <c r="M24" s="6">
        <f>SUMIFS([1]raw_data!I:I,[1]raw_data!$A:$A,$B24)</f>
        <v>175.690056</v>
      </c>
      <c r="N24" s="7">
        <f>SUMIFS([1]raw_data!J:J,[1]raw_data!$A:$A,$B24)</f>
        <v>0.80769230769230704</v>
      </c>
      <c r="O24" s="6">
        <f>SUMIFS([1]raw_data!K:K,[1]raw_data!$A:$A,$B24)</f>
        <v>312.13923599999998</v>
      </c>
      <c r="P24" s="7">
        <f>SUMIFS([1]raw_data!L:L,[1]raw_data!$A:$A,$B24)</f>
        <v>2.3518808777429401</v>
      </c>
      <c r="Q24" s="6">
        <f>SUMIFS([1]raw_data!M:M,[1]raw_data!$A:$A,$B24)</f>
        <v>302.48627199999999</v>
      </c>
      <c r="R24" s="7">
        <f>SUMIFS([1]raw_data!N:N,[1]raw_data!$A:$A,$B24)</f>
        <v>2.3424764890282099</v>
      </c>
      <c r="S24" s="6">
        <f>SUMIFS([1]raw_data!O:O,[1]raw_data!$A:$A,$B24)</f>
        <v>654.56797800000004</v>
      </c>
      <c r="T24" s="7">
        <f>SUMIFS([1]raw_data!P:P,[1]raw_data!$A:$A,$B24)</f>
        <v>1.80667236954662</v>
      </c>
      <c r="U24" s="6">
        <f>SUMIFS([1]raw_data!Q:Q,[1]raw_data!$A:$A,$B24)</f>
        <v>654.56797800000004</v>
      </c>
      <c r="V24" s="7">
        <f>SUMIFS([1]raw_data!R:R,[1]raw_data!$A:$A,$B24)</f>
        <v>1.80667236954662</v>
      </c>
      <c r="W24" s="6">
        <f>SUMIFS([1]raw_data!S:S,[1]raw_data!$A:$A,$B24)</f>
        <v>220.96454600000001</v>
      </c>
      <c r="X24" s="7">
        <f>SUMIFS([1]raw_data!T:T,[1]raw_data!$A:$A,$B24)</f>
        <v>0.86248012718600897</v>
      </c>
      <c r="Y24" s="6">
        <f>SUMIFS([1]raw_data!U:U,[1]raw_data!$A:$A,$B24)</f>
        <v>72.445481999999998</v>
      </c>
      <c r="Z24" s="7">
        <f>SUMIFS([1]raw_data!V:V,[1]raw_data!$A:$A,$B24)</f>
        <v>0.57631160572337004</v>
      </c>
      <c r="AA24" s="4">
        <f t="shared" si="0"/>
        <v>268.08041280000003</v>
      </c>
    </row>
    <row r="25" spans="1:32" x14ac:dyDescent="0.25">
      <c r="A25" s="35"/>
      <c r="B25" s="4" t="s">
        <v>94</v>
      </c>
      <c r="C25" s="4" t="s">
        <v>95</v>
      </c>
      <c r="D25" s="4" t="s">
        <v>96</v>
      </c>
      <c r="E25" s="4" t="s">
        <v>19</v>
      </c>
      <c r="F25" s="5">
        <f>IFERROR(INDEX([1]raw_data!B:B,MATCH('SAIDI excl MEDs sort (5-yr avg)'!B134,[1]raw_data!A:A,0)),0)</f>
        <v>516.625</v>
      </c>
      <c r="G25" s="6">
        <f>SUMIFS([1]raw_data!C:C,[1]raw_data!$A:$A,$B25)</f>
        <v>12.160321</v>
      </c>
      <c r="H25" s="7">
        <f>SUMIFS([1]raw_data!D:D,[1]raw_data!$A:$A,$B25)</f>
        <v>0.103938024531956</v>
      </c>
      <c r="I25" s="6">
        <f>SUMIFS([1]raw_data!E:E,[1]raw_data!$A:$A,$B25)</f>
        <v>11.836368999999999</v>
      </c>
      <c r="J25" s="7">
        <f>SUMIFS([1]raw_data!F:F,[1]raw_data!$A:$A,$B25)</f>
        <v>0.103292446739832</v>
      </c>
      <c r="K25" s="6">
        <f>SUMIFS([1]raw_data!G:G,[1]raw_data!$A:$A,$B25)</f>
        <v>583.13712399999997</v>
      </c>
      <c r="L25" s="7">
        <f>SUMIFS([1]raw_data!H:H,[1]raw_data!$A:$A,$B25)</f>
        <v>1.20245003223726</v>
      </c>
      <c r="M25" s="6">
        <f>SUMIFS([1]raw_data!I:I,[1]raw_data!$A:$A,$B25)</f>
        <v>575.11156400000004</v>
      </c>
      <c r="N25" s="7">
        <f>SUMIFS([1]raw_data!J:J,[1]raw_data!$A:$A,$B25)</f>
        <v>1.15538362346872</v>
      </c>
      <c r="O25" s="6">
        <f>SUMIFS([1]raw_data!K:K,[1]raw_data!$A:$A,$B25)</f>
        <v>606.35234700000001</v>
      </c>
      <c r="P25" s="7">
        <f>SUMIFS([1]raw_data!L:L,[1]raw_data!$A:$A,$B25)</f>
        <v>4.1008403361344499</v>
      </c>
      <c r="Q25" s="6">
        <f>SUMIFS([1]raw_data!M:M,[1]raw_data!$A:$A,$B25)</f>
        <v>604.00853199999995</v>
      </c>
      <c r="R25" s="7">
        <f>SUMIFS([1]raw_data!N:N,[1]raw_data!$A:$A,$B25)</f>
        <v>4.0982546864899803</v>
      </c>
      <c r="S25" s="6">
        <f>SUMIFS([1]raw_data!O:O,[1]raw_data!$A:$A,$B25)</f>
        <v>75.03228</v>
      </c>
      <c r="T25" s="7">
        <f>SUMIFS([1]raw_data!P:P,[1]raw_data!$A:$A,$B25)</f>
        <v>0.56742671009771894</v>
      </c>
      <c r="U25" s="6">
        <f>SUMIFS([1]raw_data!Q:Q,[1]raw_data!$A:$A,$B25)</f>
        <v>75.03228</v>
      </c>
      <c r="V25" s="7">
        <f>SUMIFS([1]raw_data!R:R,[1]raw_data!$A:$A,$B25)</f>
        <v>0.56742671009771894</v>
      </c>
      <c r="W25" s="6">
        <f>SUMIFS([1]raw_data!S:S,[1]raw_data!$A:$A,$B25)</f>
        <v>1754.2377489999999</v>
      </c>
      <c r="X25" s="7">
        <f>SUMIFS([1]raw_data!T:T,[1]raw_data!$A:$A,$B25)</f>
        <v>1.0026041666666601</v>
      </c>
      <c r="Y25" s="6">
        <f>SUMIFS([1]raw_data!U:U,[1]raw_data!$A:$A,$B25)</f>
        <v>32.683832000000002</v>
      </c>
      <c r="Z25" s="7">
        <f>SUMIFS([1]raw_data!V:V,[1]raw_data!$A:$A,$B25)</f>
        <v>0.31966145833333298</v>
      </c>
      <c r="AA25" s="4">
        <f t="shared" si="0"/>
        <v>259.73451539999996</v>
      </c>
    </row>
    <row r="26" spans="1:32" x14ac:dyDescent="0.25">
      <c r="A26" s="35"/>
      <c r="B26" s="4" t="s">
        <v>97</v>
      </c>
      <c r="C26" s="4" t="s">
        <v>98</v>
      </c>
      <c r="D26" s="4" t="s">
        <v>99</v>
      </c>
      <c r="E26" s="4" t="s">
        <v>65</v>
      </c>
      <c r="F26" s="5">
        <f>IFERROR(INDEX([1]raw_data!B:B,MATCH('SAIDI excl MEDs sort (5-yr avg)'!B69,[1]raw_data!A:A,0)),0)</f>
        <v>329.375</v>
      </c>
      <c r="G26" s="6">
        <f>SUMIFS([1]raw_data!C:C,[1]raw_data!$A:$A,$B26)</f>
        <v>1245.657545</v>
      </c>
      <c r="H26" s="7">
        <f>SUMIFS([1]raw_data!D:D,[1]raw_data!$A:$A,$B26)</f>
        <v>1.2261208576997999</v>
      </c>
      <c r="I26" s="6">
        <f>SUMIFS([1]raw_data!E:E,[1]raw_data!$A:$A,$B26)</f>
        <v>93.936811000000006</v>
      </c>
      <c r="J26" s="7">
        <f>SUMIFS([1]raw_data!F:F,[1]raw_data!$A:$A,$B26)</f>
        <v>0.27095516569200701</v>
      </c>
      <c r="K26" s="6">
        <f>SUMIFS([1]raw_data!G:G,[1]raw_data!$A:$A,$B26)</f>
        <v>558.99962700000003</v>
      </c>
      <c r="L26" s="7">
        <f>SUMIFS([1]raw_data!H:H,[1]raw_data!$A:$A,$B26)</f>
        <v>1.9682436811406301</v>
      </c>
      <c r="M26" s="6">
        <f>SUMIFS([1]raw_data!I:I,[1]raw_data!$A:$A,$B26)</f>
        <v>558.36289199999999</v>
      </c>
      <c r="N26" s="7">
        <f>SUMIFS([1]raw_data!J:J,[1]raw_data!$A:$A,$B26)</f>
        <v>1.9669475048606599</v>
      </c>
      <c r="O26" s="6">
        <f>SUMIFS([1]raw_data!K:K,[1]raw_data!$A:$A,$B26)</f>
        <v>167.88277199999999</v>
      </c>
      <c r="P26" s="7">
        <f>SUMIFS([1]raw_data!L:L,[1]raw_data!$A:$A,$B26)</f>
        <v>0.131953428201811</v>
      </c>
      <c r="Q26" s="6">
        <f>SUMIFS([1]raw_data!M:M,[1]raw_data!$A:$A,$B26)</f>
        <v>3.9846590000000002</v>
      </c>
      <c r="R26" s="7">
        <f>SUMIFS([1]raw_data!N:N,[1]raw_data!$A:$A,$B26)</f>
        <v>3.8809831824062002E-2</v>
      </c>
      <c r="S26" s="6">
        <f>SUMIFS([1]raw_data!O:O,[1]raw_data!$A:$A,$B26)</f>
        <v>4975.4824429999999</v>
      </c>
      <c r="T26" s="7">
        <f>SUMIFS([1]raw_data!P:P,[1]raw_data!$A:$A,$B26)</f>
        <v>4.16797153024911</v>
      </c>
      <c r="U26" s="6">
        <f>SUMIFS([1]raw_data!Q:Q,[1]raw_data!$A:$A,$B26)</f>
        <v>301.33789999999999</v>
      </c>
      <c r="V26" s="7">
        <f>SUMIFS([1]raw_data!R:R,[1]raw_data!$A:$A,$B26)</f>
        <v>3.0754448398576502</v>
      </c>
      <c r="W26" s="6">
        <f>SUMIFS([1]raw_data!S:S,[1]raw_data!$A:$A,$B26)</f>
        <v>340.95894399999997</v>
      </c>
      <c r="X26" s="7">
        <f>SUMIFS([1]raw_data!T:T,[1]raw_data!$A:$A,$B26)</f>
        <v>2.17169069462647</v>
      </c>
      <c r="Y26" s="6">
        <f>SUMIFS([1]raw_data!U:U,[1]raw_data!$A:$A,$B26)</f>
        <v>329.19525900000002</v>
      </c>
      <c r="Z26" s="7">
        <f>SUMIFS([1]raw_data!V:V,[1]raw_data!$A:$A,$B26)</f>
        <v>2.1120576671035298</v>
      </c>
      <c r="AA26" s="4">
        <f t="shared" si="0"/>
        <v>257.36350419999997</v>
      </c>
    </row>
    <row r="27" spans="1:32" x14ac:dyDescent="0.25">
      <c r="A27" s="35"/>
      <c r="B27" s="4" t="s">
        <v>100</v>
      </c>
      <c r="C27" s="4" t="s">
        <v>35</v>
      </c>
      <c r="D27" s="4" t="s">
        <v>101</v>
      </c>
      <c r="E27" s="4" t="s">
        <v>15</v>
      </c>
      <c r="F27" s="5">
        <f>IFERROR(INDEX([1]raw_data!B:B,MATCH('SAIDI excl MEDs sort (5-yr avg)'!B137,[1]raw_data!A:A,0)),0)</f>
        <v>395.57142800000003</v>
      </c>
      <c r="G27" s="6">
        <f>SUMIFS([1]raw_data!C:C,[1]raw_data!$A:$A,$B27)</f>
        <v>10.492841</v>
      </c>
      <c r="H27" s="7">
        <f>SUMIFS([1]raw_data!D:D,[1]raw_data!$A:$A,$B27)</f>
        <v>9.9363057324840701E-2</v>
      </c>
      <c r="I27" s="6">
        <f>SUMIFS([1]raw_data!E:E,[1]raw_data!$A:$A,$B27)</f>
        <v>10.492841</v>
      </c>
      <c r="J27" s="7">
        <f>SUMIFS([1]raw_data!F:F,[1]raw_data!$A:$A,$B27)</f>
        <v>9.9363057324840701E-2</v>
      </c>
      <c r="K27" s="6">
        <f>SUMIFS([1]raw_data!G:G,[1]raw_data!$A:$A,$B27)</f>
        <v>31.970343</v>
      </c>
      <c r="L27" s="7">
        <f>SUMIFS([1]raw_data!H:H,[1]raw_data!$A:$A,$B27)</f>
        <v>0.17758186397984799</v>
      </c>
      <c r="M27" s="6">
        <f>SUMIFS([1]raw_data!I:I,[1]raw_data!$A:$A,$B27)</f>
        <v>31.107384</v>
      </c>
      <c r="N27" s="7">
        <f>SUMIFS([1]raw_data!J:J,[1]raw_data!$A:$A,$B27)</f>
        <v>0.175062972292191</v>
      </c>
      <c r="O27" s="6">
        <f>SUMIFS([1]raw_data!K:K,[1]raw_data!$A:$A,$B27)</f>
        <v>1292.1657869999999</v>
      </c>
      <c r="P27" s="7">
        <f>SUMIFS([1]raw_data!L:L,[1]raw_data!$A:$A,$B27)</f>
        <v>1.3588456712672501</v>
      </c>
      <c r="Q27" s="6">
        <f>SUMIFS([1]raw_data!M:M,[1]raw_data!$A:$A,$B27)</f>
        <v>695.47685000000001</v>
      </c>
      <c r="R27" s="7">
        <f>SUMIFS([1]raw_data!N:N,[1]raw_data!$A:$A,$B27)</f>
        <v>1.1819322459221999</v>
      </c>
      <c r="S27" s="6">
        <f>SUMIFS([1]raw_data!O:O,[1]raw_data!$A:$A,$B27)</f>
        <v>68.656852999999998</v>
      </c>
      <c r="T27" s="7">
        <f>SUMIFS([1]raw_data!P:P,[1]raw_data!$A:$A,$B27)</f>
        <v>0.285189718482252</v>
      </c>
      <c r="U27" s="6">
        <f>SUMIFS([1]raw_data!Q:Q,[1]raw_data!$A:$A,$B27)</f>
        <v>68.545959999999994</v>
      </c>
      <c r="V27" s="7">
        <f>SUMIFS([1]raw_data!R:R,[1]raw_data!$A:$A,$B27)</f>
        <v>0.28151774785801698</v>
      </c>
      <c r="W27" s="6">
        <f>SUMIFS([1]raw_data!S:S,[1]raw_data!$A:$A,$B27)</f>
        <v>462.21706399999999</v>
      </c>
      <c r="X27" s="7">
        <f>SUMIFS([1]raw_data!T:T,[1]raw_data!$A:$A,$B27)</f>
        <v>1.3739545997610501</v>
      </c>
      <c r="Y27" s="6">
        <f>SUMIFS([1]raw_data!U:U,[1]raw_data!$A:$A,$B27)</f>
        <v>454.54532</v>
      </c>
      <c r="Z27" s="7">
        <f>SUMIFS([1]raw_data!V:V,[1]raw_data!$A:$A,$B27)</f>
        <v>1.3524492234169601</v>
      </c>
      <c r="AA27" s="4">
        <f t="shared" si="0"/>
        <v>252.033671</v>
      </c>
    </row>
    <row r="28" spans="1:32" x14ac:dyDescent="0.25">
      <c r="A28" s="35"/>
      <c r="B28" s="4" t="s">
        <v>102</v>
      </c>
      <c r="C28" s="4" t="s">
        <v>103</v>
      </c>
      <c r="D28" s="4" t="s">
        <v>104</v>
      </c>
      <c r="E28" s="4" t="s">
        <v>15</v>
      </c>
      <c r="F28" s="5">
        <f>IFERROR(INDEX([1]raw_data!B:B,MATCH('SAIDI excl MEDs sort (5-yr avg)'!B11,[1]raw_data!A:A,0)),0)</f>
        <v>788</v>
      </c>
      <c r="G28" s="6">
        <f>SUMIFS([1]raw_data!C:C,[1]raw_data!$A:$A,$B28)</f>
        <v>388.23440799999997</v>
      </c>
      <c r="H28" s="7">
        <f>SUMIFS([1]raw_data!D:D,[1]raw_data!$A:$A,$B28)</f>
        <v>1.3366398016119001</v>
      </c>
      <c r="I28" s="6">
        <f>SUMIFS([1]raw_data!E:E,[1]raw_data!$A:$A,$B28)</f>
        <v>388.05710599999998</v>
      </c>
      <c r="J28" s="7">
        <f>SUMIFS([1]raw_data!F:F,[1]raw_data!$A:$A,$B28)</f>
        <v>1.33601983880967</v>
      </c>
      <c r="K28" s="6">
        <f>SUMIFS([1]raw_data!G:G,[1]raw_data!$A:$A,$B28)</f>
        <v>640.90034400000002</v>
      </c>
      <c r="L28" s="7">
        <f>SUMIFS([1]raw_data!H:H,[1]raw_data!$A:$A,$B28)</f>
        <v>1.4081250000000001</v>
      </c>
      <c r="M28" s="6">
        <f>SUMIFS([1]raw_data!I:I,[1]raw_data!$A:$A,$B28)</f>
        <v>36.214117999999999</v>
      </c>
      <c r="N28" s="7">
        <f>SUMIFS([1]raw_data!J:J,[1]raw_data!$A:$A,$B28)</f>
        <v>0.25687500000000002</v>
      </c>
      <c r="O28" s="6">
        <f>SUMIFS([1]raw_data!K:K,[1]raw_data!$A:$A,$B28)</f>
        <v>40.338625</v>
      </c>
      <c r="P28" s="7">
        <f>SUMIFS([1]raw_data!L:L,[1]raw_data!$A:$A,$B28)</f>
        <v>0.19785759294265901</v>
      </c>
      <c r="Q28" s="6">
        <f>SUMIFS([1]raw_data!M:M,[1]raw_data!$A:$A,$B28)</f>
        <v>37.720120999999999</v>
      </c>
      <c r="R28" s="7">
        <f>SUMIFS([1]raw_data!N:N,[1]raw_data!$A:$A,$B28)</f>
        <v>0.19155639571518501</v>
      </c>
      <c r="S28" s="6">
        <f>SUMIFS([1]raw_data!O:O,[1]raw_data!$A:$A,$B28)</f>
        <v>685.48291500000005</v>
      </c>
      <c r="T28" s="7">
        <f>SUMIFS([1]raw_data!P:P,[1]raw_data!$A:$A,$B28)</f>
        <v>3.4533500313087</v>
      </c>
      <c r="U28" s="6">
        <f>SUMIFS([1]raw_data!Q:Q,[1]raw_data!$A:$A,$B28)</f>
        <v>684.02720699999998</v>
      </c>
      <c r="V28" s="7">
        <f>SUMIFS([1]raw_data!R:R,[1]raw_data!$A:$A,$B28)</f>
        <v>3.4458359423919802</v>
      </c>
      <c r="W28" s="6">
        <f>SUMIFS([1]raw_data!S:S,[1]raw_data!$A:$A,$B28)</f>
        <v>106.380292</v>
      </c>
      <c r="X28" s="7">
        <f>SUMIFS([1]raw_data!T:T,[1]raw_data!$A:$A,$B28)</f>
        <v>0.34779874213836398</v>
      </c>
      <c r="Y28" s="6">
        <f>SUMIFS([1]raw_data!U:U,[1]raw_data!$A:$A,$B28)</f>
        <v>90.235795999999993</v>
      </c>
      <c r="Z28" s="7">
        <f>SUMIFS([1]raw_data!V:V,[1]raw_data!$A:$A,$B28)</f>
        <v>0.31698113207547102</v>
      </c>
      <c r="AA28" s="4">
        <f t="shared" si="0"/>
        <v>247.25086959999999</v>
      </c>
    </row>
    <row r="29" spans="1:32" x14ac:dyDescent="0.25">
      <c r="A29" s="35"/>
      <c r="B29" s="4" t="s">
        <v>105</v>
      </c>
      <c r="C29" s="4" t="s">
        <v>106</v>
      </c>
      <c r="D29" s="4" t="s">
        <v>107</v>
      </c>
      <c r="E29" s="4" t="s">
        <v>19</v>
      </c>
      <c r="F29" s="5">
        <f>IFERROR(INDEX([1]raw_data!B:B,MATCH('SAIDI excl MEDs sort (5-yr avg)'!B19,[1]raw_data!A:A,0)),0)</f>
        <v>1598.8</v>
      </c>
      <c r="G29" s="6">
        <f>SUMIFS([1]raw_data!C:C,[1]raw_data!$A:$A,$B29)</f>
        <v>287.60849999999999</v>
      </c>
      <c r="H29" s="7">
        <f>SUMIFS([1]raw_data!D:D,[1]raw_data!$A:$A,$B29)</f>
        <v>1.13065326633165</v>
      </c>
      <c r="I29" s="6">
        <f>SUMIFS([1]raw_data!E:E,[1]raw_data!$A:$A,$B29)</f>
        <v>287.10176899999999</v>
      </c>
      <c r="J29" s="7">
        <f>SUMIFS([1]raw_data!F:F,[1]raw_data!$A:$A,$B29)</f>
        <v>1.1286432160804001</v>
      </c>
      <c r="K29" s="6">
        <f>SUMIFS([1]raw_data!G:G,[1]raw_data!$A:$A,$B29)</f>
        <v>1690.6741850000001</v>
      </c>
      <c r="L29" s="7">
        <f>SUMIFS([1]raw_data!H:H,[1]raw_data!$A:$A,$B29)</f>
        <v>4.4883720930232496</v>
      </c>
      <c r="M29" s="6">
        <f>SUMIFS([1]raw_data!I:I,[1]raw_data!$A:$A,$B29)</f>
        <v>337.15798699999999</v>
      </c>
      <c r="N29" s="7">
        <f>SUMIFS([1]raw_data!J:J,[1]raw_data!$A:$A,$B29)</f>
        <v>2.81298449612403</v>
      </c>
      <c r="O29" s="6">
        <f>SUMIFS([1]raw_data!K:K,[1]raw_data!$A:$A,$B29)</f>
        <v>95.410060000000001</v>
      </c>
      <c r="P29" s="7">
        <f>SUMIFS([1]raw_data!L:L,[1]raw_data!$A:$A,$B29)</f>
        <v>1.1463178294573599</v>
      </c>
      <c r="Q29" s="6">
        <f>SUMIFS([1]raw_data!M:M,[1]raw_data!$A:$A,$B29)</f>
        <v>14.249337000000001</v>
      </c>
      <c r="R29" s="7">
        <f>SUMIFS([1]raw_data!N:N,[1]raw_data!$A:$A,$B29)</f>
        <v>0.111434108527131</v>
      </c>
      <c r="S29" s="6">
        <f>SUMIFS([1]raw_data!O:O,[1]raw_data!$A:$A,$B29)</f>
        <v>588.12784299999998</v>
      </c>
      <c r="T29" s="7">
        <f>SUMIFS([1]raw_data!P:P,[1]raw_data!$A:$A,$B29)</f>
        <v>2.0107991360691102</v>
      </c>
      <c r="U29" s="6">
        <f>SUMIFS([1]raw_data!Q:Q,[1]raw_data!$A:$A,$B29)</f>
        <v>548.74258399999997</v>
      </c>
      <c r="V29" s="7">
        <f>SUMIFS([1]raw_data!R:R,[1]raw_data!$A:$A,$B29)</f>
        <v>1.98380129589632</v>
      </c>
      <c r="W29" s="6">
        <f>SUMIFS([1]raw_data!S:S,[1]raw_data!$A:$A,$B29)</f>
        <v>18.152515999999999</v>
      </c>
      <c r="X29" s="7">
        <f>SUMIFS([1]raw_data!T:T,[1]raw_data!$A:$A,$B29)</f>
        <v>0.1474435196195</v>
      </c>
      <c r="Y29" s="6">
        <f>SUMIFS([1]raw_data!U:U,[1]raw_data!$A:$A,$B29)</f>
        <v>16.958997</v>
      </c>
      <c r="Z29" s="7">
        <f>SUMIFS([1]raw_data!V:V,[1]raw_data!$A:$A,$B29)</f>
        <v>0.143876337693222</v>
      </c>
      <c r="AA29" s="4">
        <f t="shared" si="0"/>
        <v>240.84213479999994</v>
      </c>
    </row>
    <row r="30" spans="1:32" x14ac:dyDescent="0.25">
      <c r="A30" s="35"/>
      <c r="B30" s="4" t="s">
        <v>108</v>
      </c>
      <c r="C30" s="4" t="s">
        <v>109</v>
      </c>
      <c r="D30" s="4" t="s">
        <v>110</v>
      </c>
      <c r="E30" s="4" t="s">
        <v>27</v>
      </c>
      <c r="F30" s="5">
        <f>IFERROR(INDEX([1]raw_data!B:B,MATCH('SAIDI excl MEDs sort (5-yr avg)'!B46,[1]raw_data!A:A,0)),0)</f>
        <v>89.5</v>
      </c>
      <c r="G30" s="6">
        <f>SUMIFS([1]raw_data!C:C,[1]raw_data!$A:$A,$B30)</f>
        <v>150.64736600000001</v>
      </c>
      <c r="H30" s="7">
        <f>SUMIFS([1]raw_data!D:D,[1]raw_data!$A:$A,$B30)</f>
        <v>1.5044247787610601</v>
      </c>
      <c r="I30" s="6">
        <f>SUMIFS([1]raw_data!E:E,[1]raw_data!$A:$A,$B30)</f>
        <v>150.64736600000001</v>
      </c>
      <c r="J30" s="7">
        <f>SUMIFS([1]raw_data!F:F,[1]raw_data!$A:$A,$B30)</f>
        <v>1.5044247787610601</v>
      </c>
      <c r="K30" s="6">
        <f>SUMIFS([1]raw_data!G:G,[1]raw_data!$A:$A,$B30)</f>
        <v>496.76308399999999</v>
      </c>
      <c r="L30" s="7">
        <f>SUMIFS([1]raw_data!H:H,[1]raw_data!$A:$A,$B30)</f>
        <v>1</v>
      </c>
      <c r="M30" s="6">
        <f>SUMIFS([1]raw_data!I:I,[1]raw_data!$A:$A,$B30)</f>
        <v>496.76308399999999</v>
      </c>
      <c r="N30" s="7">
        <f>SUMIFS([1]raw_data!J:J,[1]raw_data!$A:$A,$B30)</f>
        <v>1</v>
      </c>
      <c r="O30" s="6">
        <f>SUMIFS([1]raw_data!K:K,[1]raw_data!$A:$A,$B30)</f>
        <v>684.31206199999997</v>
      </c>
      <c r="P30" s="7">
        <f>SUMIFS([1]raw_data!L:L,[1]raw_data!$A:$A,$B30)</f>
        <v>2.8190476190476099</v>
      </c>
      <c r="Q30" s="6">
        <f>SUMIFS([1]raw_data!M:M,[1]raw_data!$A:$A,$B30)</f>
        <v>454.89777700000002</v>
      </c>
      <c r="R30" s="7">
        <f>SUMIFS([1]raw_data!N:N,[1]raw_data!$A:$A,$B30)</f>
        <v>1.8095238095238</v>
      </c>
      <c r="S30" s="6">
        <f>SUMIFS([1]raw_data!O:O,[1]raw_data!$A:$A,$B30)</f>
        <v>83.455673000000004</v>
      </c>
      <c r="T30" s="7">
        <f>SUMIFS([1]raw_data!P:P,[1]raw_data!$A:$A,$B30)</f>
        <v>0.44680851063829702</v>
      </c>
      <c r="U30" s="6">
        <f>SUMIFS([1]raw_data!Q:Q,[1]raw_data!$A:$A,$B30)</f>
        <v>83.455673000000004</v>
      </c>
      <c r="V30" s="7">
        <f>SUMIFS([1]raw_data!R:R,[1]raw_data!$A:$A,$B30)</f>
        <v>0.44680851063829702</v>
      </c>
      <c r="W30" s="6">
        <f>SUMIFS([1]raw_data!S:S,[1]raw_data!$A:$A,$B30)</f>
        <v>525.13493000000005</v>
      </c>
      <c r="X30" s="7">
        <f>SUMIFS([1]raw_data!T:T,[1]raw_data!$A:$A,$B30)</f>
        <v>0.47945205479452002</v>
      </c>
      <c r="Y30" s="6">
        <f>SUMIFS([1]raw_data!U:U,[1]raw_data!$A:$A,$B30)</f>
        <v>11.902054</v>
      </c>
      <c r="Z30" s="7">
        <f>SUMIFS([1]raw_data!V:V,[1]raw_data!$A:$A,$B30)</f>
        <v>0.123287671232876</v>
      </c>
      <c r="AA30" s="4">
        <f t="shared" si="0"/>
        <v>239.53319079999997</v>
      </c>
    </row>
    <row r="31" spans="1:32" x14ac:dyDescent="0.25">
      <c r="A31" s="35"/>
      <c r="B31" s="4" t="s">
        <v>111</v>
      </c>
      <c r="C31" s="4" t="s">
        <v>112</v>
      </c>
      <c r="D31" s="4" t="s">
        <v>113</v>
      </c>
      <c r="E31" s="4" t="s">
        <v>23</v>
      </c>
      <c r="F31" s="5">
        <f>IFERROR(INDEX([1]raw_data!B:B,MATCH('SAIDI excl MEDs sort (5-yr avg)'!B29,[1]raw_data!A:A,0)),0)</f>
        <v>965.2</v>
      </c>
      <c r="G31" s="6">
        <f>SUMIFS([1]raw_data!C:C,[1]raw_data!$A:$A,$B31)</f>
        <v>1232.94319</v>
      </c>
      <c r="H31" s="7">
        <f>SUMIFS([1]raw_data!D:D,[1]raw_data!$A:$A,$B31)</f>
        <v>1.3531073446327599</v>
      </c>
      <c r="I31" s="6">
        <f>SUMIFS([1]raw_data!E:E,[1]raw_data!$A:$A,$B31)</f>
        <v>225.470091</v>
      </c>
      <c r="J31" s="7">
        <f>SUMIFS([1]raw_data!F:F,[1]raw_data!$A:$A,$B31)</f>
        <v>0.96327683615819204</v>
      </c>
      <c r="K31" s="6">
        <f>SUMIFS([1]raw_data!G:G,[1]raw_data!$A:$A,$B31)</f>
        <v>187.56984700000001</v>
      </c>
      <c r="L31" s="7">
        <f>SUMIFS([1]raw_data!H:H,[1]raw_data!$A:$A,$B31)</f>
        <v>0.70774976657329502</v>
      </c>
      <c r="M31" s="6">
        <f>SUMIFS([1]raw_data!I:I,[1]raw_data!$A:$A,$B31)</f>
        <v>173.61753100000001</v>
      </c>
      <c r="N31" s="7">
        <f>SUMIFS([1]raw_data!J:J,[1]raw_data!$A:$A,$B31)</f>
        <v>0.67320261437908402</v>
      </c>
      <c r="O31" s="6">
        <f>SUMIFS([1]raw_data!K:K,[1]raw_data!$A:$A,$B31)</f>
        <v>1224.9969510000001</v>
      </c>
      <c r="P31" s="7">
        <f>SUMIFS([1]raw_data!L:L,[1]raw_data!$A:$A,$B31)</f>
        <v>2.8115671641790998</v>
      </c>
      <c r="Q31" s="6">
        <f>SUMIFS([1]raw_data!M:M,[1]raw_data!$A:$A,$B31)</f>
        <v>179.120475</v>
      </c>
      <c r="R31" s="7">
        <f>SUMIFS([1]raw_data!N:N,[1]raw_data!$A:$A,$B31)</f>
        <v>1.78731343283582</v>
      </c>
      <c r="S31" s="6">
        <f>SUMIFS([1]raw_data!O:O,[1]raw_data!$A:$A,$B31)</f>
        <v>367.108948</v>
      </c>
      <c r="T31" s="7">
        <f>SUMIFS([1]raw_data!P:P,[1]raw_data!$A:$A,$B31)</f>
        <v>1.45191409897292</v>
      </c>
      <c r="U31" s="6">
        <f>SUMIFS([1]raw_data!Q:Q,[1]raw_data!$A:$A,$B31)</f>
        <v>367.108948</v>
      </c>
      <c r="V31" s="7">
        <f>SUMIFS([1]raw_data!R:R,[1]raw_data!$A:$A,$B31)</f>
        <v>1.45191409897292</v>
      </c>
      <c r="W31" s="6">
        <f>SUMIFS([1]raw_data!S:S,[1]raw_data!$A:$A,$B31)</f>
        <v>377.86595599999998</v>
      </c>
      <c r="X31" s="7">
        <f>SUMIFS([1]raw_data!T:T,[1]raw_data!$A:$A,$B31)</f>
        <v>2.0805555555555499</v>
      </c>
      <c r="Y31" s="6">
        <f>SUMIFS([1]raw_data!U:U,[1]raw_data!$A:$A,$B31)</f>
        <v>248.16834800000001</v>
      </c>
      <c r="Z31" s="7">
        <f>SUMIFS([1]raw_data!V:V,[1]raw_data!$A:$A,$B31)</f>
        <v>1.0490740740740701</v>
      </c>
      <c r="AA31" s="4">
        <f t="shared" si="0"/>
        <v>238.6970786</v>
      </c>
    </row>
    <row r="32" spans="1:32" x14ac:dyDescent="0.25">
      <c r="A32" s="35"/>
      <c r="B32" s="4" t="s">
        <v>114</v>
      </c>
      <c r="C32" s="4" t="s">
        <v>115</v>
      </c>
      <c r="D32" s="4" t="s">
        <v>116</v>
      </c>
      <c r="E32" s="4" t="s">
        <v>15</v>
      </c>
      <c r="F32" s="5">
        <f>IFERROR(INDEX([1]raw_data!B:B,MATCH('SAIDI excl MEDs sort (5-yr avg)'!B76,[1]raw_data!A:A,0)),0)</f>
        <v>1070</v>
      </c>
      <c r="G32" s="6">
        <f>SUMIFS([1]raw_data!C:C,[1]raw_data!$A:$A,$B32)</f>
        <v>78.823547000000005</v>
      </c>
      <c r="H32" s="7">
        <f>SUMIFS([1]raw_data!D:D,[1]raw_data!$A:$A,$B32)</f>
        <v>0.61788617886178798</v>
      </c>
      <c r="I32" s="6">
        <f>SUMIFS([1]raw_data!E:E,[1]raw_data!$A:$A,$B32)</f>
        <v>78.823547000000005</v>
      </c>
      <c r="J32" s="7">
        <f>SUMIFS([1]raw_data!F:F,[1]raw_data!$A:$A,$B32)</f>
        <v>0.61788617886178798</v>
      </c>
      <c r="K32" s="6">
        <f>SUMIFS([1]raw_data!G:G,[1]raw_data!$A:$A,$B32)</f>
        <v>0</v>
      </c>
      <c r="L32" s="7">
        <f>SUMIFS([1]raw_data!H:H,[1]raw_data!$A:$A,$B32)</f>
        <v>0</v>
      </c>
      <c r="M32" s="6">
        <f>SUMIFS([1]raw_data!I:I,[1]raw_data!$A:$A,$B32)</f>
        <v>0</v>
      </c>
      <c r="N32" s="7">
        <f>SUMIFS([1]raw_data!J:J,[1]raw_data!$A:$A,$B32)</f>
        <v>0</v>
      </c>
      <c r="O32" s="6">
        <f>SUMIFS([1]raw_data!K:K,[1]raw_data!$A:$A,$B32)</f>
        <v>1037.1702660000001</v>
      </c>
      <c r="P32" s="7">
        <f>SUMIFS([1]raw_data!L:L,[1]raw_data!$A:$A,$B32)</f>
        <v>1.1919999999999999</v>
      </c>
      <c r="Q32" s="6">
        <f>SUMIFS([1]raw_data!M:M,[1]raw_data!$A:$A,$B32)</f>
        <v>1037.1702660000001</v>
      </c>
      <c r="R32" s="7">
        <f>SUMIFS([1]raw_data!N:N,[1]raw_data!$A:$A,$B32)</f>
        <v>1.1919999999999999</v>
      </c>
      <c r="S32" s="6">
        <f>SUMIFS([1]raw_data!O:O,[1]raw_data!$A:$A,$B32)</f>
        <v>56.348610999999998</v>
      </c>
      <c r="T32" s="7">
        <f>SUMIFS([1]raw_data!P:P,[1]raw_data!$A:$A,$B32)</f>
        <v>1.0916666666666599</v>
      </c>
      <c r="U32" s="6">
        <f>SUMIFS([1]raw_data!Q:Q,[1]raw_data!$A:$A,$B32)</f>
        <v>6.7486110000000004</v>
      </c>
      <c r="V32" s="7">
        <f>SUMIFS([1]raw_data!R:R,[1]raw_data!$A:$A,$B32)</f>
        <v>5.83333333333333E-2</v>
      </c>
      <c r="W32" s="6">
        <f>SUMIFS([1]raw_data!S:S,[1]raw_data!$A:$A,$B32)</f>
        <v>26.214677999999999</v>
      </c>
      <c r="X32" s="7">
        <f>SUMIFS([1]raw_data!T:T,[1]raw_data!$A:$A,$B32)</f>
        <v>0.83486238532110002</v>
      </c>
      <c r="Y32" s="6">
        <f>SUMIFS([1]raw_data!U:U,[1]raw_data!$A:$A,$B32)</f>
        <v>26.214677999999999</v>
      </c>
      <c r="Z32" s="7">
        <f>SUMIFS([1]raw_data!V:V,[1]raw_data!$A:$A,$B32)</f>
        <v>0.83486238532110002</v>
      </c>
      <c r="AA32" s="4">
        <f t="shared" si="0"/>
        <v>229.79142040000002</v>
      </c>
    </row>
    <row r="33" spans="1:30" x14ac:dyDescent="0.25">
      <c r="A33" s="35"/>
      <c r="B33" s="4" t="s">
        <v>117</v>
      </c>
      <c r="C33" s="4" t="s">
        <v>118</v>
      </c>
      <c r="D33" s="4" t="s">
        <v>119</v>
      </c>
      <c r="E33" s="4" t="s">
        <v>27</v>
      </c>
      <c r="F33" s="5">
        <f>IFERROR(INDEX([1]raw_data!B:B,MATCH('SAIDI excl MEDs sort (5-yr avg)'!B7,[1]raw_data!A:A,0)),0)</f>
        <v>766.22222199999999</v>
      </c>
      <c r="G33" s="6">
        <f>SUMIFS([1]raw_data!C:C,[1]raw_data!$A:$A,$B33)</f>
        <v>1140.199136</v>
      </c>
      <c r="H33" s="7">
        <f>SUMIFS([1]raw_data!D:D,[1]raw_data!$A:$A,$B33)</f>
        <v>3.6631578947368402</v>
      </c>
      <c r="I33" s="6">
        <f>SUMIFS([1]raw_data!E:E,[1]raw_data!$A:$A,$B33)</f>
        <v>652.81186300000002</v>
      </c>
      <c r="J33" s="7">
        <f>SUMIFS([1]raw_data!F:F,[1]raw_data!$A:$A,$B33)</f>
        <v>2.50526315789473</v>
      </c>
      <c r="K33" s="6">
        <f>SUMIFS([1]raw_data!G:G,[1]raw_data!$A:$A,$B33)</f>
        <v>52.310887000000001</v>
      </c>
      <c r="L33" s="7">
        <f>SUMIFS([1]raw_data!H:H,[1]raw_data!$A:$A,$B33)</f>
        <v>0.29073033707865098</v>
      </c>
      <c r="M33" s="6">
        <f>SUMIFS([1]raw_data!I:I,[1]raw_data!$A:$A,$B33)</f>
        <v>51.466569</v>
      </c>
      <c r="N33" s="7">
        <f>SUMIFS([1]raw_data!J:J,[1]raw_data!$A:$A,$B33)</f>
        <v>0.288623595505617</v>
      </c>
      <c r="O33" s="6">
        <f>SUMIFS([1]raw_data!K:K,[1]raw_data!$A:$A,$B33)</f>
        <v>54.559361000000003</v>
      </c>
      <c r="P33" s="7">
        <f>SUMIFS([1]raw_data!L:L,[1]raw_data!$A:$A,$B33)</f>
        <v>0.343904157857646</v>
      </c>
      <c r="Q33" s="6">
        <f>SUMIFS([1]raw_data!M:M,[1]raw_data!$A:$A,$B33)</f>
        <v>54.330255999999999</v>
      </c>
      <c r="R33" s="7">
        <f>SUMIFS([1]raw_data!N:N,[1]raw_data!$A:$A,$B33)</f>
        <v>0.33967582804792101</v>
      </c>
      <c r="S33" s="6">
        <f>SUMIFS([1]raw_data!O:O,[1]raw_data!$A:$A,$B33)</f>
        <v>278.94603499999999</v>
      </c>
      <c r="T33" s="7">
        <f>SUMIFS([1]raw_data!P:P,[1]raw_data!$A:$A,$B33)</f>
        <v>1.5201129146083201</v>
      </c>
      <c r="U33" s="6">
        <f>SUMIFS([1]raw_data!Q:Q,[1]raw_data!$A:$A,$B33)</f>
        <v>278.82996900000001</v>
      </c>
      <c r="V33" s="7">
        <f>SUMIFS([1]raw_data!R:R,[1]raw_data!$A:$A,$B33)</f>
        <v>1.51729004940014</v>
      </c>
      <c r="W33" s="6">
        <f>SUMIFS([1]raw_data!S:S,[1]raw_data!$A:$A,$B33)</f>
        <v>343.45011699999998</v>
      </c>
      <c r="X33" s="7">
        <f>SUMIFS([1]raw_data!T:T,[1]raw_data!$A:$A,$B33)</f>
        <v>0.57356076759061803</v>
      </c>
      <c r="Y33" s="6">
        <f>SUMIFS([1]raw_data!U:U,[1]raw_data!$A:$A,$B33)</f>
        <v>108.274958</v>
      </c>
      <c r="Z33" s="7">
        <f>SUMIFS([1]raw_data!V:V,[1]raw_data!$A:$A,$B33)</f>
        <v>0.38805970149253699</v>
      </c>
      <c r="AA33" s="4">
        <f t="shared" si="0"/>
        <v>229.14272300000002</v>
      </c>
    </row>
    <row r="34" spans="1:30" ht="18.95" customHeight="1" x14ac:dyDescent="0.25">
      <c r="A34" s="35"/>
      <c r="B34" s="4" t="s">
        <v>120</v>
      </c>
      <c r="C34" s="4" t="s">
        <v>63</v>
      </c>
      <c r="D34" s="4" t="s">
        <v>121</v>
      </c>
      <c r="E34" s="4" t="s">
        <v>65</v>
      </c>
      <c r="F34" s="5">
        <f>IFERROR(INDEX([1]raw_data!B:B,MATCH('SAIDI excl MEDs sort (5-yr avg)'!B58,[1]raw_data!A:A,0)),0)</f>
        <v>651.6</v>
      </c>
      <c r="G34" s="6">
        <f>SUMIFS([1]raw_data!C:C,[1]raw_data!$A:$A,$B34)</f>
        <v>298.47822100000002</v>
      </c>
      <c r="H34" s="7">
        <f>SUMIFS([1]raw_data!D:D,[1]raw_data!$A:$A,$B34)</f>
        <v>1.49674267100977</v>
      </c>
      <c r="I34" s="6">
        <f>SUMIFS([1]raw_data!E:E,[1]raw_data!$A:$A,$B34)</f>
        <v>118.309612</v>
      </c>
      <c r="J34" s="7">
        <f>SUMIFS([1]raw_data!F:F,[1]raw_data!$A:$A,$B34)</f>
        <v>1.0602605863192101</v>
      </c>
      <c r="K34" s="6">
        <f>SUMIFS([1]raw_data!G:G,[1]raw_data!$A:$A,$B34)</f>
        <v>1902.4654909999999</v>
      </c>
      <c r="L34" s="7">
        <f>SUMIFS([1]raw_data!H:H,[1]raw_data!$A:$A,$B34)</f>
        <v>2.35313001605136</v>
      </c>
      <c r="M34" s="6">
        <f>SUMIFS([1]raw_data!I:I,[1]raw_data!$A:$A,$B34)</f>
        <v>196.85104100000001</v>
      </c>
      <c r="N34" s="7">
        <f>SUMIFS([1]raw_data!J:J,[1]raw_data!$A:$A,$B34)</f>
        <v>0.92616372391653201</v>
      </c>
      <c r="O34" s="6">
        <f>SUMIFS([1]raw_data!K:K,[1]raw_data!$A:$A,$B34)</f>
        <v>105.180319</v>
      </c>
      <c r="P34" s="7">
        <f>SUMIFS([1]raw_data!L:L,[1]raw_data!$A:$A,$B34)</f>
        <v>0.24</v>
      </c>
      <c r="Q34" s="6">
        <f>SUMIFS([1]raw_data!M:M,[1]raw_data!$A:$A,$B34)</f>
        <v>51.547412999999999</v>
      </c>
      <c r="R34" s="7">
        <f>SUMIFS([1]raw_data!N:N,[1]raw_data!$A:$A,$B34)</f>
        <v>0.2</v>
      </c>
      <c r="S34" s="6">
        <f>SUMIFS([1]raw_data!O:O,[1]raw_data!$A:$A,$B34)</f>
        <v>1581.6804520000001</v>
      </c>
      <c r="T34" s="7">
        <f>SUMIFS([1]raw_data!P:P,[1]raw_data!$A:$A,$B34)</f>
        <v>1.94240837696335</v>
      </c>
      <c r="U34" s="6">
        <f>SUMIFS([1]raw_data!Q:Q,[1]raw_data!$A:$A,$B34)</f>
        <v>262.40267499999999</v>
      </c>
      <c r="V34" s="7">
        <f>SUMIFS([1]raw_data!R:R,[1]raw_data!$A:$A,$B34)</f>
        <v>1.59511343804537</v>
      </c>
      <c r="W34" s="6">
        <f>SUMIFS([1]raw_data!S:S,[1]raw_data!$A:$A,$B34)</f>
        <v>540.64734099999998</v>
      </c>
      <c r="X34" s="7">
        <f>SUMIFS([1]raw_data!T:T,[1]raw_data!$A:$A,$B34)</f>
        <v>2.2229729729729701</v>
      </c>
      <c r="Y34" s="6">
        <f>SUMIFS([1]raw_data!U:U,[1]raw_data!$A:$A,$B34)</f>
        <v>497.15256699999998</v>
      </c>
      <c r="Z34" s="7">
        <f>SUMIFS([1]raw_data!V:V,[1]raw_data!$A:$A,$B34)</f>
        <v>1.7905405405405399</v>
      </c>
      <c r="AA34" s="4">
        <f t="shared" si="0"/>
        <v>225.25266160000001</v>
      </c>
    </row>
    <row r="35" spans="1:30" x14ac:dyDescent="0.25">
      <c r="A35" s="35"/>
      <c r="B35" s="4" t="s">
        <v>122</v>
      </c>
      <c r="C35" s="4" t="s">
        <v>123</v>
      </c>
      <c r="D35" s="4" t="s">
        <v>124</v>
      </c>
      <c r="E35" s="4" t="s">
        <v>19</v>
      </c>
      <c r="F35" s="5">
        <f>IFERROR(INDEX([1]raw_data!B:B,MATCH('SAIDI excl MEDs sort (5-yr avg)'!B13,[1]raw_data!A:A,0)),0)</f>
        <v>189.11111099999999</v>
      </c>
      <c r="G35" s="6">
        <f>SUMIFS([1]raw_data!C:C,[1]raw_data!$A:$A,$B35)</f>
        <v>371.61434600000001</v>
      </c>
      <c r="H35" s="7">
        <f>SUMIFS([1]raw_data!D:D,[1]raw_data!$A:$A,$B35)</f>
        <v>2.5716486902927498</v>
      </c>
      <c r="I35" s="6">
        <f>SUMIFS([1]raw_data!E:E,[1]raw_data!$A:$A,$B35)</f>
        <v>371.51650799999999</v>
      </c>
      <c r="J35" s="7">
        <f>SUMIFS([1]raw_data!F:F,[1]raw_data!$A:$A,$B35)</f>
        <v>2.5701078582434498</v>
      </c>
      <c r="K35" s="6">
        <f>SUMIFS([1]raw_data!G:G,[1]raw_data!$A:$A,$B35)</f>
        <v>432.03947399999998</v>
      </c>
      <c r="L35" s="7">
        <f>SUMIFS([1]raw_data!H:H,[1]raw_data!$A:$A,$B35)</f>
        <v>6.3387358184764899</v>
      </c>
      <c r="M35" s="6">
        <f>SUMIFS([1]raw_data!I:I,[1]raw_data!$A:$A,$B35)</f>
        <v>432.03947399999998</v>
      </c>
      <c r="N35" s="7">
        <f>SUMIFS([1]raw_data!J:J,[1]raw_data!$A:$A,$B35)</f>
        <v>6.3387358184764899</v>
      </c>
      <c r="O35" s="6">
        <f>SUMIFS([1]raw_data!K:K,[1]raw_data!$A:$A,$B35)</f>
        <v>1454.5516009999999</v>
      </c>
      <c r="P35" s="7">
        <f>SUMIFS([1]raw_data!L:L,[1]raw_data!$A:$A,$B35)</f>
        <v>2.7133550488599298</v>
      </c>
      <c r="Q35" s="6">
        <f>SUMIFS([1]raw_data!M:M,[1]raw_data!$A:$A,$B35)</f>
        <v>144.52451099999999</v>
      </c>
      <c r="R35" s="7">
        <f>SUMIFS([1]raw_data!N:N,[1]raw_data!$A:$A,$B35)</f>
        <v>1.4185667752442901</v>
      </c>
      <c r="S35" s="6">
        <f>SUMIFS([1]raw_data!O:O,[1]raw_data!$A:$A,$B35)</f>
        <v>771.49030500000003</v>
      </c>
      <c r="T35" s="7">
        <f>SUMIFS([1]raw_data!P:P,[1]raw_data!$A:$A,$B35)</f>
        <v>2.7517433751743301</v>
      </c>
      <c r="U35" s="6">
        <f>SUMIFS([1]raw_data!Q:Q,[1]raw_data!$A:$A,$B35)</f>
        <v>169.23026400000001</v>
      </c>
      <c r="V35" s="7">
        <f>SUMIFS([1]raw_data!R:R,[1]raw_data!$A:$A,$B35)</f>
        <v>1.60669456066945</v>
      </c>
      <c r="W35" s="6">
        <f>SUMIFS([1]raw_data!S:S,[1]raw_data!$A:$A,$B35)</f>
        <v>526.32085300000006</v>
      </c>
      <c r="X35" s="7">
        <f>SUMIFS([1]raw_data!T:T,[1]raw_data!$A:$A,$B35)</f>
        <v>0.67125000000000001</v>
      </c>
      <c r="Y35" s="6">
        <f>SUMIFS([1]raw_data!U:U,[1]raw_data!$A:$A,$B35)</f>
        <v>8.8938120000000005</v>
      </c>
      <c r="Z35" s="7">
        <f>SUMIFS([1]raw_data!V:V,[1]raw_data!$A:$A,$B35)</f>
        <v>5.3749999999999999E-2</v>
      </c>
      <c r="AA35" s="4">
        <f t="shared" si="0"/>
        <v>225.24091379999999</v>
      </c>
    </row>
    <row r="36" spans="1:30" x14ac:dyDescent="0.25">
      <c r="A36" s="35"/>
      <c r="B36" s="4" t="s">
        <v>125</v>
      </c>
      <c r="C36" s="4" t="s">
        <v>17</v>
      </c>
      <c r="D36" s="4" t="s">
        <v>126</v>
      </c>
      <c r="E36" s="4" t="s">
        <v>19</v>
      </c>
      <c r="F36" s="5">
        <f>IFERROR(INDEX([1]raw_data!B:B,MATCH('SAIDI excl MEDs sort (5-yr avg)'!B40,[1]raw_data!A:A,0)),0)</f>
        <v>776.11111100000005</v>
      </c>
      <c r="G36" s="6">
        <f>SUMIFS([1]raw_data!C:C,[1]raw_data!$A:$A,$B36)</f>
        <v>178.919974</v>
      </c>
      <c r="H36" s="7">
        <f>SUMIFS([1]raw_data!D:D,[1]raw_data!$A:$A,$B36)</f>
        <v>1.0380333951762499</v>
      </c>
      <c r="I36" s="6">
        <f>SUMIFS([1]raw_data!E:E,[1]raw_data!$A:$A,$B36)</f>
        <v>178.919974</v>
      </c>
      <c r="J36" s="7">
        <f>SUMIFS([1]raw_data!F:F,[1]raw_data!$A:$A,$B36)</f>
        <v>1.0380333951762499</v>
      </c>
      <c r="K36" s="6">
        <f>SUMIFS([1]raw_data!G:G,[1]raw_data!$A:$A,$B36)</f>
        <v>638.49035800000001</v>
      </c>
      <c r="L36" s="7">
        <f>SUMIFS([1]raw_data!H:H,[1]raw_data!$A:$A,$B36)</f>
        <v>2.0253411306042799</v>
      </c>
      <c r="M36" s="6">
        <f>SUMIFS([1]raw_data!I:I,[1]raw_data!$A:$A,$B36)</f>
        <v>636.813265</v>
      </c>
      <c r="N36" s="7">
        <f>SUMIFS([1]raw_data!J:J,[1]raw_data!$A:$A,$B36)</f>
        <v>2.0233918128654902</v>
      </c>
      <c r="O36" s="6">
        <f>SUMIFS([1]raw_data!K:K,[1]raw_data!$A:$A,$B36)</f>
        <v>154.49297300000001</v>
      </c>
      <c r="P36" s="7">
        <f>SUMIFS([1]raw_data!L:L,[1]raw_data!$A:$A,$B36)</f>
        <v>1.0253164556962</v>
      </c>
      <c r="Q36" s="6">
        <f>SUMIFS([1]raw_data!M:M,[1]raw_data!$A:$A,$B36)</f>
        <v>154.49297300000001</v>
      </c>
      <c r="R36" s="7">
        <f>SUMIFS([1]raw_data!N:N,[1]raw_data!$A:$A,$B36)</f>
        <v>1.0253164556962</v>
      </c>
      <c r="S36" s="6">
        <f>SUMIFS([1]raw_data!O:O,[1]raw_data!$A:$A,$B36)</f>
        <v>141.56959900000001</v>
      </c>
      <c r="T36" s="7">
        <f>SUMIFS([1]raw_data!P:P,[1]raw_data!$A:$A,$B36)</f>
        <v>1.0048875855327399</v>
      </c>
      <c r="U36" s="6">
        <f>SUMIFS([1]raw_data!Q:Q,[1]raw_data!$A:$A,$B36)</f>
        <v>141.56959900000001</v>
      </c>
      <c r="V36" s="7">
        <f>SUMIFS([1]raw_data!R:R,[1]raw_data!$A:$A,$B36)</f>
        <v>1.0048875855327399</v>
      </c>
      <c r="W36" s="6">
        <f>SUMIFS([1]raw_data!S:S,[1]raw_data!$A:$A,$B36)</f>
        <v>3.5634999999999999</v>
      </c>
      <c r="X36" s="7">
        <f>SUMIFS([1]raw_data!T:T,[1]raw_data!$A:$A,$B36)</f>
        <v>2.8815368196371299E-2</v>
      </c>
      <c r="Y36" s="6">
        <f>SUMIFS([1]raw_data!U:U,[1]raw_data!$A:$A,$B36)</f>
        <v>3.5634999999999999</v>
      </c>
      <c r="Z36" s="7">
        <f>SUMIFS([1]raw_data!V:V,[1]raw_data!$A:$A,$B36)</f>
        <v>2.8815368196371299E-2</v>
      </c>
      <c r="AA36" s="4">
        <f t="shared" si="0"/>
        <v>223.0718622</v>
      </c>
    </row>
    <row r="37" spans="1:30" x14ac:dyDescent="0.25">
      <c r="A37" s="35"/>
      <c r="B37" s="4" t="s">
        <v>127</v>
      </c>
      <c r="C37" s="4" t="s">
        <v>128</v>
      </c>
      <c r="D37" s="4" t="s">
        <v>129</v>
      </c>
      <c r="E37" s="4" t="s">
        <v>15</v>
      </c>
      <c r="F37" s="5">
        <f>IFERROR(INDEX([1]raw_data!B:B,MATCH('SAIDI excl MEDs sort (5-yr avg)'!B6,[1]raw_data!A:A,0)),0)</f>
        <v>320.2</v>
      </c>
      <c r="G37" s="6">
        <f>SUMIFS([1]raw_data!C:C,[1]raw_data!$A:$A,$B37)</f>
        <v>809.63928899999996</v>
      </c>
      <c r="H37" s="7">
        <f>SUMIFS([1]raw_data!D:D,[1]raw_data!$A:$A,$B37)</f>
        <v>1.1122641509433899</v>
      </c>
      <c r="I37" s="6">
        <f>SUMIFS([1]raw_data!E:E,[1]raw_data!$A:$A,$B37)</f>
        <v>767.66959699999995</v>
      </c>
      <c r="J37" s="7">
        <f>SUMIFS([1]raw_data!F:F,[1]raw_data!$A:$A,$B37)</f>
        <v>1.09245283018867</v>
      </c>
      <c r="K37" s="6">
        <f>SUMIFS([1]raw_data!G:G,[1]raw_data!$A:$A,$B37)</f>
        <v>73.691917000000004</v>
      </c>
      <c r="L37" s="7">
        <f>SUMIFS([1]raw_data!H:H,[1]raw_data!$A:$A,$B37)</f>
        <v>0.158135283363802</v>
      </c>
      <c r="M37" s="6">
        <f>SUMIFS([1]raw_data!I:I,[1]raw_data!$A:$A,$B37)</f>
        <v>42.336725999999999</v>
      </c>
      <c r="N37" s="7">
        <f>SUMIFS([1]raw_data!J:J,[1]raw_data!$A:$A,$B37)</f>
        <v>0.122486288848263</v>
      </c>
      <c r="O37" s="6">
        <f>SUMIFS([1]raw_data!K:K,[1]raw_data!$A:$A,$B37)</f>
        <v>71.744871000000003</v>
      </c>
      <c r="P37" s="7">
        <f>SUMIFS([1]raw_data!L:L,[1]raw_data!$A:$A,$B37)</f>
        <v>0.27014652014652002</v>
      </c>
      <c r="Q37" s="6">
        <f>SUMIFS([1]raw_data!M:M,[1]raw_data!$A:$A,$B37)</f>
        <v>43.205204000000002</v>
      </c>
      <c r="R37" s="7">
        <f>SUMIFS([1]raw_data!N:N,[1]raw_data!$A:$A,$B37)</f>
        <v>0.19047619047618999</v>
      </c>
      <c r="S37" s="6">
        <f>SUMIFS([1]raw_data!O:O,[1]raw_data!$A:$A,$B37)</f>
        <v>83.923342000000005</v>
      </c>
      <c r="T37" s="7">
        <f>SUMIFS([1]raw_data!P:P,[1]raw_data!$A:$A,$B37)</f>
        <v>0.40810556079170501</v>
      </c>
      <c r="U37" s="6">
        <f>SUMIFS([1]raw_data!Q:Q,[1]raw_data!$A:$A,$B37)</f>
        <v>83.923342000000005</v>
      </c>
      <c r="V37" s="7">
        <f>SUMIFS([1]raw_data!R:R,[1]raw_data!$A:$A,$B37)</f>
        <v>0.40810556079170501</v>
      </c>
      <c r="W37" s="6">
        <f>SUMIFS([1]raw_data!S:S,[1]raw_data!$A:$A,$B37)</f>
        <v>108.711893</v>
      </c>
      <c r="X37" s="7">
        <f>SUMIFS([1]raw_data!T:T,[1]raw_data!$A:$A,$B37)</f>
        <v>0.374769797421731</v>
      </c>
      <c r="Y37" s="6">
        <f>SUMIFS([1]raw_data!U:U,[1]raw_data!$A:$A,$B37)</f>
        <v>107.61727999999999</v>
      </c>
      <c r="Z37" s="7">
        <f>SUMIFS([1]raw_data!V:V,[1]raw_data!$A:$A,$B37)</f>
        <v>0.373848987108655</v>
      </c>
      <c r="AA37" s="4">
        <f t="shared" si="0"/>
        <v>208.95042979999999</v>
      </c>
    </row>
    <row r="38" spans="1:30" x14ac:dyDescent="0.25">
      <c r="A38" s="35"/>
      <c r="B38" s="4" t="s">
        <v>130</v>
      </c>
      <c r="C38" s="4" t="s">
        <v>86</v>
      </c>
      <c r="D38" s="4" t="s">
        <v>131</v>
      </c>
      <c r="E38" s="4" t="s">
        <v>31</v>
      </c>
      <c r="F38" s="5">
        <f>IFERROR(INDEX([1]raw_data!B:B,MATCH('SAIDI excl MEDs sort (5-yr avg)'!B43,[1]raw_data!A:A,0)),0)</f>
        <v>1018.142857</v>
      </c>
      <c r="G38" s="6">
        <f>SUMIFS([1]raw_data!C:C,[1]raw_data!$A:$A,$B38)</f>
        <v>2342.7303619999998</v>
      </c>
      <c r="H38" s="7">
        <f>SUMIFS([1]raw_data!D:D,[1]raw_data!$A:$A,$B38)</f>
        <v>2.1749136939010301</v>
      </c>
      <c r="I38" s="6">
        <f>SUMIFS([1]raw_data!E:E,[1]raw_data!$A:$A,$B38)</f>
        <v>160.19562099999999</v>
      </c>
      <c r="J38" s="7">
        <f>SUMIFS([1]raw_data!F:F,[1]raw_data!$A:$A,$B38)</f>
        <v>1.18642117376294</v>
      </c>
      <c r="K38" s="6">
        <f>SUMIFS([1]raw_data!G:G,[1]raw_data!$A:$A,$B38)</f>
        <v>144.38390699999999</v>
      </c>
      <c r="L38" s="7">
        <f>SUMIFS([1]raw_data!H:H,[1]raw_data!$A:$A,$B38)</f>
        <v>0.643433179723502</v>
      </c>
      <c r="M38" s="6">
        <f>SUMIFS([1]raw_data!I:I,[1]raw_data!$A:$A,$B38)</f>
        <v>75.302671000000004</v>
      </c>
      <c r="N38" s="7">
        <f>SUMIFS([1]raw_data!J:J,[1]raw_data!$A:$A,$B38)</f>
        <v>0.62384792626728103</v>
      </c>
      <c r="O38" s="6">
        <f>SUMIFS([1]raw_data!K:K,[1]raw_data!$A:$A,$B38)</f>
        <v>2143.7532409999999</v>
      </c>
      <c r="P38" s="7">
        <f>SUMIFS([1]raw_data!L:L,[1]raw_data!$A:$A,$B38)</f>
        <v>1.2723112128146401</v>
      </c>
      <c r="Q38" s="6">
        <f>SUMIFS([1]raw_data!M:M,[1]raw_data!$A:$A,$B38)</f>
        <v>78.417467000000002</v>
      </c>
      <c r="R38" s="7">
        <f>SUMIFS([1]raw_data!N:N,[1]raw_data!$A:$A,$B38)</f>
        <v>0.33237986270022801</v>
      </c>
      <c r="S38" s="6">
        <f>SUMIFS([1]raw_data!O:O,[1]raw_data!$A:$A,$B38)</f>
        <v>439.323373</v>
      </c>
      <c r="T38" s="7">
        <f>SUMIFS([1]raw_data!P:P,[1]raw_data!$A:$A,$B38)</f>
        <v>3.1780185758513899</v>
      </c>
      <c r="U38" s="6">
        <f>SUMIFS([1]raw_data!Q:Q,[1]raw_data!$A:$A,$B38)</f>
        <v>425.32118100000002</v>
      </c>
      <c r="V38" s="7">
        <f>SUMIFS([1]raw_data!R:R,[1]raw_data!$A:$A,$B38)</f>
        <v>3.1341589267285799</v>
      </c>
      <c r="W38" s="6">
        <f>SUMIFS([1]raw_data!S:S,[1]raw_data!$A:$A,$B38)</f>
        <v>311.86291199999999</v>
      </c>
      <c r="X38" s="7">
        <f>SUMIFS([1]raw_data!T:T,[1]raw_data!$A:$A,$B38)</f>
        <v>1.36556735606484</v>
      </c>
      <c r="Y38" s="6">
        <f>SUMIFS([1]raw_data!U:U,[1]raw_data!$A:$A,$B38)</f>
        <v>302.95351199999999</v>
      </c>
      <c r="Z38" s="7">
        <f>SUMIFS([1]raw_data!V:V,[1]raw_data!$A:$A,$B38)</f>
        <v>1.3482392397987699</v>
      </c>
      <c r="AA38" s="4">
        <f t="shared" si="0"/>
        <v>208.43809040000002</v>
      </c>
    </row>
    <row r="39" spans="1:30" x14ac:dyDescent="0.25">
      <c r="A39" s="35"/>
      <c r="B39" s="4" t="s">
        <v>132</v>
      </c>
      <c r="C39" s="4" t="s">
        <v>133</v>
      </c>
      <c r="D39" s="4" t="s">
        <v>134</v>
      </c>
      <c r="E39" s="4" t="s">
        <v>19</v>
      </c>
      <c r="F39" s="5">
        <f>IFERROR(INDEX([1]raw_data!B:B,MATCH('SAIDI excl MEDs sort (5-yr avg)'!B26,[1]raw_data!A:A,0)),0)</f>
        <v>1511.8</v>
      </c>
      <c r="G39" s="6">
        <f>SUMIFS([1]raw_data!C:C,[1]raw_data!$A:$A,$B39)</f>
        <v>248.72991099999999</v>
      </c>
      <c r="H39" s="7">
        <f>SUMIFS([1]raw_data!D:D,[1]raw_data!$A:$A,$B39)</f>
        <v>1.6716417910447701</v>
      </c>
      <c r="I39" s="6">
        <f>SUMIFS([1]raw_data!E:E,[1]raw_data!$A:$A,$B39)</f>
        <v>248.72991099999999</v>
      </c>
      <c r="J39" s="7">
        <f>SUMIFS([1]raw_data!F:F,[1]raw_data!$A:$A,$B39)</f>
        <v>1.6716417910447701</v>
      </c>
      <c r="K39" s="6">
        <f>SUMIFS([1]raw_data!G:G,[1]raw_data!$A:$A,$B39)</f>
        <v>749.26772800000003</v>
      </c>
      <c r="L39" s="7">
        <f>SUMIFS([1]raw_data!H:H,[1]raw_data!$A:$A,$B39)</f>
        <v>1.05633802816901</v>
      </c>
      <c r="M39" s="6">
        <f>SUMIFS([1]raw_data!I:I,[1]raw_data!$A:$A,$B39)</f>
        <v>749.26772800000003</v>
      </c>
      <c r="N39" s="7">
        <f>SUMIFS([1]raw_data!J:J,[1]raw_data!$A:$A,$B39)</f>
        <v>1.05633802816901</v>
      </c>
      <c r="O39" s="6">
        <f>SUMIFS([1]raw_data!K:K,[1]raw_data!$A:$A,$B39)</f>
        <v>9.7314539999999994</v>
      </c>
      <c r="P39" s="7">
        <f>SUMIFS([1]raw_data!L:L,[1]raw_data!$A:$A,$B39)</f>
        <v>5.6338028169014003E-2</v>
      </c>
      <c r="Q39" s="6">
        <f>SUMIFS([1]raw_data!M:M,[1]raw_data!$A:$A,$B39)</f>
        <v>8.884976</v>
      </c>
      <c r="R39" s="7">
        <f>SUMIFS([1]raw_data!N:N,[1]raw_data!$A:$A,$B39)</f>
        <v>4.22535211267605E-2</v>
      </c>
      <c r="S39" s="6">
        <f>SUMIFS([1]raw_data!O:O,[1]raw_data!$A:$A,$B39)</f>
        <v>1.8807510000000001</v>
      </c>
      <c r="T39" s="7">
        <f>SUMIFS([1]raw_data!P:P,[1]raw_data!$A:$A,$B39)</f>
        <v>2.8169014084507001E-2</v>
      </c>
      <c r="U39" s="6">
        <f>SUMIFS([1]raw_data!Q:Q,[1]raw_data!$A:$A,$B39)</f>
        <v>1.8807510000000001</v>
      </c>
      <c r="V39" s="7">
        <f>SUMIFS([1]raw_data!R:R,[1]raw_data!$A:$A,$B39)</f>
        <v>2.8169014084507001E-2</v>
      </c>
      <c r="W39" s="6">
        <f>SUMIFS([1]raw_data!S:S,[1]raw_data!$A:$A,$B39)</f>
        <v>8.3200479999999999</v>
      </c>
      <c r="X39" s="7">
        <f>SUMIFS([1]raw_data!T:T,[1]raw_data!$A:$A,$B39)</f>
        <v>4.3478260869565202E-2</v>
      </c>
      <c r="Y39" s="6">
        <f>SUMIFS([1]raw_data!U:U,[1]raw_data!$A:$A,$B39)</f>
        <v>8.3200479999999999</v>
      </c>
      <c r="Z39" s="7">
        <f>SUMIFS([1]raw_data!V:V,[1]raw_data!$A:$A,$B39)</f>
        <v>4.3478260869565202E-2</v>
      </c>
      <c r="AA39" s="4">
        <f t="shared" si="0"/>
        <v>203.41668280000005</v>
      </c>
    </row>
    <row r="40" spans="1:30" x14ac:dyDescent="0.25">
      <c r="A40" s="35"/>
      <c r="B40" s="4" t="s">
        <v>135</v>
      </c>
      <c r="C40" s="4" t="s">
        <v>17</v>
      </c>
      <c r="D40" s="4" t="s">
        <v>136</v>
      </c>
      <c r="E40" s="4" t="s">
        <v>19</v>
      </c>
      <c r="F40" s="5">
        <f>IFERROR(INDEX([1]raw_data!B:B,MATCH('SAIDI excl MEDs sort (5-yr avg)'!B121,[1]raw_data!A:A,0)),0)</f>
        <v>1757.6</v>
      </c>
      <c r="G40" s="6">
        <f>SUMIFS([1]raw_data!C:C,[1]raw_data!$A:$A,$B40)</f>
        <v>30.099985</v>
      </c>
      <c r="H40" s="7">
        <f>SUMIFS([1]raw_data!D:D,[1]raw_data!$A:$A,$B40)</f>
        <v>0.111665004985044</v>
      </c>
      <c r="I40" s="6">
        <f>SUMIFS([1]raw_data!E:E,[1]raw_data!$A:$A,$B40)</f>
        <v>18.608654000000001</v>
      </c>
      <c r="J40" s="7">
        <f>SUMIFS([1]raw_data!F:F,[1]raw_data!$A:$A,$B40)</f>
        <v>0.101694915254237</v>
      </c>
      <c r="K40" s="6">
        <f>SUMIFS([1]raw_data!G:G,[1]raw_data!$A:$A,$B40)</f>
        <v>217.15977899999999</v>
      </c>
      <c r="L40" s="7">
        <f>SUMIFS([1]raw_data!H:H,[1]raw_data!$A:$A,$B40)</f>
        <v>2.4722222222222201</v>
      </c>
      <c r="M40" s="6">
        <f>SUMIFS([1]raw_data!I:I,[1]raw_data!$A:$A,$B40)</f>
        <v>213.00673599999999</v>
      </c>
      <c r="N40" s="7">
        <f>SUMIFS([1]raw_data!J:J,[1]raw_data!$A:$A,$B40)</f>
        <v>2.4412393162393098</v>
      </c>
      <c r="O40" s="6">
        <f>SUMIFS([1]raw_data!K:K,[1]raw_data!$A:$A,$B40)</f>
        <v>846.075109</v>
      </c>
      <c r="P40" s="7">
        <f>SUMIFS([1]raw_data!L:L,[1]raw_data!$A:$A,$B40)</f>
        <v>1.2838323353293399</v>
      </c>
      <c r="Q40" s="6">
        <f>SUMIFS([1]raw_data!M:M,[1]raw_data!$A:$A,$B40)</f>
        <v>133.36572799999999</v>
      </c>
      <c r="R40" s="7">
        <f>SUMIFS([1]raw_data!N:N,[1]raw_data!$A:$A,$B40)</f>
        <v>1.1017964071856201</v>
      </c>
      <c r="S40" s="6">
        <f>SUMIFS([1]raw_data!O:O,[1]raw_data!$A:$A,$B40)</f>
        <v>162.152018</v>
      </c>
      <c r="T40" s="7">
        <f>SUMIFS([1]raw_data!P:P,[1]raw_data!$A:$A,$B40)</f>
        <v>1.2435105067985099</v>
      </c>
      <c r="U40" s="6">
        <f>SUMIFS([1]raw_data!Q:Q,[1]raw_data!$A:$A,$B40)</f>
        <v>162.152018</v>
      </c>
      <c r="V40" s="7">
        <f>SUMIFS([1]raw_data!R:R,[1]raw_data!$A:$A,$B40)</f>
        <v>1.2435105067985099</v>
      </c>
      <c r="W40" s="6">
        <f>SUMIFS([1]raw_data!S:S,[1]raw_data!$A:$A,$B40)</f>
        <v>574.39570000000003</v>
      </c>
      <c r="X40" s="7">
        <f>SUMIFS([1]raw_data!T:T,[1]raw_data!$A:$A,$B40)</f>
        <v>3.0923566878980799</v>
      </c>
      <c r="Y40" s="6">
        <f>SUMIFS([1]raw_data!U:U,[1]raw_data!$A:$A,$B40)</f>
        <v>482.99888499999997</v>
      </c>
      <c r="Z40" s="7">
        <f>SUMIFS([1]raw_data!V:V,[1]raw_data!$A:$A,$B40)</f>
        <v>2.96815286624203</v>
      </c>
      <c r="AA40" s="4">
        <f t="shared" si="0"/>
        <v>202.02640419999997</v>
      </c>
    </row>
    <row r="41" spans="1:30" ht="14.45" customHeight="1" x14ac:dyDescent="0.25">
      <c r="A41" s="38" t="s">
        <v>137</v>
      </c>
      <c r="B41" s="17" t="s">
        <v>138</v>
      </c>
      <c r="C41" s="17" t="s">
        <v>139</v>
      </c>
      <c r="D41" s="17" t="s">
        <v>140</v>
      </c>
      <c r="E41" s="17" t="s">
        <v>19</v>
      </c>
      <c r="F41" s="18">
        <f>IFERROR(INDEX([1]raw_data!B:B,MATCH('SAIDI excl MEDs sort (5-yr avg)'!B138,[1]raw_data!A:A,0)),0)</f>
        <v>1921</v>
      </c>
      <c r="G41" s="19">
        <f>SUMIFS([1]raw_data!C:C,[1]raw_data!$A:$A,$B41)</f>
        <v>10.77075</v>
      </c>
      <c r="H41" s="20">
        <f>SUMIFS([1]raw_data!D:D,[1]raw_data!$A:$A,$B41)</f>
        <v>5.6350626118067897E-2</v>
      </c>
      <c r="I41" s="19">
        <f>SUMIFS([1]raw_data!E:E,[1]raw_data!$A:$A,$B41)</f>
        <v>9.8672620000000002</v>
      </c>
      <c r="J41" s="20">
        <f>SUMIFS([1]raw_data!F:F,[1]raw_data!$A:$A,$B41)</f>
        <v>5.5456171735241498E-2</v>
      </c>
      <c r="K41" s="19">
        <f>SUMIFS([1]raw_data!G:G,[1]raw_data!$A:$A,$B41)</f>
        <v>395.03999700000003</v>
      </c>
      <c r="L41" s="20">
        <f>SUMIFS([1]raw_data!H:H,[1]raw_data!$A:$A,$B41)</f>
        <v>0.49808795411089801</v>
      </c>
      <c r="M41" s="19">
        <f>SUMIFS([1]raw_data!I:I,[1]raw_data!$A:$A,$B41)</f>
        <v>49.360008000000001</v>
      </c>
      <c r="N41" s="20">
        <f>SUMIFS([1]raw_data!J:J,[1]raw_data!$A:$A,$B41)</f>
        <v>0.19024856596558301</v>
      </c>
      <c r="O41" s="19">
        <f>SUMIFS([1]raw_data!K:K,[1]raw_data!$A:$A,$B41)</f>
        <v>116.53115</v>
      </c>
      <c r="P41" s="20">
        <f>SUMIFS([1]raw_data!L:L,[1]raw_data!$A:$A,$B41)</f>
        <v>0.24952561669829201</v>
      </c>
      <c r="Q41" s="19">
        <f>SUMIFS([1]raw_data!M:M,[1]raw_data!$A:$A,$B41)</f>
        <v>13.585594</v>
      </c>
      <c r="R41" s="20">
        <f>SUMIFS([1]raw_data!N:N,[1]raw_data!$A:$A,$B41)</f>
        <v>0.18785578747628001</v>
      </c>
      <c r="S41" s="19">
        <f>SUMIFS([1]raw_data!O:O,[1]raw_data!$A:$A,$B41)</f>
        <v>751.58055200000001</v>
      </c>
      <c r="T41" s="20">
        <f>SUMIFS([1]raw_data!P:P,[1]raw_data!$A:$A,$B41)</f>
        <v>3.2374877330716298</v>
      </c>
      <c r="U41" s="19">
        <f>SUMIFS([1]raw_data!Q:Q,[1]raw_data!$A:$A,$B41)</f>
        <v>164.308325</v>
      </c>
      <c r="V41" s="20">
        <f>SUMIFS([1]raw_data!R:R,[1]raw_data!$A:$A,$B41)</f>
        <v>2.17762512266928</v>
      </c>
      <c r="W41" s="19">
        <f>SUMIFS([1]raw_data!S:S,[1]raw_data!$A:$A,$B41)</f>
        <v>1475.838847</v>
      </c>
      <c r="X41" s="20">
        <f>SUMIFS([1]raw_data!T:T,[1]raw_data!$A:$A,$B41)</f>
        <v>1.8357843137254899</v>
      </c>
      <c r="Y41" s="19">
        <f>SUMIFS([1]raw_data!U:U,[1]raw_data!$A:$A,$B41)</f>
        <v>711.42790000000002</v>
      </c>
      <c r="Z41" s="20">
        <f>SUMIFS([1]raw_data!V:V,[1]raw_data!$A:$A,$B41)</f>
        <v>1.56617647058823</v>
      </c>
      <c r="AA41" s="17">
        <f t="shared" si="0"/>
        <v>189.70981780000002</v>
      </c>
      <c r="AC41" t="s">
        <v>27</v>
      </c>
      <c r="AD41">
        <f>COUNTIF(E41:E75,"Muskegon")</f>
        <v>6</v>
      </c>
    </row>
    <row r="42" spans="1:30" x14ac:dyDescent="0.25">
      <c r="A42" s="38"/>
      <c r="B42" s="17" t="s">
        <v>141</v>
      </c>
      <c r="C42" s="17" t="s">
        <v>118</v>
      </c>
      <c r="D42" s="17" t="s">
        <v>142</v>
      </c>
      <c r="E42" s="17" t="s">
        <v>27</v>
      </c>
      <c r="F42" s="18">
        <f>IFERROR(INDEX([1]raw_data!B:B,MATCH('SAIDI excl MEDs sort (5-yr avg)'!B21,[1]raw_data!A:A,0)),0)</f>
        <v>551</v>
      </c>
      <c r="G42" s="19">
        <f>SUMIFS([1]raw_data!C:C,[1]raw_data!$A:$A,$B42)</f>
        <v>1048.904835</v>
      </c>
      <c r="H42" s="20">
        <f>SUMIFS([1]raw_data!D:D,[1]raw_data!$A:$A,$B42)</f>
        <v>4.4356846473029004</v>
      </c>
      <c r="I42" s="19">
        <f>SUMIFS([1]raw_data!E:E,[1]raw_data!$A:$A,$B42)</f>
        <v>270.25654800000001</v>
      </c>
      <c r="J42" s="20">
        <f>SUMIFS([1]raw_data!F:F,[1]raw_data!$A:$A,$B42)</f>
        <v>3.3941908713692901</v>
      </c>
      <c r="K42" s="19">
        <f>SUMIFS([1]raw_data!G:G,[1]raw_data!$A:$A,$B42)</f>
        <v>409.02141899999998</v>
      </c>
      <c r="L42" s="20">
        <f>SUMIFS([1]raw_data!H:H,[1]raw_data!$A:$A,$B42)</f>
        <v>0.530612244897959</v>
      </c>
      <c r="M42" s="19">
        <f>SUMIFS([1]raw_data!I:I,[1]raw_data!$A:$A,$B42)</f>
        <v>26.989559</v>
      </c>
      <c r="N42" s="20">
        <f>SUMIFS([1]raw_data!J:J,[1]raw_data!$A:$A,$B42)</f>
        <v>0.10018552875695701</v>
      </c>
      <c r="O42" s="19">
        <f>SUMIFS([1]raw_data!K:K,[1]raw_data!$A:$A,$B42)</f>
        <v>131.77793199999999</v>
      </c>
      <c r="P42" s="20">
        <f>SUMIFS([1]raw_data!L:L,[1]raw_data!$A:$A,$B42)</f>
        <v>0.49208566108007401</v>
      </c>
      <c r="Q42" s="19">
        <f>SUMIFS([1]raw_data!M:M,[1]raw_data!$A:$A,$B42)</f>
        <v>68.937336999999999</v>
      </c>
      <c r="R42" s="20">
        <f>SUMIFS([1]raw_data!N:N,[1]raw_data!$A:$A,$B42)</f>
        <v>0.47811918063314701</v>
      </c>
      <c r="S42" s="19">
        <f>SUMIFS([1]raw_data!O:O,[1]raw_data!$A:$A,$B42)</f>
        <v>385.06124</v>
      </c>
      <c r="T42" s="20">
        <f>SUMIFS([1]raw_data!P:P,[1]raw_data!$A:$A,$B42)</f>
        <v>2.8690364826941002</v>
      </c>
      <c r="U42" s="19">
        <f>SUMIFS([1]raw_data!Q:Q,[1]raw_data!$A:$A,$B42)</f>
        <v>308.40105999999997</v>
      </c>
      <c r="V42" s="20">
        <f>SUMIFS([1]raw_data!R:R,[1]raw_data!$A:$A,$B42)</f>
        <v>2.8288119738072899</v>
      </c>
      <c r="W42" s="19">
        <f>SUMIFS([1]raw_data!S:S,[1]raw_data!$A:$A,$B42)</f>
        <v>289.29815500000001</v>
      </c>
      <c r="X42" s="20">
        <f>SUMIFS([1]raw_data!T:T,[1]raw_data!$A:$A,$B42)</f>
        <v>1.3432203389830499</v>
      </c>
      <c r="Y42" s="19">
        <f>SUMIFS([1]raw_data!U:U,[1]raw_data!$A:$A,$B42)</f>
        <v>267.895197</v>
      </c>
      <c r="Z42" s="20">
        <f>SUMIFS([1]raw_data!V:V,[1]raw_data!$A:$A,$B42)</f>
        <v>1.28436911487758</v>
      </c>
      <c r="AA42" s="17">
        <f t="shared" si="0"/>
        <v>188.49594020000001</v>
      </c>
      <c r="AC42" t="s">
        <v>76</v>
      </c>
      <c r="AD42">
        <f>COUNTIF(E41:E75,"Jackson")</f>
        <v>2</v>
      </c>
    </row>
    <row r="43" spans="1:30" x14ac:dyDescent="0.25">
      <c r="A43" s="38"/>
      <c r="B43" s="17" t="s">
        <v>143</v>
      </c>
      <c r="C43" s="17" t="s">
        <v>13</v>
      </c>
      <c r="D43" s="17" t="s">
        <v>144</v>
      </c>
      <c r="E43" s="17" t="s">
        <v>15</v>
      </c>
      <c r="F43" s="18">
        <f>IFERROR(INDEX([1]raw_data!B:B,MATCH('SAIDI excl MEDs sort (5-yr avg)'!B10,[1]raw_data!A:A,0)),0)</f>
        <v>1213.4000000000001</v>
      </c>
      <c r="G43" s="19">
        <f>SUMIFS([1]raw_data!C:C,[1]raw_data!$A:$A,$B43)</f>
        <v>0</v>
      </c>
      <c r="H43" s="20">
        <f>SUMIFS([1]raw_data!D:D,[1]raw_data!$A:$A,$B43)</f>
        <v>0</v>
      </c>
      <c r="I43" s="19">
        <f>SUMIFS([1]raw_data!E:E,[1]raw_data!$A:$A,$B43)</f>
        <v>0</v>
      </c>
      <c r="J43" s="20">
        <f>SUMIFS([1]raw_data!F:F,[1]raw_data!$A:$A,$B43)</f>
        <v>0</v>
      </c>
      <c r="K43" s="19">
        <f>SUMIFS([1]raw_data!G:G,[1]raw_data!$A:$A,$B43)</f>
        <v>12.553623</v>
      </c>
      <c r="L43" s="20">
        <f>SUMIFS([1]raw_data!H:H,[1]raw_data!$A:$A,$B43)</f>
        <v>9.6933728981206696E-2</v>
      </c>
      <c r="M43" s="19">
        <f>SUMIFS([1]raw_data!I:I,[1]raw_data!$A:$A,$B43)</f>
        <v>12.553623</v>
      </c>
      <c r="N43" s="20">
        <f>SUMIFS([1]raw_data!J:J,[1]raw_data!$A:$A,$B43)</f>
        <v>9.6933728981206696E-2</v>
      </c>
      <c r="O43" s="19">
        <f>SUMIFS([1]raw_data!K:K,[1]raw_data!$A:$A,$B43)</f>
        <v>841.91646800000001</v>
      </c>
      <c r="P43" s="20">
        <f>SUMIFS([1]raw_data!L:L,[1]raw_data!$A:$A,$B43)</f>
        <v>1.3498023715415</v>
      </c>
      <c r="Q43" s="19">
        <f>SUMIFS([1]raw_data!M:M,[1]raw_data!$A:$A,$B43)</f>
        <v>336.91172499999999</v>
      </c>
      <c r="R43" s="20">
        <f>SUMIFS([1]raw_data!N:N,[1]raw_data!$A:$A,$B43)</f>
        <v>0.66501976284584896</v>
      </c>
      <c r="S43" s="19">
        <f>SUMIFS([1]raw_data!O:O,[1]raw_data!$A:$A,$B43)</f>
        <v>467.42169899999999</v>
      </c>
      <c r="T43" s="20">
        <f>SUMIFS([1]raw_data!P:P,[1]raw_data!$A:$A,$B43)</f>
        <v>1.67745098039215</v>
      </c>
      <c r="U43" s="19">
        <f>SUMIFS([1]raw_data!Q:Q,[1]raw_data!$A:$A,$B43)</f>
        <v>166.819052</v>
      </c>
      <c r="V43" s="20">
        <f>SUMIFS([1]raw_data!R:R,[1]raw_data!$A:$A,$B43)</f>
        <v>1.35196078431372</v>
      </c>
      <c r="W43" s="19">
        <f>SUMIFS([1]raw_data!S:S,[1]raw_data!$A:$A,$B43)</f>
        <v>612.37649299999998</v>
      </c>
      <c r="X43" s="20">
        <f>SUMIFS([1]raw_data!T:T,[1]raw_data!$A:$A,$B43)</f>
        <v>1.4746588693957099</v>
      </c>
      <c r="Y43" s="19">
        <f>SUMIFS([1]raw_data!U:U,[1]raw_data!$A:$A,$B43)</f>
        <v>425.77909299999999</v>
      </c>
      <c r="Z43" s="20">
        <f>SUMIFS([1]raw_data!V:V,[1]raw_data!$A:$A,$B43)</f>
        <v>1.39766081871345</v>
      </c>
      <c r="AA43" s="17">
        <f t="shared" si="0"/>
        <v>188.4126986</v>
      </c>
      <c r="AC43" t="s">
        <v>31</v>
      </c>
      <c r="AD43">
        <f>COUNTIF(E41:E75,"Adrian")</f>
        <v>1</v>
      </c>
    </row>
    <row r="44" spans="1:30" x14ac:dyDescent="0.25">
      <c r="A44" s="38"/>
      <c r="B44" s="17" t="s">
        <v>145</v>
      </c>
      <c r="C44" s="17" t="s">
        <v>81</v>
      </c>
      <c r="D44" s="17" t="s">
        <v>146</v>
      </c>
      <c r="E44" s="17" t="s">
        <v>15</v>
      </c>
      <c r="F44" s="18">
        <f>IFERROR(INDEX([1]raw_data!B:B,MATCH('SAIDI excl MEDs sort (5-yr avg)'!B97,[1]raw_data!A:A,0)),0)</f>
        <v>561.66666599999996</v>
      </c>
      <c r="G44" s="19">
        <f>SUMIFS([1]raw_data!C:C,[1]raw_data!$A:$A,$B44)</f>
        <v>50.901814000000002</v>
      </c>
      <c r="H44" s="20">
        <f>SUMIFS([1]raw_data!D:D,[1]raw_data!$A:$A,$B44)</f>
        <v>1.37777777777777</v>
      </c>
      <c r="I44" s="19">
        <f>SUMIFS([1]raw_data!E:E,[1]raw_data!$A:$A,$B44)</f>
        <v>47.139909000000003</v>
      </c>
      <c r="J44" s="20">
        <f>SUMIFS([1]raw_data!F:F,[1]raw_data!$A:$A,$B44)</f>
        <v>1.37037037037037</v>
      </c>
      <c r="K44" s="19">
        <f>SUMIFS([1]raw_data!G:G,[1]raw_data!$A:$A,$B44)</f>
        <v>785.49384799999996</v>
      </c>
      <c r="L44" s="20">
        <f>SUMIFS([1]raw_data!H:H,[1]raw_data!$A:$A,$B44)</f>
        <v>2.7040000000000002</v>
      </c>
      <c r="M44" s="19">
        <f>SUMIFS([1]raw_data!I:I,[1]raw_data!$A:$A,$B44)</f>
        <v>534.26577699999996</v>
      </c>
      <c r="N44" s="20">
        <f>SUMIFS([1]raw_data!J:J,[1]raw_data!$A:$A,$B44)</f>
        <v>2.0895999999999999</v>
      </c>
      <c r="O44" s="19">
        <f>SUMIFS([1]raw_data!K:K,[1]raw_data!$A:$A,$B44)</f>
        <v>90.799387999999993</v>
      </c>
      <c r="P44" s="20">
        <f>SUMIFS([1]raw_data!L:L,[1]raw_data!$A:$A,$B44)</f>
        <v>0.22169059011164199</v>
      </c>
      <c r="Q44" s="19">
        <f>SUMIFS([1]raw_data!M:M,[1]raw_data!$A:$A,$B44)</f>
        <v>79.853296</v>
      </c>
      <c r="R44" s="20">
        <f>SUMIFS([1]raw_data!N:N,[1]raw_data!$A:$A,$B44)</f>
        <v>0.208931419457735</v>
      </c>
      <c r="S44" s="19">
        <f>SUMIFS([1]raw_data!O:O,[1]raw_data!$A:$A,$B44)</f>
        <v>106.890288</v>
      </c>
      <c r="T44" s="20">
        <f>SUMIFS([1]raw_data!P:P,[1]raw_data!$A:$A,$B44)</f>
        <v>1.17656500802568</v>
      </c>
      <c r="U44" s="19">
        <f>SUMIFS([1]raw_data!Q:Q,[1]raw_data!$A:$A,$B44)</f>
        <v>57.344622000000001</v>
      </c>
      <c r="V44" s="20">
        <f>SUMIFS([1]raw_data!R:R,[1]raw_data!$A:$A,$B44)</f>
        <v>0.152487961476725</v>
      </c>
      <c r="W44" s="19">
        <f>SUMIFS([1]raw_data!S:S,[1]raw_data!$A:$A,$B44)</f>
        <v>225.79337000000001</v>
      </c>
      <c r="X44" s="20">
        <f>SUMIFS([1]raw_data!T:T,[1]raw_data!$A:$A,$B44)</f>
        <v>2.2012779552715598</v>
      </c>
      <c r="Y44" s="19">
        <f>SUMIFS([1]raw_data!U:U,[1]raw_data!$A:$A,$B44)</f>
        <v>214.12044700000001</v>
      </c>
      <c r="Z44" s="20">
        <f>SUMIFS([1]raw_data!V:V,[1]raw_data!$A:$A,$B44)</f>
        <v>2.1645367412140502</v>
      </c>
      <c r="AA44" s="17">
        <f t="shared" si="0"/>
        <v>186.54481019999997</v>
      </c>
      <c r="AC44" t="s">
        <v>65</v>
      </c>
      <c r="AD44">
        <f>COUNTIF(E41:E75,"Battle Creek")</f>
        <v>1</v>
      </c>
    </row>
    <row r="45" spans="1:30" x14ac:dyDescent="0.25">
      <c r="A45" s="38"/>
      <c r="B45" s="17" t="s">
        <v>147</v>
      </c>
      <c r="C45" s="17" t="s">
        <v>29</v>
      </c>
      <c r="D45" s="17" t="s">
        <v>148</v>
      </c>
      <c r="E45" s="17" t="s">
        <v>31</v>
      </c>
      <c r="F45" s="18">
        <f>IFERROR(INDEX([1]raw_data!B:B,MATCH('SAIDI excl MEDs sort (5-yr avg)'!B64,[1]raw_data!A:A,0)),0)</f>
        <v>1067.4000000000001</v>
      </c>
      <c r="G45" s="19">
        <f>SUMIFS([1]raw_data!C:C,[1]raw_data!$A:$A,$B45)</f>
        <v>321.18407999999999</v>
      </c>
      <c r="H45" s="20">
        <f>SUMIFS([1]raw_data!D:D,[1]raw_data!$A:$A,$B45)</f>
        <v>0.54536771728748801</v>
      </c>
      <c r="I45" s="19">
        <f>SUMIFS([1]raw_data!E:E,[1]raw_data!$A:$A,$B45)</f>
        <v>105.92225999999999</v>
      </c>
      <c r="J45" s="20">
        <f>SUMIFS([1]raw_data!F:F,[1]raw_data!$A:$A,$B45)</f>
        <v>0.44317096466093597</v>
      </c>
      <c r="K45" s="19">
        <f>SUMIFS([1]raw_data!G:G,[1]raw_data!$A:$A,$B45)</f>
        <v>153.20786899999999</v>
      </c>
      <c r="L45" s="20">
        <f>SUMIFS([1]raw_data!H:H,[1]raw_data!$A:$A,$B45)</f>
        <v>3.1434034416826</v>
      </c>
      <c r="M45" s="19">
        <f>SUMIFS([1]raw_data!I:I,[1]raw_data!$A:$A,$B45)</f>
        <v>125.70417399999999</v>
      </c>
      <c r="N45" s="20">
        <f>SUMIFS([1]raw_data!J:J,[1]raw_data!$A:$A,$B45)</f>
        <v>2.1300191204588899</v>
      </c>
      <c r="O45" s="19">
        <f>SUMIFS([1]raw_data!K:K,[1]raw_data!$A:$A,$B45)</f>
        <v>4.6986990000000004</v>
      </c>
      <c r="P45" s="20">
        <f>SUMIFS([1]raw_data!L:L,[1]raw_data!$A:$A,$B45)</f>
        <v>8.1826831588962798E-2</v>
      </c>
      <c r="Q45" s="19">
        <f>SUMIFS([1]raw_data!M:M,[1]raw_data!$A:$A,$B45)</f>
        <v>4.6986990000000004</v>
      </c>
      <c r="R45" s="20">
        <f>SUMIFS([1]raw_data!N:N,[1]raw_data!$A:$A,$B45)</f>
        <v>8.1826831588962798E-2</v>
      </c>
      <c r="S45" s="19">
        <f>SUMIFS([1]raw_data!O:O,[1]raw_data!$A:$A,$B45)</f>
        <v>145.69427099999999</v>
      </c>
      <c r="T45" s="20">
        <f>SUMIFS([1]raw_data!P:P,[1]raw_data!$A:$A,$B45)</f>
        <v>1.21186440677966</v>
      </c>
      <c r="U45" s="19">
        <f>SUMIFS([1]raw_data!Q:Q,[1]raw_data!$A:$A,$B45)</f>
        <v>145.69427099999999</v>
      </c>
      <c r="V45" s="20">
        <f>SUMIFS([1]raw_data!R:R,[1]raw_data!$A:$A,$B45)</f>
        <v>1.21186440677966</v>
      </c>
      <c r="W45" s="19">
        <f>SUMIFS([1]raw_data!S:S,[1]raw_data!$A:$A,$B45)</f>
        <v>543.74017900000001</v>
      </c>
      <c r="X45" s="20">
        <f>SUMIFS([1]raw_data!T:T,[1]raw_data!$A:$A,$B45)</f>
        <v>1.15645013723696</v>
      </c>
      <c r="Y45" s="19">
        <f>SUMIFS([1]raw_data!U:U,[1]raw_data!$A:$A,$B45)</f>
        <v>543.74017900000001</v>
      </c>
      <c r="Z45" s="20">
        <f>SUMIFS([1]raw_data!V:V,[1]raw_data!$A:$A,$B45)</f>
        <v>1.15645013723696</v>
      </c>
      <c r="AA45" s="17">
        <f t="shared" si="0"/>
        <v>185.15191659999999</v>
      </c>
      <c r="AC45" t="s">
        <v>23</v>
      </c>
      <c r="AD45">
        <f>COUNTIF(E41:E75,"Kalamazoo")</f>
        <v>4</v>
      </c>
    </row>
    <row r="46" spans="1:30" x14ac:dyDescent="0.25">
      <c r="A46" s="38"/>
      <c r="B46" s="17" t="s">
        <v>149</v>
      </c>
      <c r="C46" s="17" t="s">
        <v>70</v>
      </c>
      <c r="D46" s="17" t="s">
        <v>150</v>
      </c>
      <c r="E46" s="17" t="s">
        <v>15</v>
      </c>
      <c r="F46" s="18">
        <f>IFERROR(INDEX([1]raw_data!B:B,MATCH('SAIDI excl MEDs sort (5-yr avg)'!B191,[1]raw_data!A:A,0)),0)</f>
        <v>0</v>
      </c>
      <c r="G46" s="19">
        <f>SUMIFS([1]raw_data!C:C,[1]raw_data!$A:$A,$B46)</f>
        <v>0</v>
      </c>
      <c r="H46" s="20">
        <f>SUMIFS([1]raw_data!D:D,[1]raw_data!$A:$A,$B46)</f>
        <v>0</v>
      </c>
      <c r="I46" s="19">
        <f>SUMIFS([1]raw_data!E:E,[1]raw_data!$A:$A,$B46)</f>
        <v>0</v>
      </c>
      <c r="J46" s="20">
        <f>SUMIFS([1]raw_data!F:F,[1]raw_data!$A:$A,$B46)</f>
        <v>0</v>
      </c>
      <c r="K46" s="19">
        <f>SUMIFS([1]raw_data!G:G,[1]raw_data!$A:$A,$B46)</f>
        <v>0</v>
      </c>
      <c r="L46" s="20">
        <f>SUMIFS([1]raw_data!H:H,[1]raw_data!$A:$A,$B46)</f>
        <v>0</v>
      </c>
      <c r="M46" s="19">
        <f>SUMIFS([1]raw_data!I:I,[1]raw_data!$A:$A,$B46)</f>
        <v>0</v>
      </c>
      <c r="N46" s="20">
        <f>SUMIFS([1]raw_data!J:J,[1]raw_data!$A:$A,$B46)</f>
        <v>0</v>
      </c>
      <c r="O46" s="19">
        <f>SUMIFS([1]raw_data!K:K,[1]raw_data!$A:$A,$B46)</f>
        <v>915.52018499999997</v>
      </c>
      <c r="P46" s="20">
        <f>SUMIFS([1]raw_data!L:L,[1]raw_data!$A:$A,$B46)</f>
        <v>4.4555555555555504</v>
      </c>
      <c r="Q46" s="19">
        <f>SUMIFS([1]raw_data!M:M,[1]raw_data!$A:$A,$B46)</f>
        <v>915.52018499999997</v>
      </c>
      <c r="R46" s="20">
        <f>SUMIFS([1]raw_data!N:N,[1]raw_data!$A:$A,$B46)</f>
        <v>4.4555555555555504</v>
      </c>
      <c r="S46" s="19">
        <f>SUMIFS([1]raw_data!O:O,[1]raw_data!$A:$A,$B46)</f>
        <v>1.383146</v>
      </c>
      <c r="T46" s="20">
        <f>SUMIFS([1]raw_data!P:P,[1]raw_data!$A:$A,$B46)</f>
        <v>1.12359550561797E-2</v>
      </c>
      <c r="U46" s="19">
        <f>SUMIFS([1]raw_data!Q:Q,[1]raw_data!$A:$A,$B46)</f>
        <v>1.383146</v>
      </c>
      <c r="V46" s="20">
        <f>SUMIFS([1]raw_data!R:R,[1]raw_data!$A:$A,$B46)</f>
        <v>1.12359550561797E-2</v>
      </c>
      <c r="W46" s="19">
        <f>SUMIFS([1]raw_data!S:S,[1]raw_data!$A:$A,$B46)</f>
        <v>0</v>
      </c>
      <c r="X46" s="20">
        <f>SUMIFS([1]raw_data!T:T,[1]raw_data!$A:$A,$B46)</f>
        <v>0</v>
      </c>
      <c r="Y46" s="19">
        <f>SUMIFS([1]raw_data!U:U,[1]raw_data!$A:$A,$B46)</f>
        <v>0</v>
      </c>
      <c r="Z46" s="20">
        <f>SUMIFS([1]raw_data!V:V,[1]raw_data!$A:$A,$B46)</f>
        <v>0</v>
      </c>
      <c r="AA46" s="17">
        <f t="shared" si="0"/>
        <v>183.38066620000001</v>
      </c>
      <c r="AC46" t="s">
        <v>15</v>
      </c>
      <c r="AD46">
        <f>COUNTIF(E41:E75,"Flint")</f>
        <v>11</v>
      </c>
    </row>
    <row r="47" spans="1:30" x14ac:dyDescent="0.25">
      <c r="A47" s="38"/>
      <c r="B47" s="17" t="s">
        <v>151</v>
      </c>
      <c r="C47" s="17" t="s">
        <v>123</v>
      </c>
      <c r="D47" s="17" t="s">
        <v>152</v>
      </c>
      <c r="E47" s="17" t="s">
        <v>19</v>
      </c>
      <c r="F47" s="18">
        <f>IFERROR(INDEX([1]raw_data!B:B,MATCH('SAIDI excl MEDs sort (5-yr avg)'!B18,[1]raw_data!A:A,0)),0)</f>
        <v>111</v>
      </c>
      <c r="G47" s="19">
        <f>SUMIFS([1]raw_data!C:C,[1]raw_data!$A:$A,$B47)</f>
        <v>779.11005999999998</v>
      </c>
      <c r="H47" s="20">
        <f>SUMIFS([1]raw_data!D:D,[1]raw_data!$A:$A,$B47)</f>
        <v>1.2688172043010699</v>
      </c>
      <c r="I47" s="19">
        <f>SUMIFS([1]raw_data!E:E,[1]raw_data!$A:$A,$B47)</f>
        <v>299.74387899999999</v>
      </c>
      <c r="J47" s="20">
        <f>SUMIFS([1]raw_data!F:F,[1]raw_data!$A:$A,$B47)</f>
        <v>0.82795698924731098</v>
      </c>
      <c r="K47" s="19">
        <f>SUMIFS([1]raw_data!G:G,[1]raw_data!$A:$A,$B47)</f>
        <v>38.893259</v>
      </c>
      <c r="L47" s="20">
        <f>SUMIFS([1]raw_data!H:H,[1]raw_data!$A:$A,$B47)</f>
        <v>8.5106382978723402E-2</v>
      </c>
      <c r="M47" s="19">
        <f>SUMIFS([1]raw_data!I:I,[1]raw_data!$A:$A,$B47)</f>
        <v>38.893259</v>
      </c>
      <c r="N47" s="20">
        <f>SUMIFS([1]raw_data!J:J,[1]raw_data!$A:$A,$B47)</f>
        <v>8.5106382978723402E-2</v>
      </c>
      <c r="O47" s="19">
        <f>SUMIFS([1]raw_data!K:K,[1]raw_data!$A:$A,$B47)</f>
        <v>59.027597</v>
      </c>
      <c r="P47" s="20">
        <f>SUMIFS([1]raw_data!L:L,[1]raw_data!$A:$A,$B47)</f>
        <v>0.462365591397849</v>
      </c>
      <c r="Q47" s="19">
        <f>SUMIFS([1]raw_data!M:M,[1]raw_data!$A:$A,$B47)</f>
        <v>36.155017000000001</v>
      </c>
      <c r="R47" s="20">
        <f>SUMIFS([1]raw_data!N:N,[1]raw_data!$A:$A,$B47)</f>
        <v>0.45161290322580599</v>
      </c>
      <c r="S47" s="19">
        <f>SUMIFS([1]raw_data!O:O,[1]raw_data!$A:$A,$B47)</f>
        <v>1112.6754570000001</v>
      </c>
      <c r="T47" s="20">
        <f>SUMIFS([1]raw_data!P:P,[1]raw_data!$A:$A,$B47)</f>
        <v>1.1868131868131799</v>
      </c>
      <c r="U47" s="19">
        <f>SUMIFS([1]raw_data!Q:Q,[1]raw_data!$A:$A,$B47)</f>
        <v>84.855311</v>
      </c>
      <c r="V47" s="20">
        <f>SUMIFS([1]raw_data!R:R,[1]raw_data!$A:$A,$B47)</f>
        <v>0.84615384615384603</v>
      </c>
      <c r="W47" s="19">
        <f>SUMIFS([1]raw_data!S:S,[1]raw_data!$A:$A,$B47)</f>
        <v>436.78241700000001</v>
      </c>
      <c r="X47" s="20">
        <f>SUMIFS([1]raw_data!T:T,[1]raw_data!$A:$A,$B47)</f>
        <v>2.0879120879120801</v>
      </c>
      <c r="Y47" s="19">
        <f>SUMIFS([1]raw_data!U:U,[1]raw_data!$A:$A,$B47)</f>
        <v>436.78241700000001</v>
      </c>
      <c r="Z47" s="20">
        <f>SUMIFS([1]raw_data!V:V,[1]raw_data!$A:$A,$B47)</f>
        <v>2.0879120879120801</v>
      </c>
      <c r="AA47" s="17">
        <f t="shared" si="0"/>
        <v>179.2859766</v>
      </c>
      <c r="AC47" t="s">
        <v>19</v>
      </c>
      <c r="AD47">
        <f>COUNTIF(E41:E75,"Grand Rapids")</f>
        <v>10</v>
      </c>
    </row>
    <row r="48" spans="1:30" ht="18.600000000000001" customHeight="1" x14ac:dyDescent="0.25">
      <c r="A48" s="38"/>
      <c r="B48" s="17" t="s">
        <v>153</v>
      </c>
      <c r="C48" s="17" t="s">
        <v>154</v>
      </c>
      <c r="D48" s="17" t="s">
        <v>155</v>
      </c>
      <c r="E48" s="17" t="s">
        <v>15</v>
      </c>
      <c r="F48" s="18">
        <f>IFERROR(INDEX([1]raw_data!B:B,MATCH('SAIDI excl MEDs sort (5-yr avg)'!B4,[1]raw_data!A:A,0)),0)</f>
        <v>938.5</v>
      </c>
      <c r="G48" s="19">
        <f>SUMIFS([1]raw_data!C:C,[1]raw_data!$A:$A,$B48)</f>
        <v>484.23518300000001</v>
      </c>
      <c r="H48" s="20">
        <f>SUMIFS([1]raw_data!D:D,[1]raw_data!$A:$A,$B48)</f>
        <v>2.2169014084506999</v>
      </c>
      <c r="I48" s="19">
        <f>SUMIFS([1]raw_data!E:E,[1]raw_data!$A:$A,$B48)</f>
        <v>44.702789000000003</v>
      </c>
      <c r="J48" s="20">
        <f>SUMIFS([1]raw_data!F:F,[1]raw_data!$A:$A,$B48)</f>
        <v>0.21126760563380201</v>
      </c>
      <c r="K48" s="19">
        <f>SUMIFS([1]raw_data!G:G,[1]raw_data!$A:$A,$B48)</f>
        <v>300.95834000000002</v>
      </c>
      <c r="L48" s="20">
        <f>SUMIFS([1]raw_data!H:H,[1]raw_data!$A:$A,$B48)</f>
        <v>3.875</v>
      </c>
      <c r="M48" s="19">
        <f>SUMIFS([1]raw_data!I:I,[1]raw_data!$A:$A,$B48)</f>
        <v>300.95834000000002</v>
      </c>
      <c r="N48" s="20">
        <f>SUMIFS([1]raw_data!J:J,[1]raw_data!$A:$A,$B48)</f>
        <v>3.875</v>
      </c>
      <c r="O48" s="19">
        <f>SUMIFS([1]raw_data!K:K,[1]raw_data!$A:$A,$B48)</f>
        <v>371.83713299999999</v>
      </c>
      <c r="P48" s="20">
        <f>SUMIFS([1]raw_data!L:L,[1]raw_data!$A:$A,$B48)</f>
        <v>1.1937406855439601</v>
      </c>
      <c r="Q48" s="19">
        <f>SUMIFS([1]raw_data!M:M,[1]raw_data!$A:$A,$B48)</f>
        <v>371.83713299999999</v>
      </c>
      <c r="R48" s="20">
        <f>SUMIFS([1]raw_data!N:N,[1]raw_data!$A:$A,$B48)</f>
        <v>1.1937406855439601</v>
      </c>
      <c r="S48" s="19">
        <f>SUMIFS([1]raw_data!O:O,[1]raw_data!$A:$A,$B48)</f>
        <v>3.1195840000000001</v>
      </c>
      <c r="T48" s="20">
        <f>SUMIFS([1]raw_data!P:P,[1]raw_data!$A:$A,$B48)</f>
        <v>1.73501577287066E-2</v>
      </c>
      <c r="U48" s="19">
        <f>SUMIFS([1]raw_data!Q:Q,[1]raw_data!$A:$A,$B48)</f>
        <v>3.1195840000000001</v>
      </c>
      <c r="V48" s="20">
        <f>SUMIFS([1]raw_data!R:R,[1]raw_data!$A:$A,$B48)</f>
        <v>1.73501577287066E-2</v>
      </c>
      <c r="W48" s="19">
        <f>SUMIFS([1]raw_data!S:S,[1]raw_data!$A:$A,$B48)</f>
        <v>764.22811200000001</v>
      </c>
      <c r="X48" s="20">
        <f>SUMIFS([1]raw_data!T:T,[1]raw_data!$A:$A,$B48)</f>
        <v>1.09135399673735</v>
      </c>
      <c r="Y48" s="19">
        <f>SUMIFS([1]raw_data!U:U,[1]raw_data!$A:$A,$B48)</f>
        <v>169.58450199999999</v>
      </c>
      <c r="Z48" s="20">
        <f>SUMIFS([1]raw_data!V:V,[1]raw_data!$A:$A,$B48)</f>
        <v>0.85807504078303398</v>
      </c>
      <c r="AA48" s="17">
        <f t="shared" si="0"/>
        <v>178.04046959999999</v>
      </c>
    </row>
    <row r="49" spans="1:27" x14ac:dyDescent="0.25">
      <c r="A49" s="38"/>
      <c r="B49" s="17" t="s">
        <v>156</v>
      </c>
      <c r="C49" s="17" t="s">
        <v>109</v>
      </c>
      <c r="D49" s="17" t="s">
        <v>157</v>
      </c>
      <c r="E49" s="17" t="s">
        <v>27</v>
      </c>
      <c r="F49" s="18">
        <f>IFERROR(INDEX([1]raw_data!B:B,MATCH('SAIDI excl MEDs sort (5-yr avg)'!B9,[1]raw_data!A:A,0)),0)</f>
        <v>229.25</v>
      </c>
      <c r="G49" s="19">
        <f>SUMIFS([1]raw_data!C:C,[1]raw_data!$A:$A,$B49)</f>
        <v>558.450872</v>
      </c>
      <c r="H49" s="20">
        <f>SUMIFS([1]raw_data!D:D,[1]raw_data!$A:$A,$B49)</f>
        <v>2.1626794258373199</v>
      </c>
      <c r="I49" s="19">
        <f>SUMIFS([1]raw_data!E:E,[1]raw_data!$A:$A,$B49)</f>
        <v>557.31226600000002</v>
      </c>
      <c r="J49" s="20">
        <f>SUMIFS([1]raw_data!F:F,[1]raw_data!$A:$A,$B49)</f>
        <v>2.1617224880382699</v>
      </c>
      <c r="K49" s="19">
        <f>SUMIFS([1]raw_data!G:G,[1]raw_data!$A:$A,$B49)</f>
        <v>2.8435579999999998</v>
      </c>
      <c r="L49" s="20">
        <f>SUMIFS([1]raw_data!H:H,[1]raw_data!$A:$A,$B49)</f>
        <v>7.71513353115727E-2</v>
      </c>
      <c r="M49" s="19">
        <f>SUMIFS([1]raw_data!I:I,[1]raw_data!$A:$A,$B49)</f>
        <v>2.8435579999999998</v>
      </c>
      <c r="N49" s="20">
        <f>SUMIFS([1]raw_data!J:J,[1]raw_data!$A:$A,$B49)</f>
        <v>7.71513353115727E-2</v>
      </c>
      <c r="O49" s="19">
        <f>SUMIFS([1]raw_data!K:K,[1]raw_data!$A:$A,$B49)</f>
        <v>272.27223400000003</v>
      </c>
      <c r="P49" s="20">
        <f>SUMIFS([1]raw_data!L:L,[1]raw_data!$A:$A,$B49)</f>
        <v>1.0538116591928199</v>
      </c>
      <c r="Q49" s="19">
        <f>SUMIFS([1]raw_data!M:M,[1]raw_data!$A:$A,$B49)</f>
        <v>261.87688700000001</v>
      </c>
      <c r="R49" s="20">
        <f>SUMIFS([1]raw_data!N:N,[1]raw_data!$A:$A,$B49)</f>
        <v>1.0246636771300399</v>
      </c>
      <c r="S49" s="19">
        <f>SUMIFS([1]raw_data!O:O,[1]raw_data!$A:$A,$B49)</f>
        <v>30.934470000000001</v>
      </c>
      <c r="T49" s="20">
        <f>SUMIFS([1]raw_data!P:P,[1]raw_data!$A:$A,$B49)</f>
        <v>0.245882352941176</v>
      </c>
      <c r="U49" s="19">
        <f>SUMIFS([1]raw_data!Q:Q,[1]raw_data!$A:$A,$B49)</f>
        <v>27.086980000000001</v>
      </c>
      <c r="V49" s="20">
        <f>SUMIFS([1]raw_data!R:R,[1]raw_data!$A:$A,$B49)</f>
        <v>0.215294117647058</v>
      </c>
      <c r="W49" s="19">
        <f>SUMIFS([1]raw_data!S:S,[1]raw_data!$A:$A,$B49)</f>
        <v>50.484994999999998</v>
      </c>
      <c r="X49" s="20">
        <f>SUMIFS([1]raw_data!T:T,[1]raw_data!$A:$A,$B49)</f>
        <v>0.20443349753694501</v>
      </c>
      <c r="Y49" s="19">
        <f>SUMIFS([1]raw_data!U:U,[1]raw_data!$A:$A,$B49)</f>
        <v>18.820053000000001</v>
      </c>
      <c r="Z49" s="20">
        <f>SUMIFS([1]raw_data!V:V,[1]raw_data!$A:$A,$B49)</f>
        <v>0.151477832512315</v>
      </c>
      <c r="AA49" s="17">
        <f t="shared" si="0"/>
        <v>173.58794880000002</v>
      </c>
    </row>
    <row r="50" spans="1:27" x14ac:dyDescent="0.25">
      <c r="A50" s="38"/>
      <c r="B50" s="17" t="s">
        <v>158</v>
      </c>
      <c r="C50" s="17" t="s">
        <v>159</v>
      </c>
      <c r="D50" s="17" t="s">
        <v>160</v>
      </c>
      <c r="E50" s="17" t="s">
        <v>23</v>
      </c>
      <c r="F50" s="18">
        <f>IFERROR(INDEX([1]raw_data!B:B,MATCH('SAIDI excl MEDs sort (5-yr avg)'!B35,[1]raw_data!A:A,0)),0)</f>
        <v>686.33333300000004</v>
      </c>
      <c r="G50" s="19">
        <f>SUMIFS([1]raw_data!C:C,[1]raw_data!$A:$A,$B50)</f>
        <v>5803.409901</v>
      </c>
      <c r="H50" s="20">
        <f>SUMIFS([1]raw_data!D:D,[1]raw_data!$A:$A,$B50)</f>
        <v>6.4076539101497501</v>
      </c>
      <c r="I50" s="19">
        <f>SUMIFS([1]raw_data!E:E,[1]raw_data!$A:$A,$B50)</f>
        <v>184.038906</v>
      </c>
      <c r="J50" s="20">
        <f>SUMIFS([1]raw_data!F:F,[1]raw_data!$A:$A,$B50)</f>
        <v>1.1331114808652201</v>
      </c>
      <c r="K50" s="19">
        <f>SUMIFS([1]raw_data!G:G,[1]raw_data!$A:$A,$B50)</f>
        <v>815.440292</v>
      </c>
      <c r="L50" s="20">
        <f>SUMIFS([1]raw_data!H:H,[1]raw_data!$A:$A,$B50)</f>
        <v>1.92580101180438</v>
      </c>
      <c r="M50" s="19">
        <f>SUMIFS([1]raw_data!I:I,[1]raw_data!$A:$A,$B50)</f>
        <v>189.99126000000001</v>
      </c>
      <c r="N50" s="20">
        <f>SUMIFS([1]raw_data!J:J,[1]raw_data!$A:$A,$B50)</f>
        <v>1.34654300168634</v>
      </c>
      <c r="O50" s="19">
        <f>SUMIFS([1]raw_data!K:K,[1]raw_data!$A:$A,$B50)</f>
        <v>1033.2769519999999</v>
      </c>
      <c r="P50" s="20">
        <f>SUMIFS([1]raw_data!L:L,[1]raw_data!$A:$A,$B50)</f>
        <v>2.3128161888701499</v>
      </c>
      <c r="Q50" s="19">
        <f>SUMIFS([1]raw_data!M:M,[1]raw_data!$A:$A,$B50)</f>
        <v>360.47391699999997</v>
      </c>
      <c r="R50" s="20">
        <f>SUMIFS([1]raw_data!N:N,[1]raw_data!$A:$A,$B50)</f>
        <v>0.80607082630691296</v>
      </c>
      <c r="S50" s="19">
        <f>SUMIFS([1]raw_data!O:O,[1]raw_data!$A:$A,$B50)</f>
        <v>26.020699</v>
      </c>
      <c r="T50" s="20">
        <f>SUMIFS([1]raw_data!P:P,[1]raw_data!$A:$A,$B50)</f>
        <v>0.27993254637436699</v>
      </c>
      <c r="U50" s="19">
        <f>SUMIFS([1]raw_data!Q:Q,[1]raw_data!$A:$A,$B50)</f>
        <v>24.672892000000001</v>
      </c>
      <c r="V50" s="20">
        <f>SUMIFS([1]raw_data!R:R,[1]raw_data!$A:$A,$B50)</f>
        <v>0.27150084317032003</v>
      </c>
      <c r="W50" s="19">
        <f>SUMIFS([1]raw_data!S:S,[1]raw_data!$A:$A,$B50)</f>
        <v>102.99359800000001</v>
      </c>
      <c r="X50" s="20">
        <f>SUMIFS([1]raw_data!T:T,[1]raw_data!$A:$A,$B50)</f>
        <v>1.0820642978003301</v>
      </c>
      <c r="Y50" s="19">
        <f>SUMIFS([1]raw_data!U:U,[1]raw_data!$A:$A,$B50)</f>
        <v>102.99359800000001</v>
      </c>
      <c r="Z50" s="20">
        <f>SUMIFS([1]raw_data!V:V,[1]raw_data!$A:$A,$B50)</f>
        <v>1.0820642978003301</v>
      </c>
      <c r="AA50" s="17">
        <f t="shared" si="0"/>
        <v>172.43411460000002</v>
      </c>
    </row>
    <row r="51" spans="1:27" x14ac:dyDescent="0.25">
      <c r="A51" s="38"/>
      <c r="B51" s="17" t="s">
        <v>161</v>
      </c>
      <c r="C51" s="17" t="s">
        <v>162</v>
      </c>
      <c r="D51" s="17" t="s">
        <v>163</v>
      </c>
      <c r="E51" s="17" t="s">
        <v>76</v>
      </c>
      <c r="F51" s="18">
        <f>IFERROR(INDEX([1]raw_data!B:B,MATCH('SAIDI excl MEDs sort (5-yr avg)'!B25,[1]raw_data!A:A,0)),0)</f>
        <v>1544.5555549999999</v>
      </c>
      <c r="G51" s="19">
        <f>SUMIFS([1]raw_data!C:C,[1]raw_data!$A:$A,$B51)</f>
        <v>3646.735463</v>
      </c>
      <c r="H51" s="20">
        <f>SUMIFS([1]raw_data!D:D,[1]raw_data!$A:$A,$B51)</f>
        <v>2.1683569979716002</v>
      </c>
      <c r="I51" s="19">
        <f>SUMIFS([1]raw_data!E:E,[1]raw_data!$A:$A,$B51)</f>
        <v>256.82989300000003</v>
      </c>
      <c r="J51" s="20">
        <f>SUMIFS([1]raw_data!F:F,[1]raw_data!$A:$A,$B51)</f>
        <v>1.04868154158215</v>
      </c>
      <c r="K51" s="19">
        <f>SUMIFS([1]raw_data!G:G,[1]raw_data!$A:$A,$B51)</f>
        <v>191.02836099999999</v>
      </c>
      <c r="L51" s="20">
        <f>SUMIFS([1]raw_data!H:H,[1]raw_data!$A:$A,$B51)</f>
        <v>1.2020408163265299</v>
      </c>
      <c r="M51" s="19">
        <f>SUMIFS([1]raw_data!I:I,[1]raw_data!$A:$A,$B51)</f>
        <v>184.79260300000001</v>
      </c>
      <c r="N51" s="20">
        <f>SUMIFS([1]raw_data!J:J,[1]raw_data!$A:$A,$B51)</f>
        <v>1.19591836734693</v>
      </c>
      <c r="O51" s="19">
        <f>SUMIFS([1]raw_data!K:K,[1]raw_data!$A:$A,$B51)</f>
        <v>181.55433500000001</v>
      </c>
      <c r="P51" s="20">
        <f>SUMIFS([1]raw_data!L:L,[1]raw_data!$A:$A,$B51)</f>
        <v>0.203252032520325</v>
      </c>
      <c r="Q51" s="19">
        <f>SUMIFS([1]raw_data!M:M,[1]raw_data!$A:$A,$B51)</f>
        <v>9.4368560000000006</v>
      </c>
      <c r="R51" s="20">
        <f>SUMIFS([1]raw_data!N:N,[1]raw_data!$A:$A,$B51)</f>
        <v>0.17886178861788599</v>
      </c>
      <c r="S51" s="19">
        <f>SUMIFS([1]raw_data!O:O,[1]raw_data!$A:$A,$B51)</f>
        <v>463.89207099999999</v>
      </c>
      <c r="T51" s="20">
        <f>SUMIFS([1]raw_data!P:P,[1]raw_data!$A:$A,$B51)</f>
        <v>2.5506072874493899</v>
      </c>
      <c r="U51" s="19">
        <f>SUMIFS([1]raw_data!Q:Q,[1]raw_data!$A:$A,$B51)</f>
        <v>381.273954</v>
      </c>
      <c r="V51" s="20">
        <f>SUMIFS([1]raw_data!R:R,[1]raw_data!$A:$A,$B51)</f>
        <v>2.4757085020242902</v>
      </c>
      <c r="W51" s="19">
        <f>SUMIFS([1]raw_data!S:S,[1]raw_data!$A:$A,$B51)</f>
        <v>25.253889999999998</v>
      </c>
      <c r="X51" s="20">
        <f>SUMIFS([1]raw_data!T:T,[1]raw_data!$A:$A,$B51)</f>
        <v>8.0578512396694196E-2</v>
      </c>
      <c r="Y51" s="19">
        <f>SUMIFS([1]raw_data!U:U,[1]raw_data!$A:$A,$B51)</f>
        <v>6.6074719999999996</v>
      </c>
      <c r="Z51" s="20">
        <f>SUMIFS([1]raw_data!V:V,[1]raw_data!$A:$A,$B51)</f>
        <v>6.6115702479338803E-2</v>
      </c>
      <c r="AA51" s="17">
        <f t="shared" si="0"/>
        <v>167.78815560000001</v>
      </c>
    </row>
    <row r="52" spans="1:27" x14ac:dyDescent="0.25">
      <c r="A52" s="38"/>
      <c r="B52" s="17" t="s">
        <v>164</v>
      </c>
      <c r="C52" s="17" t="s">
        <v>165</v>
      </c>
      <c r="D52" s="17" t="s">
        <v>166</v>
      </c>
      <c r="E52" s="17" t="s">
        <v>19</v>
      </c>
      <c r="F52" s="18">
        <f>IFERROR(INDEX([1]raw_data!B:B,MATCH('SAIDI excl MEDs sort (5-yr avg)'!B16,[1]raw_data!A:A,0)),0)</f>
        <v>967.4</v>
      </c>
      <c r="G52" s="19">
        <f>SUMIFS([1]raw_data!C:C,[1]raw_data!$A:$A,$B52)</f>
        <v>315.97688299999999</v>
      </c>
      <c r="H52" s="20">
        <f>SUMIFS([1]raw_data!D:D,[1]raw_data!$A:$A,$B52)</f>
        <v>2.3029077117572601</v>
      </c>
      <c r="I52" s="19">
        <f>SUMIFS([1]raw_data!E:E,[1]raw_data!$A:$A,$B52)</f>
        <v>310.39578599999999</v>
      </c>
      <c r="J52" s="20">
        <f>SUMIFS([1]raw_data!F:F,[1]raw_data!$A:$A,$B52)</f>
        <v>2.2932996207332401</v>
      </c>
      <c r="K52" s="19">
        <f>SUMIFS([1]raw_data!G:G,[1]raw_data!$A:$A,$B52)</f>
        <v>380.504841</v>
      </c>
      <c r="L52" s="20">
        <f>SUMIFS([1]raw_data!H:H,[1]raw_data!$A:$A,$B52)</f>
        <v>2.2100989596548999</v>
      </c>
      <c r="M52" s="19">
        <f>SUMIFS([1]raw_data!I:I,[1]raw_data!$A:$A,$B52)</f>
        <v>146.81164699999999</v>
      </c>
      <c r="N52" s="20">
        <f>SUMIFS([1]raw_data!J:J,[1]raw_data!$A:$A,$B52)</f>
        <v>1.5341283938086701</v>
      </c>
      <c r="O52" s="19">
        <f>SUMIFS([1]raw_data!K:K,[1]raw_data!$A:$A,$B52)</f>
        <v>80.193820000000002</v>
      </c>
      <c r="P52" s="20">
        <f>SUMIFS([1]raw_data!L:L,[1]raw_data!$A:$A,$B52)</f>
        <v>0.31592554291623498</v>
      </c>
      <c r="Q52" s="19">
        <f>SUMIFS([1]raw_data!M:M,[1]raw_data!$A:$A,$B52)</f>
        <v>25.173943999999999</v>
      </c>
      <c r="R52" s="20">
        <f>SUMIFS([1]raw_data!N:N,[1]raw_data!$A:$A,$B52)</f>
        <v>0.21509824198552199</v>
      </c>
      <c r="S52" s="19">
        <f>SUMIFS([1]raw_data!O:O,[1]raw_data!$A:$A,$B52)</f>
        <v>721.07453899999996</v>
      </c>
      <c r="T52" s="20">
        <f>SUMIFS([1]raw_data!P:P,[1]raw_data!$A:$A,$B52)</f>
        <v>1.76522875816993</v>
      </c>
      <c r="U52" s="19">
        <f>SUMIFS([1]raw_data!Q:Q,[1]raw_data!$A:$A,$B52)</f>
        <v>166.65028699999999</v>
      </c>
      <c r="V52" s="20">
        <f>SUMIFS([1]raw_data!R:R,[1]raw_data!$A:$A,$B52)</f>
        <v>0.76575163398692803</v>
      </c>
      <c r="W52" s="19">
        <f>SUMIFS([1]raw_data!S:S,[1]raw_data!$A:$A,$B52)</f>
        <v>222.26678100000001</v>
      </c>
      <c r="X52" s="20">
        <f>SUMIFS([1]raw_data!T:T,[1]raw_data!$A:$A,$B52)</f>
        <v>3.20597652081109</v>
      </c>
      <c r="Y52" s="19">
        <f>SUMIFS([1]raw_data!U:U,[1]raw_data!$A:$A,$B52)</f>
        <v>182.563838</v>
      </c>
      <c r="Z52" s="20">
        <f>SUMIFS([1]raw_data!V:V,[1]raw_data!$A:$A,$B52)</f>
        <v>3.18489861259338</v>
      </c>
      <c r="AA52" s="17">
        <f t="shared" si="0"/>
        <v>166.3191004</v>
      </c>
    </row>
    <row r="53" spans="1:27" ht="14.45" customHeight="1" x14ac:dyDescent="0.25">
      <c r="A53" s="38"/>
      <c r="B53" s="17" t="s">
        <v>167</v>
      </c>
      <c r="C53" s="17" t="s">
        <v>168</v>
      </c>
      <c r="D53" s="17" t="s">
        <v>169</v>
      </c>
      <c r="E53" s="17" t="s">
        <v>27</v>
      </c>
      <c r="F53" s="18">
        <f>IFERROR(INDEX([1]raw_data!B:B,MATCH('SAIDI excl MEDs sort (5-yr avg)'!B70,[1]raw_data!A:A,0)),0)</f>
        <v>101</v>
      </c>
      <c r="G53" s="19">
        <f>SUMIFS([1]raw_data!C:C,[1]raw_data!$A:$A,$B53)</f>
        <v>754.06666600000005</v>
      </c>
      <c r="H53" s="20">
        <f>SUMIFS([1]raw_data!D:D,[1]raw_data!$A:$A,$B53)</f>
        <v>1.49999999999999</v>
      </c>
      <c r="I53" s="19">
        <f>SUMIFS([1]raw_data!E:E,[1]raw_data!$A:$A,$B53)</f>
        <v>91.480414999999994</v>
      </c>
      <c r="J53" s="20">
        <f>SUMIFS([1]raw_data!F:F,[1]raw_data!$A:$A,$B53)</f>
        <v>0.87669683257918496</v>
      </c>
      <c r="K53" s="19">
        <f>SUMIFS([1]raw_data!G:G,[1]raw_data!$A:$A,$B53)</f>
        <v>328.86059699999998</v>
      </c>
      <c r="L53" s="20">
        <f>SUMIFS([1]raw_data!H:H,[1]raw_data!$A:$A,$B53)</f>
        <v>1.9884326200115601</v>
      </c>
      <c r="M53" s="19">
        <f>SUMIFS([1]raw_data!I:I,[1]raw_data!$A:$A,$B53)</f>
        <v>325.749483</v>
      </c>
      <c r="N53" s="20">
        <f>SUMIFS([1]raw_data!J:J,[1]raw_data!$A:$A,$B53)</f>
        <v>1.97744360902255</v>
      </c>
      <c r="O53" s="19">
        <f>SUMIFS([1]raw_data!K:K,[1]raw_data!$A:$A,$B53)</f>
        <v>164.36517799999999</v>
      </c>
      <c r="P53" s="20">
        <f>SUMIFS([1]raw_data!L:L,[1]raw_data!$A:$A,$B53)</f>
        <v>0.54052478134110704</v>
      </c>
      <c r="Q53" s="19">
        <f>SUMIFS([1]raw_data!M:M,[1]raw_data!$A:$A,$B53)</f>
        <v>82.908861999999999</v>
      </c>
      <c r="R53" s="20">
        <f>SUMIFS([1]raw_data!N:N,[1]raw_data!$A:$A,$B53)</f>
        <v>0.44373177842565498</v>
      </c>
      <c r="S53" s="19">
        <f>SUMIFS([1]raw_data!O:O,[1]raw_data!$A:$A,$B53)</f>
        <v>141.215318</v>
      </c>
      <c r="T53" s="20">
        <f>SUMIFS([1]raw_data!P:P,[1]raw_data!$A:$A,$B53)</f>
        <v>0.95100354191263203</v>
      </c>
      <c r="U53" s="19">
        <f>SUMIFS([1]raw_data!Q:Q,[1]raw_data!$A:$A,$B53)</f>
        <v>122.925905</v>
      </c>
      <c r="V53" s="20">
        <f>SUMIFS([1]raw_data!R:R,[1]raw_data!$A:$A,$B53)</f>
        <v>0.93506493506493504</v>
      </c>
      <c r="W53" s="19">
        <f>SUMIFS([1]raw_data!S:S,[1]raw_data!$A:$A,$B53)</f>
        <v>328.03065800000002</v>
      </c>
      <c r="X53" s="20">
        <f>SUMIFS([1]raw_data!T:T,[1]raw_data!$A:$A,$B53)</f>
        <v>1.7074074074073999</v>
      </c>
      <c r="Y53" s="19">
        <f>SUMIFS([1]raw_data!U:U,[1]raw_data!$A:$A,$B53)</f>
        <v>204.90518499999999</v>
      </c>
      <c r="Z53" s="20">
        <f>SUMIFS([1]raw_data!V:V,[1]raw_data!$A:$A,$B53)</f>
        <v>1.62654320987654</v>
      </c>
      <c r="AA53" s="17">
        <f t="shared" si="0"/>
        <v>165.59396999999998</v>
      </c>
    </row>
    <row r="54" spans="1:27" x14ac:dyDescent="0.25">
      <c r="A54" s="38"/>
      <c r="B54" s="17" t="s">
        <v>170</v>
      </c>
      <c r="C54" s="17" t="s">
        <v>106</v>
      </c>
      <c r="D54" s="17" t="s">
        <v>171</v>
      </c>
      <c r="E54" s="17" t="s">
        <v>19</v>
      </c>
      <c r="F54" s="18">
        <f>IFERROR(INDEX([1]raw_data!B:B,MATCH('SAIDI excl MEDs sort (5-yr avg)'!B34,[1]raw_data!A:A,0)),0)</f>
        <v>635</v>
      </c>
      <c r="G54" s="19">
        <f>SUMIFS([1]raw_data!C:C,[1]raw_data!$A:$A,$B54)</f>
        <v>813.48589400000003</v>
      </c>
      <c r="H54" s="20">
        <f>SUMIFS([1]raw_data!D:D,[1]raw_data!$A:$A,$B54)</f>
        <v>4.5651830392415</v>
      </c>
      <c r="I54" s="19">
        <f>SUMIFS([1]raw_data!E:E,[1]raw_data!$A:$A,$B54)</f>
        <v>188.34800300000001</v>
      </c>
      <c r="J54" s="20">
        <f>SUMIFS([1]raw_data!F:F,[1]raw_data!$A:$A,$B54)</f>
        <v>2.5380563602844299</v>
      </c>
      <c r="K54" s="19">
        <f>SUMIFS([1]raw_data!G:G,[1]raw_data!$A:$A,$B54)</f>
        <v>1633.8238570000001</v>
      </c>
      <c r="L54" s="20">
        <f>SUMIFS([1]raw_data!H:H,[1]raw_data!$A:$A,$B54)</f>
        <v>3.51013958388201</v>
      </c>
      <c r="M54" s="19">
        <f>SUMIFS([1]raw_data!I:I,[1]raw_data!$A:$A,$B54)</f>
        <v>60.679409999999997</v>
      </c>
      <c r="N54" s="20">
        <f>SUMIFS([1]raw_data!J:J,[1]raw_data!$A:$A,$B54)</f>
        <v>1.14063734527258</v>
      </c>
      <c r="O54" s="19">
        <f>SUMIFS([1]raw_data!K:K,[1]raw_data!$A:$A,$B54)</f>
        <v>767.66846799999996</v>
      </c>
      <c r="P54" s="20">
        <f>SUMIFS([1]raw_data!L:L,[1]raw_data!$A:$A,$B54)</f>
        <v>1.36334576451784</v>
      </c>
      <c r="Q54" s="19">
        <f>SUMIFS([1]raw_data!M:M,[1]raw_data!$A:$A,$B54)</f>
        <v>10.207578</v>
      </c>
      <c r="R54" s="20">
        <f>SUMIFS([1]raw_data!N:N,[1]raw_data!$A:$A,$B54)</f>
        <v>0.118007458710708</v>
      </c>
      <c r="S54" s="19">
        <f>SUMIFS([1]raw_data!O:O,[1]raw_data!$A:$A,$B54)</f>
        <v>1144.352701</v>
      </c>
      <c r="T54" s="20">
        <f>SUMIFS([1]raw_data!P:P,[1]raw_data!$A:$A,$B54)</f>
        <v>2.3461333333333299</v>
      </c>
      <c r="U54" s="19">
        <f>SUMIFS([1]raw_data!Q:Q,[1]raw_data!$A:$A,$B54)</f>
        <v>465.50190600000002</v>
      </c>
      <c r="V54" s="20">
        <f>SUMIFS([1]raw_data!R:R,[1]raw_data!$A:$A,$B54)</f>
        <v>1.1709333333333301</v>
      </c>
      <c r="W54" s="19">
        <f>SUMIFS([1]raw_data!S:S,[1]raw_data!$A:$A,$B54)</f>
        <v>1858.7866329999999</v>
      </c>
      <c r="X54" s="20">
        <f>SUMIFS([1]raw_data!T:T,[1]raw_data!$A:$A,$B54)</f>
        <v>2.49282433983926</v>
      </c>
      <c r="Y54" s="19">
        <f>SUMIFS([1]raw_data!U:U,[1]raw_data!$A:$A,$B54)</f>
        <v>89.751328999999998</v>
      </c>
      <c r="Z54" s="20">
        <f>SUMIFS([1]raw_data!V:V,[1]raw_data!$A:$A,$B54)</f>
        <v>0.402985074626865</v>
      </c>
      <c r="AA54" s="17">
        <f t="shared" si="0"/>
        <v>162.8976452</v>
      </c>
    </row>
    <row r="55" spans="1:27" x14ac:dyDescent="0.25">
      <c r="A55" s="38"/>
      <c r="B55" s="17" t="s">
        <v>172</v>
      </c>
      <c r="C55" s="17" t="s">
        <v>173</v>
      </c>
      <c r="D55" s="17" t="s">
        <v>174</v>
      </c>
      <c r="E55" s="17" t="s">
        <v>19</v>
      </c>
      <c r="F55" s="18">
        <f>IFERROR(INDEX([1]raw_data!B:B,MATCH('SAIDI excl MEDs sort (5-yr avg)'!B74,[1]raw_data!A:A,0)),0)</f>
        <v>1004.2</v>
      </c>
      <c r="G55" s="19">
        <f>SUMIFS([1]raw_data!C:C,[1]raw_data!$A:$A,$B55)</f>
        <v>1798.288264</v>
      </c>
      <c r="H55" s="20">
        <f>SUMIFS([1]raw_data!D:D,[1]raw_data!$A:$A,$B55)</f>
        <v>1.7548096602537799</v>
      </c>
      <c r="I55" s="19">
        <f>SUMIFS([1]raw_data!E:E,[1]raw_data!$A:$A,$B55)</f>
        <v>81.809511000000001</v>
      </c>
      <c r="J55" s="20">
        <f>SUMIFS([1]raw_data!F:F,[1]raw_data!$A:$A,$B55)</f>
        <v>0.64674580433892703</v>
      </c>
      <c r="K55" s="19">
        <f>SUMIFS([1]raw_data!G:G,[1]raw_data!$A:$A,$B55)</f>
        <v>162.231359</v>
      </c>
      <c r="L55" s="20">
        <f>SUMIFS([1]raw_data!H:H,[1]raw_data!$A:$A,$B55)</f>
        <v>0.68964110929853095</v>
      </c>
      <c r="M55" s="19">
        <f>SUMIFS([1]raw_data!I:I,[1]raw_data!$A:$A,$B55)</f>
        <v>159.758062</v>
      </c>
      <c r="N55" s="20">
        <f>SUMIFS([1]raw_data!J:J,[1]raw_data!$A:$A,$B55)</f>
        <v>0.68311582381729197</v>
      </c>
      <c r="O55" s="19">
        <f>SUMIFS([1]raw_data!K:K,[1]raw_data!$A:$A,$B55)</f>
        <v>255.87116499999999</v>
      </c>
      <c r="P55" s="20">
        <f>SUMIFS([1]raw_data!L:L,[1]raw_data!$A:$A,$B55)</f>
        <v>0.66721044045676903</v>
      </c>
      <c r="Q55" s="19">
        <f>SUMIFS([1]raw_data!M:M,[1]raw_data!$A:$A,$B55)</f>
        <v>92.221281000000005</v>
      </c>
      <c r="R55" s="20">
        <f>SUMIFS([1]raw_data!N:N,[1]raw_data!$A:$A,$B55)</f>
        <v>0.52650897226753601</v>
      </c>
      <c r="S55" s="19">
        <f>SUMIFS([1]raw_data!O:O,[1]raw_data!$A:$A,$B55)</f>
        <v>70.583475000000007</v>
      </c>
      <c r="T55" s="20">
        <f>SUMIFS([1]raw_data!P:P,[1]raw_data!$A:$A,$B55)</f>
        <v>0.29019129019128997</v>
      </c>
      <c r="U55" s="19">
        <f>SUMIFS([1]raw_data!Q:Q,[1]raw_data!$A:$A,$B55)</f>
        <v>20.730314</v>
      </c>
      <c r="V55" s="20">
        <f>SUMIFS([1]raw_data!R:R,[1]raw_data!$A:$A,$B55)</f>
        <v>0.264143264143264</v>
      </c>
      <c r="W55" s="19">
        <f>SUMIFS([1]raw_data!S:S,[1]raw_data!$A:$A,$B55)</f>
        <v>2920.166354</v>
      </c>
      <c r="X55" s="20">
        <f>SUMIFS([1]raw_data!T:T,[1]raw_data!$A:$A,$B55)</f>
        <v>2.9943181818181799</v>
      </c>
      <c r="Y55" s="19">
        <f>SUMIFS([1]raw_data!U:U,[1]raw_data!$A:$A,$B55)</f>
        <v>450.215597</v>
      </c>
      <c r="Z55" s="20">
        <f>SUMIFS([1]raw_data!V:V,[1]raw_data!$A:$A,$B55)</f>
        <v>1.79870129870129</v>
      </c>
      <c r="AA55" s="17">
        <f t="shared" si="0"/>
        <v>160.94695300000001</v>
      </c>
    </row>
    <row r="56" spans="1:27" x14ac:dyDescent="0.25">
      <c r="A56" s="38"/>
      <c r="B56" s="17" t="s">
        <v>175</v>
      </c>
      <c r="C56" s="17" t="s">
        <v>176</v>
      </c>
      <c r="D56" s="17" t="s">
        <v>177</v>
      </c>
      <c r="E56" s="17" t="s">
        <v>15</v>
      </c>
      <c r="F56" s="18">
        <f>IFERROR(INDEX([1]raw_data!B:B,MATCH('SAIDI excl MEDs sort (5-yr avg)'!B15,[1]raw_data!A:A,0)),0)</f>
        <v>647.4</v>
      </c>
      <c r="G56" s="19">
        <f>SUMIFS([1]raw_data!C:C,[1]raw_data!$A:$A,$B56)</f>
        <v>320.03596800000003</v>
      </c>
      <c r="H56" s="20">
        <f>SUMIFS([1]raw_data!D:D,[1]raw_data!$A:$A,$B56)</f>
        <v>1.2405228758169899</v>
      </c>
      <c r="I56" s="19">
        <f>SUMIFS([1]raw_data!E:E,[1]raw_data!$A:$A,$B56)</f>
        <v>316.219899</v>
      </c>
      <c r="J56" s="20">
        <f>SUMIFS([1]raw_data!F:F,[1]raw_data!$A:$A,$B56)</f>
        <v>1.2392156862745001</v>
      </c>
      <c r="K56" s="19">
        <f>SUMIFS([1]raw_data!G:G,[1]raw_data!$A:$A,$B56)</f>
        <v>104.901921</v>
      </c>
      <c r="L56" s="20">
        <f>SUMIFS([1]raw_data!H:H,[1]raw_data!$A:$A,$B56)</f>
        <v>0.23214285714285701</v>
      </c>
      <c r="M56" s="19">
        <f>SUMIFS([1]raw_data!I:I,[1]raw_data!$A:$A,$B56)</f>
        <v>86.585322000000005</v>
      </c>
      <c r="N56" s="20">
        <f>SUMIFS([1]raw_data!J:J,[1]raw_data!$A:$A,$B56)</f>
        <v>0.22066326530612199</v>
      </c>
      <c r="O56" s="19">
        <f>SUMIFS([1]raw_data!K:K,[1]raw_data!$A:$A,$B56)</f>
        <v>416.84238199999999</v>
      </c>
      <c r="P56" s="20">
        <f>SUMIFS([1]raw_data!L:L,[1]raw_data!$A:$A,$B56)</f>
        <v>1.3504492939666199</v>
      </c>
      <c r="Q56" s="19">
        <f>SUMIFS([1]raw_data!M:M,[1]raw_data!$A:$A,$B56)</f>
        <v>297.78791100000001</v>
      </c>
      <c r="R56" s="20">
        <f>SUMIFS([1]raw_data!N:N,[1]raw_data!$A:$A,$B56)</f>
        <v>1.28754813863928</v>
      </c>
      <c r="S56" s="19">
        <f>SUMIFS([1]raw_data!O:O,[1]raw_data!$A:$A,$B56)</f>
        <v>94.354951999999997</v>
      </c>
      <c r="T56" s="20">
        <f>SUMIFS([1]raw_data!P:P,[1]raw_data!$A:$A,$B56)</f>
        <v>0.186046511627906</v>
      </c>
      <c r="U56" s="19">
        <f>SUMIFS([1]raw_data!Q:Q,[1]raw_data!$A:$A,$B56)</f>
        <v>58.777647999999999</v>
      </c>
      <c r="V56" s="20">
        <f>SUMIFS([1]raw_data!R:R,[1]raw_data!$A:$A,$B56)</f>
        <v>0.14341085271317799</v>
      </c>
      <c r="W56" s="19">
        <f>SUMIFS([1]raw_data!S:S,[1]raw_data!$A:$A,$B56)</f>
        <v>53.630251000000001</v>
      </c>
      <c r="X56" s="20">
        <f>SUMIFS([1]raw_data!T:T,[1]raw_data!$A:$A,$B56)</f>
        <v>0.18098958333333301</v>
      </c>
      <c r="Y56" s="19">
        <f>SUMIFS([1]raw_data!U:U,[1]raw_data!$A:$A,$B56)</f>
        <v>44.006467000000001</v>
      </c>
      <c r="Z56" s="20">
        <f>SUMIFS([1]raw_data!V:V,[1]raw_data!$A:$A,$B56)</f>
        <v>0.16145833333333301</v>
      </c>
      <c r="AA56" s="17">
        <f t="shared" si="0"/>
        <v>160.67544939999999</v>
      </c>
    </row>
    <row r="57" spans="1:27" x14ac:dyDescent="0.25">
      <c r="A57" s="38"/>
      <c r="B57" s="17" t="s">
        <v>178</v>
      </c>
      <c r="C57" s="17" t="s">
        <v>179</v>
      </c>
      <c r="D57" s="17" t="s">
        <v>180</v>
      </c>
      <c r="E57" s="17" t="s">
        <v>23</v>
      </c>
      <c r="F57" s="18">
        <f>IFERROR(INDEX([1]raw_data!B:B,MATCH('SAIDI excl MEDs sort (5-yr avg)'!B114,[1]raw_data!A:A,0)),0)</f>
        <v>1658.4</v>
      </c>
      <c r="G57" s="19">
        <f>SUMIFS([1]raw_data!C:C,[1]raw_data!$A:$A,$B57)</f>
        <v>397.68959799999999</v>
      </c>
      <c r="H57" s="20">
        <f>SUMIFS([1]raw_data!D:D,[1]raw_data!$A:$A,$B57)</f>
        <v>0.35802469135802401</v>
      </c>
      <c r="I57" s="19">
        <f>SUMIFS([1]raw_data!E:E,[1]raw_data!$A:$A,$B57)</f>
        <v>25.080224000000001</v>
      </c>
      <c r="J57" s="20">
        <f>SUMIFS([1]raw_data!F:F,[1]raw_data!$A:$A,$B57)</f>
        <v>0.28641975308641898</v>
      </c>
      <c r="K57" s="19">
        <f>SUMIFS([1]raw_data!G:G,[1]raw_data!$A:$A,$B57)</f>
        <v>855.17964400000005</v>
      </c>
      <c r="L57" s="20">
        <f>SUMIFS([1]raw_data!H:H,[1]raw_data!$A:$A,$B57)</f>
        <v>1.7827160493827101</v>
      </c>
      <c r="M57" s="19">
        <f>SUMIFS([1]raw_data!I:I,[1]raw_data!$A:$A,$B57)</f>
        <v>237.39730900000001</v>
      </c>
      <c r="N57" s="20">
        <f>SUMIFS([1]raw_data!J:J,[1]raw_data!$A:$A,$B57)</f>
        <v>1.1580246913580201</v>
      </c>
      <c r="O57" s="19">
        <f>SUMIFS([1]raw_data!K:K,[1]raw_data!$A:$A,$B57)</f>
        <v>465.36036999999999</v>
      </c>
      <c r="P57" s="20">
        <f>SUMIFS([1]raw_data!L:L,[1]raw_data!$A:$A,$B57)</f>
        <v>2.4172839506172799</v>
      </c>
      <c r="Q57" s="19">
        <f>SUMIFS([1]raw_data!M:M,[1]raw_data!$A:$A,$B57)</f>
        <v>234.93386799999999</v>
      </c>
      <c r="R57" s="20">
        <f>SUMIFS([1]raw_data!N:N,[1]raw_data!$A:$A,$B57)</f>
        <v>0.407407407407407</v>
      </c>
      <c r="S57" s="19">
        <f>SUMIFS([1]raw_data!O:O,[1]raw_data!$A:$A,$B57)</f>
        <v>14.482035</v>
      </c>
      <c r="T57" s="20">
        <f>SUMIFS([1]raw_data!P:P,[1]raw_data!$A:$A,$B57)</f>
        <v>0.133165829145728</v>
      </c>
      <c r="U57" s="19">
        <f>SUMIFS([1]raw_data!Q:Q,[1]raw_data!$A:$A,$B57)</f>
        <v>14.482035</v>
      </c>
      <c r="V57" s="20">
        <f>SUMIFS([1]raw_data!R:R,[1]raw_data!$A:$A,$B57)</f>
        <v>0.133165829145728</v>
      </c>
      <c r="W57" s="19">
        <f>SUMIFS([1]raw_data!S:S,[1]raw_data!$A:$A,$B57)</f>
        <v>287.66384599999998</v>
      </c>
      <c r="X57" s="20">
        <f>SUMIFS([1]raw_data!T:T,[1]raw_data!$A:$A,$B57)</f>
        <v>1.79797979797979</v>
      </c>
      <c r="Y57" s="19">
        <f>SUMIFS([1]raw_data!U:U,[1]raw_data!$A:$A,$B57)</f>
        <v>287.66384599999998</v>
      </c>
      <c r="Z57" s="20">
        <f>SUMIFS([1]raw_data!V:V,[1]raw_data!$A:$A,$B57)</f>
        <v>1.79797979797979</v>
      </c>
      <c r="AA57" s="17">
        <f t="shared" si="0"/>
        <v>159.91145639999999</v>
      </c>
    </row>
    <row r="58" spans="1:27" ht="14.45" customHeight="1" x14ac:dyDescent="0.25">
      <c r="A58" s="38"/>
      <c r="B58" s="17" t="s">
        <v>181</v>
      </c>
      <c r="C58" s="17" t="s">
        <v>89</v>
      </c>
      <c r="D58" s="17" t="s">
        <v>89</v>
      </c>
      <c r="E58" s="17" t="s">
        <v>15</v>
      </c>
      <c r="F58" s="18">
        <f>IFERROR(INDEX([1]raw_data!B:B,MATCH('SAIDI excl MEDs sort (5-yr avg)'!B60,[1]raw_data!A:A,0)),0)</f>
        <v>1118.4000000000001</v>
      </c>
      <c r="G58" s="19">
        <f>SUMIFS([1]raw_data!C:C,[1]raw_data!$A:$A,$B58)</f>
        <v>243.039333</v>
      </c>
      <c r="H58" s="20">
        <f>SUMIFS([1]raw_data!D:D,[1]raw_data!$A:$A,$B58)</f>
        <v>0.43565891472868201</v>
      </c>
      <c r="I58" s="19">
        <f>SUMIFS([1]raw_data!E:E,[1]raw_data!$A:$A,$B58)</f>
        <v>112.076106</v>
      </c>
      <c r="J58" s="20">
        <f>SUMIFS([1]raw_data!F:F,[1]raw_data!$A:$A,$B58)</f>
        <v>0.32558139534883701</v>
      </c>
      <c r="K58" s="19">
        <f>SUMIFS([1]raw_data!G:G,[1]raw_data!$A:$A,$B58)</f>
        <v>288.89203600000002</v>
      </c>
      <c r="L58" s="20">
        <f>SUMIFS([1]raw_data!H:H,[1]raw_data!$A:$A,$B58)</f>
        <v>0.34678624813153902</v>
      </c>
      <c r="M58" s="19">
        <f>SUMIFS([1]raw_data!I:I,[1]raw_data!$A:$A,$B58)</f>
        <v>109.87294199999999</v>
      </c>
      <c r="N58" s="20">
        <f>SUMIFS([1]raw_data!J:J,[1]raw_data!$A:$A,$B58)</f>
        <v>0.25261584454409503</v>
      </c>
      <c r="O58" s="19">
        <f>SUMIFS([1]raw_data!K:K,[1]raw_data!$A:$A,$B58)</f>
        <v>466.24829499999998</v>
      </c>
      <c r="P58" s="20">
        <f>SUMIFS([1]raw_data!L:L,[1]raw_data!$A:$A,$B58)</f>
        <v>0.581168831168831</v>
      </c>
      <c r="Q58" s="19">
        <f>SUMIFS([1]raw_data!M:M,[1]raw_data!$A:$A,$B58)</f>
        <v>103.30928</v>
      </c>
      <c r="R58" s="20">
        <f>SUMIFS([1]raw_data!N:N,[1]raw_data!$A:$A,$B58)</f>
        <v>0.456168831168831</v>
      </c>
      <c r="S58" s="19">
        <f>SUMIFS([1]raw_data!O:O,[1]raw_data!$A:$A,$B58)</f>
        <v>255.833258</v>
      </c>
      <c r="T58" s="20">
        <f>SUMIFS([1]raw_data!P:P,[1]raw_data!$A:$A,$B58)</f>
        <v>1.56541353383458</v>
      </c>
      <c r="U58" s="19">
        <f>SUMIFS([1]raw_data!Q:Q,[1]raw_data!$A:$A,$B58)</f>
        <v>86.428020000000004</v>
      </c>
      <c r="V58" s="20">
        <f>SUMIFS([1]raw_data!R:R,[1]raw_data!$A:$A,$B58)</f>
        <v>0.51428571428571401</v>
      </c>
      <c r="W58" s="19">
        <f>SUMIFS([1]raw_data!S:S,[1]raw_data!$A:$A,$B58)</f>
        <v>1714.5584699999999</v>
      </c>
      <c r="X58" s="20">
        <f>SUMIFS([1]raw_data!T:T,[1]raw_data!$A:$A,$B58)</f>
        <v>2.04826546003016</v>
      </c>
      <c r="Y58" s="19">
        <f>SUMIFS([1]raw_data!U:U,[1]raw_data!$A:$A,$B58)</f>
        <v>379.699748</v>
      </c>
      <c r="Z58" s="20">
        <f>SUMIFS([1]raw_data!V:V,[1]raw_data!$A:$A,$B58)</f>
        <v>1.2503770739064799</v>
      </c>
      <c r="AA58" s="17">
        <f t="shared" si="0"/>
        <v>158.27721919999999</v>
      </c>
    </row>
    <row r="59" spans="1:27" x14ac:dyDescent="0.25">
      <c r="A59" s="38"/>
      <c r="B59" s="17" t="s">
        <v>182</v>
      </c>
      <c r="C59" s="17" t="s">
        <v>95</v>
      </c>
      <c r="D59" s="17" t="s">
        <v>183</v>
      </c>
      <c r="E59" s="17" t="s">
        <v>19</v>
      </c>
      <c r="F59" s="18">
        <f>IFERROR(INDEX([1]raw_data!B:B,MATCH('SAIDI excl MEDs sort (5-yr avg)'!B24,[1]raw_data!A:A,0)),0)</f>
        <v>1256.625</v>
      </c>
      <c r="G59" s="19">
        <f>SUMIFS([1]raw_data!C:C,[1]raw_data!$A:$A,$B59)</f>
        <v>312.85798</v>
      </c>
      <c r="H59" s="20">
        <f>SUMIFS([1]raw_data!D:D,[1]raw_data!$A:$A,$B59)</f>
        <v>1.4309878213802401</v>
      </c>
      <c r="I59" s="19">
        <f>SUMIFS([1]raw_data!E:E,[1]raw_data!$A:$A,$B59)</f>
        <v>258.42546399999998</v>
      </c>
      <c r="J59" s="20">
        <f>SUMIFS([1]raw_data!F:F,[1]raw_data!$A:$A,$B59)</f>
        <v>1.3829499323409999</v>
      </c>
      <c r="K59" s="19">
        <f>SUMIFS([1]raw_data!G:G,[1]raw_data!$A:$A,$B59)</f>
        <v>31.264613000000001</v>
      </c>
      <c r="L59" s="20">
        <f>SUMIFS([1]raw_data!H:H,[1]raw_data!$A:$A,$B59)</f>
        <v>0.1699604743083</v>
      </c>
      <c r="M59" s="19">
        <f>SUMIFS([1]raw_data!I:I,[1]raw_data!$A:$A,$B59)</f>
        <v>30.390872000000002</v>
      </c>
      <c r="N59" s="20">
        <f>SUMIFS([1]raw_data!J:J,[1]raw_data!$A:$A,$B59)</f>
        <v>0.169466403162055</v>
      </c>
      <c r="O59" s="19">
        <f>SUMIFS([1]raw_data!K:K,[1]raw_data!$A:$A,$B59)</f>
        <v>268.17847999999998</v>
      </c>
      <c r="P59" s="20">
        <f>SUMIFS([1]raw_data!L:L,[1]raw_data!$A:$A,$B59)</f>
        <v>0.60705414803775404</v>
      </c>
      <c r="Q59" s="19">
        <f>SUMIFS([1]raw_data!M:M,[1]raw_data!$A:$A,$B59)</f>
        <v>85.773032999999998</v>
      </c>
      <c r="R59" s="20">
        <f>SUMIFS([1]raw_data!N:N,[1]raw_data!$A:$A,$B59)</f>
        <v>0.53303527074018797</v>
      </c>
      <c r="S59" s="19">
        <f>SUMIFS([1]raw_data!O:O,[1]raw_data!$A:$A,$B59)</f>
        <v>379.93738200000001</v>
      </c>
      <c r="T59" s="20">
        <f>SUMIFS([1]raw_data!P:P,[1]raw_data!$A:$A,$B59)</f>
        <v>2.43373493975903</v>
      </c>
      <c r="U59" s="19">
        <f>SUMIFS([1]raw_data!Q:Q,[1]raw_data!$A:$A,$B59)</f>
        <v>379.85046</v>
      </c>
      <c r="V59" s="20">
        <f>SUMIFS([1]raw_data!R:R,[1]raw_data!$A:$A,$B59)</f>
        <v>2.4332329317268999</v>
      </c>
      <c r="W59" s="19">
        <f>SUMIFS([1]raw_data!S:S,[1]raw_data!$A:$A,$B59)</f>
        <v>479.01912399999998</v>
      </c>
      <c r="X59" s="20">
        <f>SUMIFS([1]raw_data!T:T,[1]raw_data!$A:$A,$B59)</f>
        <v>0.53001017293997899</v>
      </c>
      <c r="Y59" s="19">
        <f>SUMIFS([1]raw_data!U:U,[1]raw_data!$A:$A,$B59)</f>
        <v>15.286376000000001</v>
      </c>
      <c r="Z59" s="20">
        <f>SUMIFS([1]raw_data!V:V,[1]raw_data!$A:$A,$B59)</f>
        <v>0.15310274669379401</v>
      </c>
      <c r="AA59" s="17">
        <f t="shared" si="0"/>
        <v>153.94524099999998</v>
      </c>
    </row>
    <row r="60" spans="1:27" x14ac:dyDescent="0.25">
      <c r="A60" s="38"/>
      <c r="B60" s="17" t="s">
        <v>184</v>
      </c>
      <c r="C60" s="17" t="s">
        <v>185</v>
      </c>
      <c r="D60" s="17" t="s">
        <v>186</v>
      </c>
      <c r="E60" s="17" t="s">
        <v>27</v>
      </c>
      <c r="F60" s="18">
        <f>IFERROR(INDEX([1]raw_data!B:B,MATCH('SAIDI excl MEDs sort (5-yr avg)'!B59,[1]raw_data!A:A,0)),0)</f>
        <v>1894.6</v>
      </c>
      <c r="G60" s="19">
        <f>SUMIFS([1]raw_data!C:C,[1]raw_data!$A:$A,$B60)</f>
        <v>622.63824999999997</v>
      </c>
      <c r="H60" s="20">
        <f>SUMIFS([1]raw_data!D:D,[1]raw_data!$A:$A,$B60)</f>
        <v>0.82616487455197096</v>
      </c>
      <c r="I60" s="19">
        <f>SUMIFS([1]raw_data!E:E,[1]raw_data!$A:$A,$B60)</f>
        <v>114.190977</v>
      </c>
      <c r="J60" s="20">
        <f>SUMIFS([1]raw_data!F:F,[1]raw_data!$A:$A,$B60)</f>
        <v>0.55197132616487399</v>
      </c>
      <c r="K60" s="19">
        <f>SUMIFS([1]raw_data!G:G,[1]raw_data!$A:$A,$B60)</f>
        <v>73.512559999999993</v>
      </c>
      <c r="L60" s="20">
        <f>SUMIFS([1]raw_data!H:H,[1]raw_data!$A:$A,$B60)</f>
        <v>0.33691756272401402</v>
      </c>
      <c r="M60" s="19">
        <f>SUMIFS([1]raw_data!I:I,[1]raw_data!$A:$A,$B60)</f>
        <v>72.293120999999999</v>
      </c>
      <c r="N60" s="20">
        <f>SUMIFS([1]raw_data!J:J,[1]raw_data!$A:$A,$B60)</f>
        <v>0.33602150537634401</v>
      </c>
      <c r="O60" s="19">
        <f>SUMIFS([1]raw_data!K:K,[1]raw_data!$A:$A,$B60)</f>
        <v>795.92536399999995</v>
      </c>
      <c r="P60" s="20">
        <f>SUMIFS([1]raw_data!L:L,[1]raw_data!$A:$A,$B60)</f>
        <v>0.624664879356568</v>
      </c>
      <c r="Q60" s="19">
        <f>SUMIFS([1]raw_data!M:M,[1]raw_data!$A:$A,$B60)</f>
        <v>27.734286000000001</v>
      </c>
      <c r="R60" s="20">
        <f>SUMIFS([1]raw_data!N:N,[1]raw_data!$A:$A,$B60)</f>
        <v>0.208221626452189</v>
      </c>
      <c r="S60" s="19">
        <f>SUMIFS([1]raw_data!O:O,[1]raw_data!$A:$A,$B60)</f>
        <v>316.41290800000002</v>
      </c>
      <c r="T60" s="20">
        <f>SUMIFS([1]raw_data!P:P,[1]raw_data!$A:$A,$B60)</f>
        <v>0.932263814616755</v>
      </c>
      <c r="U60" s="19">
        <f>SUMIFS([1]raw_data!Q:Q,[1]raw_data!$A:$A,$B60)</f>
        <v>35.172311000000001</v>
      </c>
      <c r="V60" s="20">
        <f>SUMIFS([1]raw_data!R:R,[1]raw_data!$A:$A,$B60)</f>
        <v>0.37522281639928601</v>
      </c>
      <c r="W60" s="19">
        <f>SUMIFS([1]raw_data!S:S,[1]raw_data!$A:$A,$B60)</f>
        <v>927.15982899999995</v>
      </c>
      <c r="X60" s="20">
        <f>SUMIFS([1]raw_data!T:T,[1]raw_data!$A:$A,$B60)</f>
        <v>2.46559428060768</v>
      </c>
      <c r="Y60" s="19">
        <f>SUMIFS([1]raw_data!U:U,[1]raw_data!$A:$A,$B60)</f>
        <v>503.80761000000001</v>
      </c>
      <c r="Z60" s="20">
        <f>SUMIFS([1]raw_data!V:V,[1]raw_data!$A:$A,$B60)</f>
        <v>1.8865058087578099</v>
      </c>
      <c r="AA60" s="17">
        <f t="shared" si="0"/>
        <v>150.63966099999999</v>
      </c>
    </row>
    <row r="61" spans="1:27" x14ac:dyDescent="0.25">
      <c r="A61" s="38"/>
      <c r="B61" s="17" t="s">
        <v>187</v>
      </c>
      <c r="C61" s="17" t="s">
        <v>106</v>
      </c>
      <c r="D61" s="17" t="s">
        <v>188</v>
      </c>
      <c r="E61" s="17" t="s">
        <v>19</v>
      </c>
      <c r="F61" s="18">
        <f>IFERROR(INDEX([1]raw_data!B:B,MATCH('SAIDI excl MEDs sort (5-yr avg)'!B158,[1]raw_data!A:A,0)),0)</f>
        <v>2047.444444</v>
      </c>
      <c r="G61" s="19">
        <f>SUMIFS([1]raw_data!C:C,[1]raw_data!$A:$A,$B61)</f>
        <v>0.34941699999999998</v>
      </c>
      <c r="H61" s="20">
        <f>SUMIFS([1]raw_data!D:D,[1]raw_data!$A:$A,$B61)</f>
        <v>1.85528756957328E-3</v>
      </c>
      <c r="I61" s="19">
        <f>SUMIFS([1]raw_data!E:E,[1]raw_data!$A:$A,$B61)</f>
        <v>0.34941699999999998</v>
      </c>
      <c r="J61" s="20">
        <f>SUMIFS([1]raw_data!F:F,[1]raw_data!$A:$A,$B61)</f>
        <v>1.85528756957328E-3</v>
      </c>
      <c r="K61" s="19">
        <f>SUMIFS([1]raw_data!G:G,[1]raw_data!$A:$A,$B61)</f>
        <v>254.710184</v>
      </c>
      <c r="L61" s="20">
        <f>SUMIFS([1]raw_data!H:H,[1]raw_data!$A:$A,$B61)</f>
        <v>1.0404411764705801</v>
      </c>
      <c r="M61" s="19">
        <f>SUMIFS([1]raw_data!I:I,[1]raw_data!$A:$A,$B61)</f>
        <v>161.65982299999999</v>
      </c>
      <c r="N61" s="20">
        <f>SUMIFS([1]raw_data!J:J,[1]raw_data!$A:$A,$B61)</f>
        <v>0.99448529411764697</v>
      </c>
      <c r="O61" s="19">
        <f>SUMIFS([1]raw_data!K:K,[1]raw_data!$A:$A,$B61)</f>
        <v>2.5979329999999998</v>
      </c>
      <c r="P61" s="20">
        <f>SUMIFS([1]raw_data!L:L,[1]raw_data!$A:$A,$B61)</f>
        <v>5.1181102362204703E-2</v>
      </c>
      <c r="Q61" s="19">
        <f>SUMIFS([1]raw_data!M:M,[1]raw_data!$A:$A,$B61)</f>
        <v>2.5979329999999998</v>
      </c>
      <c r="R61" s="20">
        <f>SUMIFS([1]raw_data!N:N,[1]raw_data!$A:$A,$B61)</f>
        <v>5.1181102362204703E-2</v>
      </c>
      <c r="S61" s="19">
        <f>SUMIFS([1]raw_data!O:O,[1]raw_data!$A:$A,$B61)</f>
        <v>0</v>
      </c>
      <c r="T61" s="20">
        <f>SUMIFS([1]raw_data!P:P,[1]raw_data!$A:$A,$B61)</f>
        <v>0</v>
      </c>
      <c r="U61" s="19">
        <f>SUMIFS([1]raw_data!Q:Q,[1]raw_data!$A:$A,$B61)</f>
        <v>0</v>
      </c>
      <c r="V61" s="20">
        <f>SUMIFS([1]raw_data!R:R,[1]raw_data!$A:$A,$B61)</f>
        <v>0</v>
      </c>
      <c r="W61" s="19">
        <f>SUMIFS([1]raw_data!S:S,[1]raw_data!$A:$A,$B61)</f>
        <v>1692.6057249999999</v>
      </c>
      <c r="X61" s="20">
        <f>SUMIFS([1]raw_data!T:T,[1]raw_data!$A:$A,$B61)</f>
        <v>2.22699386503067</v>
      </c>
      <c r="Y61" s="19">
        <f>SUMIFS([1]raw_data!U:U,[1]raw_data!$A:$A,$B61)</f>
        <v>573.26094000000001</v>
      </c>
      <c r="Z61" s="20">
        <f>SUMIFS([1]raw_data!V:V,[1]raw_data!$A:$A,$B61)</f>
        <v>1.29447852760736</v>
      </c>
      <c r="AA61" s="17">
        <f t="shared" si="0"/>
        <v>147.57362259999999</v>
      </c>
    </row>
    <row r="62" spans="1:27" x14ac:dyDescent="0.25">
      <c r="A62" s="38"/>
      <c r="B62" s="17" t="s">
        <v>189</v>
      </c>
      <c r="C62" s="17" t="s">
        <v>190</v>
      </c>
      <c r="D62" s="17" t="s">
        <v>191</v>
      </c>
      <c r="E62" s="17" t="s">
        <v>15</v>
      </c>
      <c r="F62" s="18">
        <f>IFERROR(INDEX([1]raw_data!B:B,MATCH('SAIDI excl MEDs sort (5-yr avg)'!B23,[1]raw_data!A:A,0)),0)</f>
        <v>1175.625</v>
      </c>
      <c r="G62" s="19">
        <f>SUMIFS([1]raw_data!C:C,[1]raw_data!$A:$A,$B62)</f>
        <v>285.83162299999998</v>
      </c>
      <c r="H62" s="20">
        <f>SUMIFS([1]raw_data!D:D,[1]raw_data!$A:$A,$B62)</f>
        <v>1.4156862745098</v>
      </c>
      <c r="I62" s="19">
        <f>SUMIFS([1]raw_data!E:E,[1]raw_data!$A:$A,$B62)</f>
        <v>264.54677900000002</v>
      </c>
      <c r="J62" s="20">
        <f>SUMIFS([1]raw_data!F:F,[1]raw_data!$A:$A,$B62)</f>
        <v>1.40980392156862</v>
      </c>
      <c r="K62" s="19">
        <f>SUMIFS([1]raw_data!G:G,[1]raw_data!$A:$A,$B62)</f>
        <v>165.07051100000001</v>
      </c>
      <c r="L62" s="20">
        <f>SUMIFS([1]raw_data!H:H,[1]raw_data!$A:$A,$B62)</f>
        <v>0.47693817468105898</v>
      </c>
      <c r="M62" s="19">
        <f>SUMIFS([1]raw_data!I:I,[1]raw_data!$A:$A,$B62)</f>
        <v>55.249465000000001</v>
      </c>
      <c r="N62" s="20">
        <f>SUMIFS([1]raw_data!J:J,[1]raw_data!$A:$A,$B62)</f>
        <v>9.7154072620215803E-2</v>
      </c>
      <c r="O62" s="19">
        <f>SUMIFS([1]raw_data!K:K,[1]raw_data!$A:$A,$B62)</f>
        <v>85.151269999999997</v>
      </c>
      <c r="P62" s="20">
        <f>SUMIFS([1]raw_data!L:L,[1]raw_data!$A:$A,$B62)</f>
        <v>0.118279569892473</v>
      </c>
      <c r="Q62" s="19">
        <f>SUMIFS([1]raw_data!M:M,[1]raw_data!$A:$A,$B62)</f>
        <v>30.667757999999999</v>
      </c>
      <c r="R62" s="20">
        <f>SUMIFS([1]raw_data!N:N,[1]raw_data!$A:$A,$B62)</f>
        <v>9.4819159335288297E-2</v>
      </c>
      <c r="S62" s="19">
        <f>SUMIFS([1]raw_data!O:O,[1]raw_data!$A:$A,$B62)</f>
        <v>34.187896000000002</v>
      </c>
      <c r="T62" s="20">
        <f>SUMIFS([1]raw_data!P:P,[1]raw_data!$A:$A,$B62)</f>
        <v>0.19146825396825301</v>
      </c>
      <c r="U62" s="19">
        <f>SUMIFS([1]raw_data!Q:Q,[1]raw_data!$A:$A,$B62)</f>
        <v>25.495767000000001</v>
      </c>
      <c r="V62" s="20">
        <f>SUMIFS([1]raw_data!R:R,[1]raw_data!$A:$A,$B62)</f>
        <v>0.182539682539682</v>
      </c>
      <c r="W62" s="19">
        <f>SUMIFS([1]raw_data!S:S,[1]raw_data!$A:$A,$B62)</f>
        <v>393.59287799999998</v>
      </c>
      <c r="X62" s="20">
        <f>SUMIFS([1]raw_data!T:T,[1]raw_data!$A:$A,$B62)</f>
        <v>1.4353059177532499</v>
      </c>
      <c r="Y62" s="19">
        <f>SUMIFS([1]raw_data!U:U,[1]raw_data!$A:$A,$B62)</f>
        <v>354.10310900000002</v>
      </c>
      <c r="Z62" s="20">
        <f>SUMIFS([1]raw_data!V:V,[1]raw_data!$A:$A,$B62)</f>
        <v>1.4132397191574699</v>
      </c>
      <c r="AA62" s="17">
        <f t="shared" si="0"/>
        <v>146.01257559999999</v>
      </c>
    </row>
    <row r="63" spans="1:27" x14ac:dyDescent="0.25">
      <c r="A63" s="38"/>
      <c r="B63" s="17" t="s">
        <v>192</v>
      </c>
      <c r="C63" s="17" t="s">
        <v>133</v>
      </c>
      <c r="D63" s="17" t="s">
        <v>193</v>
      </c>
      <c r="E63" s="17" t="s">
        <v>19</v>
      </c>
      <c r="F63" s="18">
        <f>IFERROR(INDEX([1]raw_data!B:B,MATCH('SAIDI excl MEDs sort (5-yr avg)'!B44,[1]raw_data!A:A,0)),0)</f>
        <v>635.20000000000005</v>
      </c>
      <c r="G63" s="19">
        <f>SUMIFS([1]raw_data!C:C,[1]raw_data!$A:$A,$B63)</f>
        <v>335.08841000000001</v>
      </c>
      <c r="H63" s="20">
        <f>SUMIFS([1]raw_data!D:D,[1]raw_data!$A:$A,$B63)</f>
        <v>2.6176024279210899</v>
      </c>
      <c r="I63" s="19">
        <f>SUMIFS([1]raw_data!E:E,[1]raw_data!$A:$A,$B63)</f>
        <v>159.64380499999999</v>
      </c>
      <c r="J63" s="20">
        <f>SUMIFS([1]raw_data!F:F,[1]raw_data!$A:$A,$B63)</f>
        <v>1.80121396054628</v>
      </c>
      <c r="K63" s="19">
        <f>SUMIFS([1]raw_data!G:G,[1]raw_data!$A:$A,$B63)</f>
        <v>306.28588500000001</v>
      </c>
      <c r="L63" s="20">
        <f>SUMIFS([1]raw_data!H:H,[1]raw_data!$A:$A,$B63)</f>
        <v>1.9802431610942199</v>
      </c>
      <c r="M63" s="19">
        <f>SUMIFS([1]raw_data!I:I,[1]raw_data!$A:$A,$B63)</f>
        <v>306.28588500000001</v>
      </c>
      <c r="N63" s="20">
        <f>SUMIFS([1]raw_data!J:J,[1]raw_data!$A:$A,$B63)</f>
        <v>1.9802431610942199</v>
      </c>
      <c r="O63" s="19">
        <f>SUMIFS([1]raw_data!K:K,[1]raw_data!$A:$A,$B63)</f>
        <v>124.184044</v>
      </c>
      <c r="P63" s="20">
        <f>SUMIFS([1]raw_data!L:L,[1]raw_data!$A:$A,$B63)</f>
        <v>1.1280487804878001</v>
      </c>
      <c r="Q63" s="19">
        <f>SUMIFS([1]raw_data!M:M,[1]raw_data!$A:$A,$B63)</f>
        <v>118.248577</v>
      </c>
      <c r="R63" s="20">
        <f>SUMIFS([1]raw_data!N:N,[1]raw_data!$A:$A,$B63)</f>
        <v>1.1265243902438999</v>
      </c>
      <c r="S63" s="19">
        <f>SUMIFS([1]raw_data!O:O,[1]raw_data!$A:$A,$B63)</f>
        <v>429.05482599999999</v>
      </c>
      <c r="T63" s="20">
        <f>SUMIFS([1]raw_data!P:P,[1]raw_data!$A:$A,$B63)</f>
        <v>0.34603658536585302</v>
      </c>
      <c r="U63" s="19">
        <f>SUMIFS([1]raw_data!Q:Q,[1]raw_data!$A:$A,$B63)</f>
        <v>23.788084000000001</v>
      </c>
      <c r="V63" s="20">
        <f>SUMIFS([1]raw_data!R:R,[1]raw_data!$A:$A,$B63)</f>
        <v>0.20274390243902399</v>
      </c>
      <c r="W63" s="19">
        <f>SUMIFS([1]raw_data!S:S,[1]raw_data!$A:$A,$B63)</f>
        <v>212.758038</v>
      </c>
      <c r="X63" s="20">
        <f>SUMIFS([1]raw_data!T:T,[1]raw_data!$A:$A,$B63)</f>
        <v>2.1858678955453099</v>
      </c>
      <c r="Y63" s="19">
        <f>SUMIFS([1]raw_data!U:U,[1]raw_data!$A:$A,$B63)</f>
        <v>114.323476</v>
      </c>
      <c r="Z63" s="20">
        <f>SUMIFS([1]raw_data!V:V,[1]raw_data!$A:$A,$B63)</f>
        <v>2.0906298003072101</v>
      </c>
      <c r="AA63" s="17">
        <f t="shared" si="0"/>
        <v>144.45796540000001</v>
      </c>
    </row>
    <row r="64" spans="1:27" x14ac:dyDescent="0.25">
      <c r="A64" s="38"/>
      <c r="B64" s="17" t="s">
        <v>194</v>
      </c>
      <c r="C64" s="17" t="s">
        <v>118</v>
      </c>
      <c r="D64" s="17" t="s">
        <v>195</v>
      </c>
      <c r="E64" s="17" t="s">
        <v>27</v>
      </c>
      <c r="F64" s="18">
        <f>IFERROR(INDEX([1]raw_data!B:B,MATCH('SAIDI excl MEDs sort (5-yr avg)'!B142,[1]raw_data!A:A,0)),0)</f>
        <v>1575.125</v>
      </c>
      <c r="G64" s="19">
        <f>SUMIFS([1]raw_data!C:C,[1]raw_data!$A:$A,$B64)</f>
        <v>34.260426000000002</v>
      </c>
      <c r="H64" s="20">
        <f>SUMIFS([1]raw_data!D:D,[1]raw_data!$A:$A,$B64)</f>
        <v>0.140151515151515</v>
      </c>
      <c r="I64" s="19">
        <f>SUMIFS([1]raw_data!E:E,[1]raw_data!$A:$A,$B64)</f>
        <v>6.4535799999999997</v>
      </c>
      <c r="J64" s="20">
        <f>SUMIFS([1]raw_data!F:F,[1]raw_data!$A:$A,$B64)</f>
        <v>0.125946969696969</v>
      </c>
      <c r="K64" s="19">
        <f>SUMIFS([1]raw_data!G:G,[1]raw_data!$A:$A,$B64)</f>
        <v>7.0832480000000002</v>
      </c>
      <c r="L64" s="20">
        <f>SUMIFS([1]raw_data!H:H,[1]raw_data!$A:$A,$B64)</f>
        <v>3.4354688950789199E-2</v>
      </c>
      <c r="M64" s="19">
        <f>SUMIFS([1]raw_data!I:I,[1]raw_data!$A:$A,$B64)</f>
        <v>3.516057</v>
      </c>
      <c r="N64" s="20">
        <f>SUMIFS([1]raw_data!J:J,[1]raw_data!$A:$A,$B64)</f>
        <v>2.4141132776230201E-2</v>
      </c>
      <c r="O64" s="19">
        <f>SUMIFS([1]raw_data!K:K,[1]raw_data!$A:$A,$B64)</f>
        <v>106.71116600000001</v>
      </c>
      <c r="P64" s="20">
        <f>SUMIFS([1]raw_data!L:L,[1]raw_data!$A:$A,$B64)</f>
        <v>0.202602230483271</v>
      </c>
      <c r="Q64" s="19">
        <f>SUMIFS([1]raw_data!M:M,[1]raw_data!$A:$A,$B64)</f>
        <v>100.76256100000001</v>
      </c>
      <c r="R64" s="20">
        <f>SUMIFS([1]raw_data!N:N,[1]raw_data!$A:$A,$B64)</f>
        <v>0.19981412639405199</v>
      </c>
      <c r="S64" s="19">
        <f>SUMIFS([1]raw_data!O:O,[1]raw_data!$A:$A,$B64)</f>
        <v>103.903301</v>
      </c>
      <c r="T64" s="20">
        <f>SUMIFS([1]raw_data!P:P,[1]raw_data!$A:$A,$B64)</f>
        <v>0.54232558139534803</v>
      </c>
      <c r="U64" s="19">
        <f>SUMIFS([1]raw_data!Q:Q,[1]raw_data!$A:$A,$B64)</f>
        <v>79.124976000000004</v>
      </c>
      <c r="V64" s="20">
        <f>SUMIFS([1]raw_data!R:R,[1]raw_data!$A:$A,$B64)</f>
        <v>0.46511627906976699</v>
      </c>
      <c r="W64" s="19">
        <f>SUMIFS([1]raw_data!S:S,[1]raw_data!$A:$A,$B64)</f>
        <v>682.06074599999999</v>
      </c>
      <c r="X64" s="20">
        <f>SUMIFS([1]raw_data!T:T,[1]raw_data!$A:$A,$B64)</f>
        <v>2.38841405508072</v>
      </c>
      <c r="Y64" s="19">
        <f>SUMIFS([1]raw_data!U:U,[1]raw_data!$A:$A,$B64)</f>
        <v>528.321684</v>
      </c>
      <c r="Z64" s="20">
        <f>SUMIFS([1]raw_data!V:V,[1]raw_data!$A:$A,$B64)</f>
        <v>2.01519468186134</v>
      </c>
      <c r="AA64" s="17">
        <f t="shared" si="0"/>
        <v>143.6357716</v>
      </c>
    </row>
    <row r="65" spans="1:27" x14ac:dyDescent="0.25">
      <c r="A65" s="38"/>
      <c r="B65" s="17" t="s">
        <v>196</v>
      </c>
      <c r="C65" s="17" t="s">
        <v>197</v>
      </c>
      <c r="D65" s="17" t="s">
        <v>198</v>
      </c>
      <c r="E65" s="17" t="s">
        <v>15</v>
      </c>
      <c r="F65" s="18">
        <f>IFERROR(INDEX([1]raw_data!B:B,MATCH('SAIDI excl MEDs sort (5-yr avg)'!B66,[1]raw_data!A:A,0)),0)</f>
        <v>1810.875</v>
      </c>
      <c r="G65" s="19">
        <f>SUMIFS([1]raw_data!C:C,[1]raw_data!$A:$A,$B65)</f>
        <v>519.32807400000002</v>
      </c>
      <c r="H65" s="20">
        <f>SUMIFS([1]raw_data!D:D,[1]raw_data!$A:$A,$B65)</f>
        <v>1.0523665659617301</v>
      </c>
      <c r="I65" s="19">
        <f>SUMIFS([1]raw_data!E:E,[1]raw_data!$A:$A,$B65)</f>
        <v>519.32807400000002</v>
      </c>
      <c r="J65" s="20">
        <f>SUMIFS([1]raw_data!F:F,[1]raw_data!$A:$A,$B65)</f>
        <v>1.0523665659617301</v>
      </c>
      <c r="K65" s="19">
        <f>SUMIFS([1]raw_data!G:G,[1]raw_data!$A:$A,$B65)</f>
        <v>61.108294000000001</v>
      </c>
      <c r="L65" s="20">
        <f>SUMIFS([1]raw_data!H:H,[1]raw_data!$A:$A,$B65)</f>
        <v>0.22365805168986</v>
      </c>
      <c r="M65" s="19">
        <f>SUMIFS([1]raw_data!I:I,[1]raw_data!$A:$A,$B65)</f>
        <v>42.260472</v>
      </c>
      <c r="N65" s="20">
        <f>SUMIFS([1]raw_data!J:J,[1]raw_data!$A:$A,$B65)</f>
        <v>0.181908548707753</v>
      </c>
      <c r="O65" s="19">
        <f>SUMIFS([1]raw_data!K:K,[1]raw_data!$A:$A,$B65)</f>
        <v>461.89022599999998</v>
      </c>
      <c r="P65" s="20">
        <f>SUMIFS([1]raw_data!L:L,[1]raw_data!$A:$A,$B65)</f>
        <v>0.66633366633366597</v>
      </c>
      <c r="Q65" s="19">
        <f>SUMIFS([1]raw_data!M:M,[1]raw_data!$A:$A,$B65)</f>
        <v>20.522977000000001</v>
      </c>
      <c r="R65" s="20">
        <f>SUMIFS([1]raw_data!N:N,[1]raw_data!$A:$A,$B65)</f>
        <v>0.121878121878121</v>
      </c>
      <c r="S65" s="19">
        <f>SUMIFS([1]raw_data!O:O,[1]raw_data!$A:$A,$B65)</f>
        <v>99.647908999999999</v>
      </c>
      <c r="T65" s="20">
        <f>SUMIFS([1]raw_data!P:P,[1]raw_data!$A:$A,$B65)</f>
        <v>0.69167523124357599</v>
      </c>
      <c r="U65" s="19">
        <f>SUMIFS([1]raw_data!Q:Q,[1]raw_data!$A:$A,$B65)</f>
        <v>93.942667999999998</v>
      </c>
      <c r="V65" s="20">
        <f>SUMIFS([1]raw_data!R:R,[1]raw_data!$A:$A,$B65)</f>
        <v>0.67934224049331904</v>
      </c>
      <c r="W65" s="19">
        <f>SUMIFS([1]raw_data!S:S,[1]raw_data!$A:$A,$B65)</f>
        <v>40.932270000000003</v>
      </c>
      <c r="X65" s="20">
        <f>SUMIFS([1]raw_data!T:T,[1]raw_data!$A:$A,$B65)</f>
        <v>0.13584117032392801</v>
      </c>
      <c r="Y65" s="19">
        <f>SUMIFS([1]raw_data!U:U,[1]raw_data!$A:$A,$B65)</f>
        <v>40.932270000000003</v>
      </c>
      <c r="Z65" s="20">
        <f>SUMIFS([1]raw_data!V:V,[1]raw_data!$A:$A,$B65)</f>
        <v>0.13584117032392801</v>
      </c>
      <c r="AA65" s="17">
        <f t="shared" si="0"/>
        <v>143.39729220000001</v>
      </c>
    </row>
    <row r="66" spans="1:27" x14ac:dyDescent="0.25">
      <c r="A66" s="38"/>
      <c r="B66" s="17" t="s">
        <v>199</v>
      </c>
      <c r="C66" s="17" t="s">
        <v>200</v>
      </c>
      <c r="D66" s="17" t="s">
        <v>201</v>
      </c>
      <c r="E66" s="17" t="s">
        <v>15</v>
      </c>
      <c r="F66" s="18">
        <f>IFERROR(INDEX([1]raw_data!B:B,MATCH('SAIDI excl MEDs sort (5-yr avg)'!B122,[1]raw_data!A:A,0)),0)</f>
        <v>2047</v>
      </c>
      <c r="G66" s="19">
        <f>SUMIFS([1]raw_data!C:C,[1]raw_data!$A:$A,$B66)</f>
        <v>729.88451699999996</v>
      </c>
      <c r="H66" s="20">
        <f>SUMIFS([1]raw_data!D:D,[1]raw_data!$A:$A,$B66)</f>
        <v>0.93798052280881505</v>
      </c>
      <c r="I66" s="19">
        <f>SUMIFS([1]raw_data!E:E,[1]raw_data!$A:$A,$B66)</f>
        <v>18.335521</v>
      </c>
      <c r="J66" s="20">
        <f>SUMIFS([1]raw_data!F:F,[1]raw_data!$A:$A,$B66)</f>
        <v>5.0743208610968697E-2</v>
      </c>
      <c r="K66" s="19">
        <f>SUMIFS([1]raw_data!G:G,[1]raw_data!$A:$A,$B66)</f>
        <v>13.248189999999999</v>
      </c>
      <c r="L66" s="20">
        <f>SUMIFS([1]raw_data!H:H,[1]raw_data!$A:$A,$B66)</f>
        <v>0.10136452241715301</v>
      </c>
      <c r="M66" s="19">
        <f>SUMIFS([1]raw_data!I:I,[1]raw_data!$A:$A,$B66)</f>
        <v>12.38926</v>
      </c>
      <c r="N66" s="20">
        <f>SUMIFS([1]raw_data!J:J,[1]raw_data!$A:$A,$B66)</f>
        <v>0.100714749837556</v>
      </c>
      <c r="O66" s="19">
        <f>SUMIFS([1]raw_data!K:K,[1]raw_data!$A:$A,$B66)</f>
        <v>142.37143399999999</v>
      </c>
      <c r="P66" s="20">
        <f>SUMIFS([1]raw_data!L:L,[1]raw_data!$A:$A,$B66)</f>
        <v>0.31631057842626298</v>
      </c>
      <c r="Q66" s="19">
        <f>SUMIFS([1]raw_data!M:M,[1]raw_data!$A:$A,$B66)</f>
        <v>136.86499900000001</v>
      </c>
      <c r="R66" s="20">
        <f>SUMIFS([1]raw_data!N:N,[1]raw_data!$A:$A,$B66)</f>
        <v>0.30745179781136001</v>
      </c>
      <c r="S66" s="19">
        <f>SUMIFS([1]raw_data!O:O,[1]raw_data!$A:$A,$B66)</f>
        <v>267.367684</v>
      </c>
      <c r="T66" s="20">
        <f>SUMIFS([1]raw_data!P:P,[1]raw_data!$A:$A,$B66)</f>
        <v>0.77122153209109701</v>
      </c>
      <c r="U66" s="19">
        <f>SUMIFS([1]raw_data!Q:Q,[1]raw_data!$A:$A,$B66)</f>
        <v>267.367684</v>
      </c>
      <c r="V66" s="20">
        <f>SUMIFS([1]raw_data!R:R,[1]raw_data!$A:$A,$B66)</f>
        <v>0.77122153209109701</v>
      </c>
      <c r="W66" s="19">
        <f>SUMIFS([1]raw_data!S:S,[1]raw_data!$A:$A,$B66)</f>
        <v>274.57879400000002</v>
      </c>
      <c r="X66" s="20">
        <f>SUMIFS([1]raw_data!T:T,[1]raw_data!$A:$A,$B66)</f>
        <v>0.54058721934369602</v>
      </c>
      <c r="Y66" s="19">
        <f>SUMIFS([1]raw_data!U:U,[1]raw_data!$A:$A,$B66)</f>
        <v>274.57879400000002</v>
      </c>
      <c r="Z66" s="20">
        <f>SUMIFS([1]raw_data!V:V,[1]raw_data!$A:$A,$B66)</f>
        <v>0.54058721934369602</v>
      </c>
      <c r="AA66" s="17">
        <f t="shared" si="0"/>
        <v>141.90725160000002</v>
      </c>
    </row>
    <row r="67" spans="1:27" x14ac:dyDescent="0.25">
      <c r="A67" s="38"/>
      <c r="B67" s="17" t="s">
        <v>202</v>
      </c>
      <c r="C67" s="17" t="s">
        <v>81</v>
      </c>
      <c r="D67" s="17" t="s">
        <v>203</v>
      </c>
      <c r="E67" s="17" t="s">
        <v>15</v>
      </c>
      <c r="F67" s="18">
        <f>IFERROR(INDEX([1]raw_data!B:B,MATCH('SAIDI excl MEDs sort (5-yr avg)'!B181,[1]raw_data!A:A,0)),0)</f>
        <v>459</v>
      </c>
      <c r="G67" s="19">
        <f>SUMIFS([1]raw_data!C:C,[1]raw_data!$A:$A,$B67)</f>
        <v>3.272017</v>
      </c>
      <c r="H67" s="20">
        <f>SUMIFS([1]raw_data!D:D,[1]raw_data!$A:$A,$B67)</f>
        <v>7.3529411764705803E-3</v>
      </c>
      <c r="I67" s="19">
        <f>SUMIFS([1]raw_data!E:E,[1]raw_data!$A:$A,$B67)</f>
        <v>0</v>
      </c>
      <c r="J67" s="20">
        <f>SUMIFS([1]raw_data!F:F,[1]raw_data!$A:$A,$B67)</f>
        <v>0</v>
      </c>
      <c r="K67" s="19">
        <f>SUMIFS([1]raw_data!G:G,[1]raw_data!$A:$A,$B67)</f>
        <v>143.36324999999999</v>
      </c>
      <c r="L67" s="20">
        <f>SUMIFS([1]raw_data!H:H,[1]raw_data!$A:$A,$B67)</f>
        <v>0.33812949640287698</v>
      </c>
      <c r="M67" s="19">
        <f>SUMIFS([1]raw_data!I:I,[1]raw_data!$A:$A,$B67)</f>
        <v>143.36324999999999</v>
      </c>
      <c r="N67" s="20">
        <f>SUMIFS([1]raw_data!J:J,[1]raw_data!$A:$A,$B67)</f>
        <v>0.33812949640287698</v>
      </c>
      <c r="O67" s="19">
        <f>SUMIFS([1]raw_data!K:K,[1]raw_data!$A:$A,$B67)</f>
        <v>32.558914000000001</v>
      </c>
      <c r="P67" s="20">
        <f>SUMIFS([1]raw_data!L:L,[1]raw_data!$A:$A,$B67)</f>
        <v>0.108527131782945</v>
      </c>
      <c r="Q67" s="19">
        <f>SUMIFS([1]raw_data!M:M,[1]raw_data!$A:$A,$B67)</f>
        <v>32.558914000000001</v>
      </c>
      <c r="R67" s="20">
        <f>SUMIFS([1]raw_data!N:N,[1]raw_data!$A:$A,$B67)</f>
        <v>0.108527131782945</v>
      </c>
      <c r="S67" s="19">
        <f>SUMIFS([1]raw_data!O:O,[1]raw_data!$A:$A,$B67)</f>
        <v>119.94035</v>
      </c>
      <c r="T67" s="20">
        <f>SUMIFS([1]raw_data!P:P,[1]raw_data!$A:$A,$B67)</f>
        <v>2.5394736842105199</v>
      </c>
      <c r="U67" s="19">
        <f>SUMIFS([1]raw_data!Q:Q,[1]raw_data!$A:$A,$B67)</f>
        <v>54.522587000000001</v>
      </c>
      <c r="V67" s="20">
        <f>SUMIFS([1]raw_data!R:R,[1]raw_data!$A:$A,$B67)</f>
        <v>1.1578947368421</v>
      </c>
      <c r="W67" s="19">
        <f>SUMIFS([1]raw_data!S:S,[1]raw_data!$A:$A,$B67)</f>
        <v>665.94541000000004</v>
      </c>
      <c r="X67" s="20">
        <f>SUMIFS([1]raw_data!T:T,[1]raw_data!$A:$A,$B67)</f>
        <v>2.9275362318840501</v>
      </c>
      <c r="Y67" s="19">
        <f>SUMIFS([1]raw_data!U:U,[1]raw_data!$A:$A,$B67)</f>
        <v>470.33864699999998</v>
      </c>
      <c r="Z67" s="20">
        <f>SUMIFS([1]raw_data!V:V,[1]raw_data!$A:$A,$B67)</f>
        <v>1.9420289855072399</v>
      </c>
      <c r="AA67" s="17">
        <f t="shared" si="0"/>
        <v>140.15667960000002</v>
      </c>
    </row>
    <row r="68" spans="1:27" x14ac:dyDescent="0.25">
      <c r="A68" s="38"/>
      <c r="B68" s="17" t="s">
        <v>204</v>
      </c>
      <c r="C68" s="17" t="s">
        <v>169</v>
      </c>
      <c r="D68" s="17" t="s">
        <v>205</v>
      </c>
      <c r="E68" s="17" t="s">
        <v>23</v>
      </c>
      <c r="F68" s="18">
        <f>IFERROR(INDEX([1]raw_data!B:B,MATCH('SAIDI excl MEDs sort (5-yr avg)'!B32,[1]raw_data!A:A,0)),0)</f>
        <v>119.4</v>
      </c>
      <c r="G68" s="19">
        <f>SUMIFS([1]raw_data!C:C,[1]raw_data!$A:$A,$B68)</f>
        <v>2004.6303640000001</v>
      </c>
      <c r="H68" s="20">
        <f>SUMIFS([1]raw_data!D:D,[1]raw_data!$A:$A,$B68)</f>
        <v>2.1951530612244801</v>
      </c>
      <c r="I68" s="19">
        <f>SUMIFS([1]raw_data!E:E,[1]raw_data!$A:$A,$B68)</f>
        <v>201.05788000000001</v>
      </c>
      <c r="J68" s="20">
        <f>SUMIFS([1]raw_data!F:F,[1]raw_data!$A:$A,$B68)</f>
        <v>1.6664540816326501</v>
      </c>
      <c r="K68" s="19">
        <f>SUMIFS([1]raw_data!G:G,[1]raw_data!$A:$A,$B68)</f>
        <v>143.504321</v>
      </c>
      <c r="L68" s="20">
        <f>SUMIFS([1]raw_data!H:H,[1]raw_data!$A:$A,$B68)</f>
        <v>1.0292249047013899</v>
      </c>
      <c r="M68" s="19">
        <f>SUMIFS([1]raw_data!I:I,[1]raw_data!$A:$A,$B68)</f>
        <v>74.883812000000006</v>
      </c>
      <c r="N68" s="20">
        <f>SUMIFS([1]raw_data!J:J,[1]raw_data!$A:$A,$B68)</f>
        <v>0.99301143583227403</v>
      </c>
      <c r="O68" s="19">
        <f>SUMIFS([1]raw_data!K:K,[1]raw_data!$A:$A,$B68)</f>
        <v>634.11761799999999</v>
      </c>
      <c r="P68" s="20">
        <f>SUMIFS([1]raw_data!L:L,[1]raw_data!$A:$A,$B68)</f>
        <v>1.5298223350253799</v>
      </c>
      <c r="Q68" s="19">
        <f>SUMIFS([1]raw_data!M:M,[1]raw_data!$A:$A,$B68)</f>
        <v>117.67208100000001</v>
      </c>
      <c r="R68" s="20">
        <f>SUMIFS([1]raw_data!N:N,[1]raw_data!$A:$A,$B68)</f>
        <v>0.85215736040609102</v>
      </c>
      <c r="S68" s="19">
        <f>SUMIFS([1]raw_data!O:O,[1]raw_data!$A:$A,$B68)</f>
        <v>264.51210300000002</v>
      </c>
      <c r="T68" s="20">
        <f>SUMIFS([1]raw_data!P:P,[1]raw_data!$A:$A,$B68)</f>
        <v>1.7825242718446599</v>
      </c>
      <c r="U68" s="19">
        <f>SUMIFS([1]raw_data!Q:Q,[1]raw_data!$A:$A,$B68)</f>
        <v>264.51210300000002</v>
      </c>
      <c r="V68" s="20">
        <f>SUMIFS([1]raw_data!R:R,[1]raw_data!$A:$A,$B68)</f>
        <v>1.7825242718446599</v>
      </c>
      <c r="W68" s="19">
        <f>SUMIFS([1]raw_data!S:S,[1]raw_data!$A:$A,$B68)</f>
        <v>139.719413</v>
      </c>
      <c r="X68" s="20">
        <f>SUMIFS([1]raw_data!T:T,[1]raw_data!$A:$A,$B68)</f>
        <v>0.229986431478968</v>
      </c>
      <c r="Y68" s="19">
        <f>SUMIFS([1]raw_data!U:U,[1]raw_data!$A:$A,$B68)</f>
        <v>27.690535000000001</v>
      </c>
      <c r="Z68" s="20">
        <f>SUMIFS([1]raw_data!V:V,[1]raw_data!$A:$A,$B68)</f>
        <v>0.18995929443690601</v>
      </c>
      <c r="AA68" s="17">
        <f t="shared" ref="AA68:AA131" si="1">(I68+M68+Q68+U68+Y68)/5</f>
        <v>137.1632822</v>
      </c>
    </row>
    <row r="69" spans="1:27" x14ac:dyDescent="0.25">
      <c r="A69" s="38"/>
      <c r="B69" s="17" t="s">
        <v>206</v>
      </c>
      <c r="C69" s="17" t="s">
        <v>165</v>
      </c>
      <c r="D69" s="17" t="s">
        <v>207</v>
      </c>
      <c r="E69" s="17" t="s">
        <v>19</v>
      </c>
      <c r="F69" s="18">
        <f>IFERROR(INDEX([1]raw_data!B:B,MATCH('SAIDI excl MEDs sort (5-yr avg)'!B104,[1]raw_data!A:A,0)),0)</f>
        <v>1562.4</v>
      </c>
      <c r="G69" s="19">
        <f>SUMIFS([1]raw_data!C:C,[1]raw_data!$A:$A,$B69)</f>
        <v>37.120266000000001</v>
      </c>
      <c r="H69" s="20">
        <f>SUMIFS([1]raw_data!D:D,[1]raw_data!$A:$A,$B69)</f>
        <v>0.33439490445859799</v>
      </c>
      <c r="I69" s="19">
        <f>SUMIFS([1]raw_data!E:E,[1]raw_data!$A:$A,$B69)</f>
        <v>37.120266000000001</v>
      </c>
      <c r="J69" s="20">
        <f>SUMIFS([1]raw_data!F:F,[1]raw_data!$A:$A,$B69)</f>
        <v>0.33439490445859799</v>
      </c>
      <c r="K69" s="19">
        <f>SUMIFS([1]raw_data!G:G,[1]raw_data!$A:$A,$B69)</f>
        <v>282.75783200000001</v>
      </c>
      <c r="L69" s="20">
        <f>SUMIFS([1]raw_data!H:H,[1]raw_data!$A:$A,$B69)</f>
        <v>1.4220779220779201</v>
      </c>
      <c r="M69" s="19">
        <f>SUMIFS([1]raw_data!I:I,[1]raw_data!$A:$A,$B69)</f>
        <v>274.13327900000002</v>
      </c>
      <c r="N69" s="20">
        <f>SUMIFS([1]raw_data!J:J,[1]raw_data!$A:$A,$B69)</f>
        <v>1.36038961038961</v>
      </c>
      <c r="O69" s="19">
        <f>SUMIFS([1]raw_data!K:K,[1]raw_data!$A:$A,$B69)</f>
        <v>379.40156300000001</v>
      </c>
      <c r="P69" s="20">
        <f>SUMIFS([1]raw_data!L:L,[1]raw_data!$A:$A,$B69)</f>
        <v>2.9158576051779899</v>
      </c>
      <c r="Q69" s="19">
        <f>SUMIFS([1]raw_data!M:M,[1]raw_data!$A:$A,$B69)</f>
        <v>362.29083000000003</v>
      </c>
      <c r="R69" s="20">
        <f>SUMIFS([1]raw_data!N:N,[1]raw_data!$A:$A,$B69)</f>
        <v>2.90614886731391</v>
      </c>
      <c r="S69" s="19">
        <f>SUMIFS([1]raw_data!O:O,[1]raw_data!$A:$A,$B69)</f>
        <v>12.038869999999999</v>
      </c>
      <c r="T69" s="20">
        <f>SUMIFS([1]raw_data!P:P,[1]raw_data!$A:$A,$B69)</f>
        <v>0.10423452768729601</v>
      </c>
      <c r="U69" s="19">
        <f>SUMIFS([1]raw_data!Q:Q,[1]raw_data!$A:$A,$B69)</f>
        <v>6.7578170000000002</v>
      </c>
      <c r="V69" s="20">
        <f>SUMIFS([1]raw_data!R:R,[1]raw_data!$A:$A,$B69)</f>
        <v>9.4462540716612295E-2</v>
      </c>
      <c r="W69" s="19">
        <f>SUMIFS([1]raw_data!S:S,[1]raw_data!$A:$A,$B69)</f>
        <v>0.70130300000000001</v>
      </c>
      <c r="X69" s="20">
        <f>SUMIFS([1]raw_data!T:T,[1]raw_data!$A:$A,$B69)</f>
        <v>2.1141649048625698E-3</v>
      </c>
      <c r="Y69" s="19">
        <f>SUMIFS([1]raw_data!U:U,[1]raw_data!$A:$A,$B69)</f>
        <v>0.70130300000000001</v>
      </c>
      <c r="Z69" s="20">
        <f>SUMIFS([1]raw_data!V:V,[1]raw_data!$A:$A,$B69)</f>
        <v>2.1141649048625698E-3</v>
      </c>
      <c r="AA69" s="17">
        <f t="shared" si="1"/>
        <v>136.20069900000004</v>
      </c>
    </row>
    <row r="70" spans="1:27" x14ac:dyDescent="0.25">
      <c r="A70" s="38"/>
      <c r="B70" s="17" t="s">
        <v>208</v>
      </c>
      <c r="C70" s="17" t="s">
        <v>115</v>
      </c>
      <c r="D70" s="17" t="s">
        <v>209</v>
      </c>
      <c r="E70" s="17" t="s">
        <v>15</v>
      </c>
      <c r="F70" s="18">
        <f>IFERROR(INDEX([1]raw_data!B:B,MATCH('SAIDI excl MEDs sort (5-yr avg)'!B159,[1]raw_data!A:A,0)),0)</f>
        <v>64.333332999999996</v>
      </c>
      <c r="G70" s="19">
        <f>SUMIFS([1]raw_data!C:C,[1]raw_data!$A:$A,$B70)</f>
        <v>0</v>
      </c>
      <c r="H70" s="20">
        <f>SUMIFS([1]raw_data!D:D,[1]raw_data!$A:$A,$B70)</f>
        <v>0</v>
      </c>
      <c r="I70" s="19">
        <f>SUMIFS([1]raw_data!E:E,[1]raw_data!$A:$A,$B70)</f>
        <v>0</v>
      </c>
      <c r="J70" s="20">
        <f>SUMIFS([1]raw_data!F:F,[1]raw_data!$A:$A,$B70)</f>
        <v>0</v>
      </c>
      <c r="K70" s="19">
        <f>SUMIFS([1]raw_data!G:G,[1]raw_data!$A:$A,$B70)</f>
        <v>0</v>
      </c>
      <c r="L70" s="20">
        <f>SUMIFS([1]raw_data!H:H,[1]raw_data!$A:$A,$B70)</f>
        <v>0</v>
      </c>
      <c r="M70" s="19">
        <f>SUMIFS([1]raw_data!I:I,[1]raw_data!$A:$A,$B70)</f>
        <v>0</v>
      </c>
      <c r="N70" s="20">
        <f>SUMIFS([1]raw_data!J:J,[1]raw_data!$A:$A,$B70)</f>
        <v>0</v>
      </c>
      <c r="O70" s="19">
        <f>SUMIFS([1]raw_data!K:K,[1]raw_data!$A:$A,$B70)</f>
        <v>0</v>
      </c>
      <c r="P70" s="20">
        <f>SUMIFS([1]raw_data!L:L,[1]raw_data!$A:$A,$B70)</f>
        <v>0</v>
      </c>
      <c r="Q70" s="19">
        <f>SUMIFS([1]raw_data!M:M,[1]raw_data!$A:$A,$B70)</f>
        <v>0</v>
      </c>
      <c r="R70" s="20">
        <f>SUMIFS([1]raw_data!N:N,[1]raw_data!$A:$A,$B70)</f>
        <v>0</v>
      </c>
      <c r="S70" s="19">
        <f>SUMIFS([1]raw_data!O:O,[1]raw_data!$A:$A,$B70)</f>
        <v>721.15973499999996</v>
      </c>
      <c r="T70" s="20">
        <f>SUMIFS([1]raw_data!P:P,[1]raw_data!$A:$A,$B70)</f>
        <v>1.93069306930693</v>
      </c>
      <c r="U70" s="19">
        <f>SUMIFS([1]raw_data!Q:Q,[1]raw_data!$A:$A,$B70)</f>
        <v>673.72640200000001</v>
      </c>
      <c r="V70" s="20">
        <f>SUMIFS([1]raw_data!R:R,[1]raw_data!$A:$A,$B70)</f>
        <v>0.93069306930692997</v>
      </c>
      <c r="W70" s="19">
        <f>SUMIFS([1]raw_data!S:S,[1]raw_data!$A:$A,$B70)</f>
        <v>0</v>
      </c>
      <c r="X70" s="20">
        <f>SUMIFS([1]raw_data!T:T,[1]raw_data!$A:$A,$B70)</f>
        <v>0</v>
      </c>
      <c r="Y70" s="19">
        <f>SUMIFS([1]raw_data!U:U,[1]raw_data!$A:$A,$B70)</f>
        <v>0</v>
      </c>
      <c r="Z70" s="20">
        <f>SUMIFS([1]raw_data!V:V,[1]raw_data!$A:$A,$B70)</f>
        <v>0</v>
      </c>
      <c r="AA70" s="17">
        <f t="shared" si="1"/>
        <v>134.74528040000001</v>
      </c>
    </row>
    <row r="71" spans="1:27" x14ac:dyDescent="0.25">
      <c r="A71" s="38"/>
      <c r="B71" s="17" t="s">
        <v>210</v>
      </c>
      <c r="C71" s="17" t="s">
        <v>211</v>
      </c>
      <c r="D71" s="17" t="s">
        <v>212</v>
      </c>
      <c r="E71" s="17" t="s">
        <v>76</v>
      </c>
      <c r="F71" s="18">
        <f>IFERROR(INDEX([1]raw_data!B:B,MATCH('SAIDI excl MEDs sort (5-yr avg)'!B62,[1]raw_data!A:A,0)),0)</f>
        <v>1013.4</v>
      </c>
      <c r="G71" s="19">
        <f>SUMIFS([1]raw_data!C:C,[1]raw_data!$A:$A,$B71)</f>
        <v>380.86888599999997</v>
      </c>
      <c r="H71" s="20">
        <f>SUMIFS([1]raw_data!D:D,[1]raw_data!$A:$A,$B71)</f>
        <v>1.2502157031923999</v>
      </c>
      <c r="I71" s="19">
        <f>SUMIFS([1]raw_data!E:E,[1]raw_data!$A:$A,$B71)</f>
        <v>110.076172</v>
      </c>
      <c r="J71" s="20">
        <f>SUMIFS([1]raw_data!F:F,[1]raw_data!$A:$A,$B71)</f>
        <v>1.0638481449525401</v>
      </c>
      <c r="K71" s="19">
        <f>SUMIFS([1]raw_data!G:G,[1]raw_data!$A:$A,$B71)</f>
        <v>589.41371000000004</v>
      </c>
      <c r="L71" s="20">
        <f>SUMIFS([1]raw_data!H:H,[1]raw_data!$A:$A,$B71)</f>
        <v>1.6491831470335301</v>
      </c>
      <c r="M71" s="19">
        <f>SUMIFS([1]raw_data!I:I,[1]raw_data!$A:$A,$B71)</f>
        <v>420.31894799999998</v>
      </c>
      <c r="N71" s="20">
        <f>SUMIFS([1]raw_data!J:J,[1]raw_data!$A:$A,$B71)</f>
        <v>1.5399828030954399</v>
      </c>
      <c r="O71" s="19">
        <f>SUMIFS([1]raw_data!K:K,[1]raw_data!$A:$A,$B71)</f>
        <v>146.303676</v>
      </c>
      <c r="P71" s="20">
        <f>SUMIFS([1]raw_data!L:L,[1]raw_data!$A:$A,$B71)</f>
        <v>1.1656652360515001</v>
      </c>
      <c r="Q71" s="19">
        <f>SUMIFS([1]raw_data!M:M,[1]raw_data!$A:$A,$B71)</f>
        <v>98.468626</v>
      </c>
      <c r="R71" s="20">
        <f>SUMIFS([1]raw_data!N:N,[1]raw_data!$A:$A,$B71)</f>
        <v>1.131330472103</v>
      </c>
      <c r="S71" s="19">
        <f>SUMIFS([1]raw_data!O:O,[1]raw_data!$A:$A,$B71)</f>
        <v>528.94118600000002</v>
      </c>
      <c r="T71" s="20">
        <f>SUMIFS([1]raw_data!P:P,[1]raw_data!$A:$A,$B71)</f>
        <v>1.32618025751072</v>
      </c>
      <c r="U71" s="19">
        <f>SUMIFS([1]raw_data!Q:Q,[1]raw_data!$A:$A,$B71)</f>
        <v>34.231586999999998</v>
      </c>
      <c r="V71" s="20">
        <f>SUMIFS([1]raw_data!R:R,[1]raw_data!$A:$A,$B71)</f>
        <v>0.26609442060085797</v>
      </c>
      <c r="W71" s="19">
        <f>SUMIFS([1]raw_data!S:S,[1]raw_data!$A:$A,$B71)</f>
        <v>53.471117</v>
      </c>
      <c r="X71" s="20">
        <f>SUMIFS([1]raw_data!T:T,[1]raw_data!$A:$A,$B71)</f>
        <v>0.22558340535868601</v>
      </c>
      <c r="Y71" s="19">
        <f>SUMIFS([1]raw_data!U:U,[1]raw_data!$A:$A,$B71)</f>
        <v>10.05847</v>
      </c>
      <c r="Z71" s="20">
        <f>SUMIFS([1]raw_data!V:V,[1]raw_data!$A:$A,$B71)</f>
        <v>0.122731201382886</v>
      </c>
      <c r="AA71" s="17">
        <f t="shared" si="1"/>
        <v>134.63076059999997</v>
      </c>
    </row>
    <row r="72" spans="1:27" x14ac:dyDescent="0.25">
      <c r="A72" s="38"/>
      <c r="B72" s="17" t="s">
        <v>213</v>
      </c>
      <c r="C72" s="17" t="s">
        <v>214</v>
      </c>
      <c r="D72" s="17" t="s">
        <v>215</v>
      </c>
      <c r="E72" s="17" t="s">
        <v>23</v>
      </c>
      <c r="F72" s="18">
        <f>IFERROR(INDEX([1]raw_data!B:B,MATCH('SAIDI excl MEDs sort (5-yr avg)'!B130,[1]raw_data!A:A,0)),0)</f>
        <v>971.44444399999998</v>
      </c>
      <c r="G72" s="19">
        <f>SUMIFS([1]raw_data!C:C,[1]raw_data!$A:$A,$B72)</f>
        <v>17.719512000000002</v>
      </c>
      <c r="H72" s="20">
        <f>SUMIFS([1]raw_data!D:D,[1]raw_data!$A:$A,$B72)</f>
        <v>4.96296296296296E-2</v>
      </c>
      <c r="I72" s="19">
        <f>SUMIFS([1]raw_data!E:E,[1]raw_data!$A:$A,$B72)</f>
        <v>12.865804000000001</v>
      </c>
      <c r="J72" s="20">
        <f>SUMIFS([1]raw_data!F:F,[1]raw_data!$A:$A,$B72)</f>
        <v>4.5185185185185099E-2</v>
      </c>
      <c r="K72" s="19">
        <f>SUMIFS([1]raw_data!G:G,[1]raw_data!$A:$A,$B72)</f>
        <v>5.9661270000000002</v>
      </c>
      <c r="L72" s="20">
        <f>SUMIFS([1]raw_data!H:H,[1]raw_data!$A:$A,$B72)</f>
        <v>4.2035398230088401E-2</v>
      </c>
      <c r="M72" s="19">
        <f>SUMIFS([1]raw_data!I:I,[1]raw_data!$A:$A,$B72)</f>
        <v>2.9693429999999998</v>
      </c>
      <c r="N72" s="20">
        <f>SUMIFS([1]raw_data!J:J,[1]raw_data!$A:$A,$B72)</f>
        <v>3.7610619469026503E-2</v>
      </c>
      <c r="O72" s="19">
        <f>SUMIFS([1]raw_data!K:K,[1]raw_data!$A:$A,$B72)</f>
        <v>249.341961</v>
      </c>
      <c r="P72" s="20">
        <f>SUMIFS([1]raw_data!L:L,[1]raw_data!$A:$A,$B72)</f>
        <v>1.8045722713864301</v>
      </c>
      <c r="Q72" s="19">
        <f>SUMIFS([1]raw_data!M:M,[1]raw_data!$A:$A,$B72)</f>
        <v>220.68955199999999</v>
      </c>
      <c r="R72" s="20">
        <f>SUMIFS([1]raw_data!N:N,[1]raw_data!$A:$A,$B72)</f>
        <v>1.76917404129793</v>
      </c>
      <c r="S72" s="19">
        <f>SUMIFS([1]raw_data!O:O,[1]raw_data!$A:$A,$B72)</f>
        <v>313.56842899999998</v>
      </c>
      <c r="T72" s="20">
        <f>SUMIFS([1]raw_data!P:P,[1]raw_data!$A:$A,$B72)</f>
        <v>2.4038772213247102</v>
      </c>
      <c r="U72" s="19">
        <f>SUMIFS([1]raw_data!Q:Q,[1]raw_data!$A:$A,$B72)</f>
        <v>313.50526300000001</v>
      </c>
      <c r="V72" s="20">
        <f>SUMIFS([1]raw_data!R:R,[1]raw_data!$A:$A,$B72)</f>
        <v>2.4022617124394099</v>
      </c>
      <c r="W72" s="19">
        <f>SUMIFS([1]raw_data!S:S,[1]raw_data!$A:$A,$B72)</f>
        <v>120.01564500000001</v>
      </c>
      <c r="X72" s="20">
        <f>SUMIFS([1]raw_data!T:T,[1]raw_data!$A:$A,$B72)</f>
        <v>1.0442804428044199</v>
      </c>
      <c r="Y72" s="19">
        <f>SUMIFS([1]raw_data!U:U,[1]raw_data!$A:$A,$B72)</f>
        <v>120.01564500000001</v>
      </c>
      <c r="Z72" s="20">
        <f>SUMIFS([1]raw_data!V:V,[1]raw_data!$A:$A,$B72)</f>
        <v>1.0442804428044199</v>
      </c>
      <c r="AA72" s="17">
        <f t="shared" si="1"/>
        <v>134.0091214</v>
      </c>
    </row>
    <row r="73" spans="1:27" ht="14.45" customHeight="1" x14ac:dyDescent="0.25">
      <c r="A73" s="38"/>
      <c r="B73" s="17" t="s">
        <v>216</v>
      </c>
      <c r="C73" s="17" t="s">
        <v>217</v>
      </c>
      <c r="D73" s="17" t="s">
        <v>218</v>
      </c>
      <c r="E73" s="17" t="s">
        <v>65</v>
      </c>
      <c r="F73" s="18">
        <f>IFERROR(INDEX([1]raw_data!B:B,MATCH('SAIDI excl MEDs sort (5-yr avg)'!B192,[1]raw_data!A:A,0)),0)</f>
        <v>0</v>
      </c>
      <c r="G73" s="19">
        <f>SUMIFS([1]raw_data!C:C,[1]raw_data!$A:$A,$B73)</f>
        <v>0</v>
      </c>
      <c r="H73" s="20">
        <f>SUMIFS([1]raw_data!D:D,[1]raw_data!$A:$A,$B73)</f>
        <v>0</v>
      </c>
      <c r="I73" s="19">
        <f>SUMIFS([1]raw_data!E:E,[1]raw_data!$A:$A,$B73)</f>
        <v>0</v>
      </c>
      <c r="J73" s="20">
        <f>SUMIFS([1]raw_data!F:F,[1]raw_data!$A:$A,$B73)</f>
        <v>0</v>
      </c>
      <c r="K73" s="19">
        <f>SUMIFS([1]raw_data!G:G,[1]raw_data!$A:$A,$B73)</f>
        <v>0</v>
      </c>
      <c r="L73" s="20">
        <f>SUMIFS([1]raw_data!H:H,[1]raw_data!$A:$A,$B73)</f>
        <v>0</v>
      </c>
      <c r="M73" s="19">
        <f>SUMIFS([1]raw_data!I:I,[1]raw_data!$A:$A,$B73)</f>
        <v>0</v>
      </c>
      <c r="N73" s="20">
        <f>SUMIFS([1]raw_data!J:J,[1]raw_data!$A:$A,$B73)</f>
        <v>0</v>
      </c>
      <c r="O73" s="19">
        <f>SUMIFS([1]raw_data!K:K,[1]raw_data!$A:$A,$B73)</f>
        <v>131.201223</v>
      </c>
      <c r="P73" s="20">
        <f>SUMIFS([1]raw_data!L:L,[1]raw_data!$A:$A,$B73)</f>
        <v>1.0091743119265999</v>
      </c>
      <c r="Q73" s="19">
        <f>SUMIFS([1]raw_data!M:M,[1]raw_data!$A:$A,$B73)</f>
        <v>131.201223</v>
      </c>
      <c r="R73" s="20">
        <f>SUMIFS([1]raw_data!N:N,[1]raw_data!$A:$A,$B73)</f>
        <v>1.0091743119265999</v>
      </c>
      <c r="S73" s="19">
        <f>SUMIFS([1]raw_data!O:O,[1]raw_data!$A:$A,$B73)</f>
        <v>36.178745999999997</v>
      </c>
      <c r="T73" s="20">
        <f>SUMIFS([1]raw_data!P:P,[1]raw_data!$A:$A,$B73)</f>
        <v>9.1743119266054999E-3</v>
      </c>
      <c r="U73" s="19">
        <f>SUMIFS([1]raw_data!Q:Q,[1]raw_data!$A:$A,$B73)</f>
        <v>0</v>
      </c>
      <c r="V73" s="20">
        <f>SUMIFS([1]raw_data!R:R,[1]raw_data!$A:$A,$B73)</f>
        <v>0</v>
      </c>
      <c r="W73" s="19">
        <f>SUMIFS([1]raw_data!S:S,[1]raw_data!$A:$A,$B73)</f>
        <v>535.05873099999997</v>
      </c>
      <c r="X73" s="20">
        <f>SUMIFS([1]raw_data!T:T,[1]raw_data!$A:$A,$B73)</f>
        <v>3.5025432349949099</v>
      </c>
      <c r="Y73" s="19">
        <f>SUMIFS([1]raw_data!U:U,[1]raw_data!$A:$A,$B73)</f>
        <v>535.05873099999997</v>
      </c>
      <c r="Z73" s="20">
        <f>SUMIFS([1]raw_data!V:V,[1]raw_data!$A:$A,$B73)</f>
        <v>3.5025432349949099</v>
      </c>
      <c r="AA73" s="17">
        <f t="shared" si="1"/>
        <v>133.25199079999999</v>
      </c>
    </row>
    <row r="74" spans="1:27" x14ac:dyDescent="0.25">
      <c r="A74" s="38"/>
      <c r="B74" s="17" t="s">
        <v>219</v>
      </c>
      <c r="C74" s="17" t="s">
        <v>220</v>
      </c>
      <c r="D74" s="17" t="s">
        <v>221</v>
      </c>
      <c r="E74" s="17" t="s">
        <v>27</v>
      </c>
      <c r="F74" s="18">
        <f>IFERROR(INDEX([1]raw_data!B:B,MATCH('SAIDI excl MEDs sort (5-yr avg)'!B82,[1]raw_data!A:A,0)),0)</f>
        <v>898</v>
      </c>
      <c r="G74" s="19">
        <f>SUMIFS([1]raw_data!C:C,[1]raw_data!$A:$A,$B74)</f>
        <v>68.491254999999995</v>
      </c>
      <c r="H74" s="20">
        <f>SUMIFS([1]raw_data!D:D,[1]raw_data!$A:$A,$B74)</f>
        <v>0.434442270058708</v>
      </c>
      <c r="I74" s="19">
        <f>SUMIFS([1]raw_data!E:E,[1]raw_data!$A:$A,$B74)</f>
        <v>66.554085999999998</v>
      </c>
      <c r="J74" s="20">
        <f>SUMIFS([1]raw_data!F:F,[1]raw_data!$A:$A,$B74)</f>
        <v>0.432485322896281</v>
      </c>
      <c r="K74" s="19">
        <f>SUMIFS([1]raw_data!G:G,[1]raw_data!$A:$A,$B74)</f>
        <v>43.969226999999997</v>
      </c>
      <c r="L74" s="20">
        <f>SUMIFS([1]raw_data!H:H,[1]raw_data!$A:$A,$B74)</f>
        <v>0.35270935960591099</v>
      </c>
      <c r="M74" s="19">
        <f>SUMIFS([1]raw_data!I:I,[1]raw_data!$A:$A,$B74)</f>
        <v>30.80911</v>
      </c>
      <c r="N74" s="20">
        <f>SUMIFS([1]raw_data!J:J,[1]raw_data!$A:$A,$B74)</f>
        <v>0.314285714285714</v>
      </c>
      <c r="O74" s="19">
        <f>SUMIFS([1]raw_data!K:K,[1]raw_data!$A:$A,$B74)</f>
        <v>128.58022700000001</v>
      </c>
      <c r="P74" s="20">
        <f>SUMIFS([1]raw_data!L:L,[1]raw_data!$A:$A,$B74)</f>
        <v>1.5203171456888001</v>
      </c>
      <c r="Q74" s="19">
        <f>SUMIFS([1]raw_data!M:M,[1]raw_data!$A:$A,$B74)</f>
        <v>77.854789999999994</v>
      </c>
      <c r="R74" s="20">
        <f>SUMIFS([1]raw_data!N:N,[1]raw_data!$A:$A,$B74)</f>
        <v>0.77006937561942501</v>
      </c>
      <c r="S74" s="19">
        <f>SUMIFS([1]raw_data!O:O,[1]raw_data!$A:$A,$B74)</f>
        <v>133.45351500000001</v>
      </c>
      <c r="T74" s="20">
        <f>SUMIFS([1]raw_data!P:P,[1]raw_data!$A:$A,$B74)</f>
        <v>1.0960000000000001</v>
      </c>
      <c r="U74" s="19">
        <f>SUMIFS([1]raw_data!Q:Q,[1]raw_data!$A:$A,$B74)</f>
        <v>115.002899</v>
      </c>
      <c r="V74" s="20">
        <f>SUMIFS([1]raw_data!R:R,[1]raw_data!$A:$A,$B74)</f>
        <v>1.0249999999999999</v>
      </c>
      <c r="W74" s="19">
        <f>SUMIFS([1]raw_data!S:S,[1]raw_data!$A:$A,$B74)</f>
        <v>526.41341799999998</v>
      </c>
      <c r="X74" s="20">
        <f>SUMIFS([1]raw_data!T:T,[1]raw_data!$A:$A,$B74)</f>
        <v>2.7117948717948699</v>
      </c>
      <c r="Y74" s="19">
        <f>SUMIFS([1]raw_data!U:U,[1]raw_data!$A:$A,$B74)</f>
        <v>374.10885400000001</v>
      </c>
      <c r="Z74" s="20">
        <f>SUMIFS([1]raw_data!V:V,[1]raw_data!$A:$A,$B74)</f>
        <v>2.44820512820512</v>
      </c>
      <c r="AA74" s="17">
        <f t="shared" si="1"/>
        <v>132.86594780000001</v>
      </c>
    </row>
    <row r="75" spans="1:27" x14ac:dyDescent="0.25">
      <c r="A75" s="38"/>
      <c r="B75" s="17" t="s">
        <v>222</v>
      </c>
      <c r="C75" s="17" t="s">
        <v>223</v>
      </c>
      <c r="D75" s="17" t="s">
        <v>224</v>
      </c>
      <c r="E75" s="17" t="s">
        <v>19</v>
      </c>
      <c r="F75" s="18">
        <f>IFERROR(INDEX([1]raw_data!B:B,MATCH('SAIDI excl MEDs sort (5-yr avg)'!B47,[1]raw_data!A:A,0)),0)</f>
        <v>92.375</v>
      </c>
      <c r="G75" s="19">
        <f>SUMIFS([1]raw_data!C:C,[1]raw_data!$A:$A,$B75)</f>
        <v>147.39676299999999</v>
      </c>
      <c r="H75" s="20">
        <f>SUMIFS([1]raw_data!D:D,[1]raw_data!$A:$A,$B75)</f>
        <v>1.1704957678355501</v>
      </c>
      <c r="I75" s="19">
        <f>SUMIFS([1]raw_data!E:E,[1]raw_data!$A:$A,$B75)</f>
        <v>147.39676299999999</v>
      </c>
      <c r="J75" s="20">
        <f>SUMIFS([1]raw_data!F:F,[1]raw_data!$A:$A,$B75)</f>
        <v>1.1704957678355501</v>
      </c>
      <c r="K75" s="19">
        <f>SUMIFS([1]raw_data!G:G,[1]raw_data!$A:$A,$B75)</f>
        <v>35.103574000000002</v>
      </c>
      <c r="L75" s="20">
        <f>SUMIFS([1]raw_data!H:H,[1]raw_data!$A:$A,$B75)</f>
        <v>0.16837041491280799</v>
      </c>
      <c r="M75" s="19">
        <f>SUMIFS([1]raw_data!I:I,[1]raw_data!$A:$A,$B75)</f>
        <v>15.562376</v>
      </c>
      <c r="N75" s="20">
        <f>SUMIFS([1]raw_data!J:J,[1]raw_data!$A:$A,$B75)</f>
        <v>0.123872519542994</v>
      </c>
      <c r="O75" s="19">
        <f>SUMIFS([1]raw_data!K:K,[1]raw_data!$A:$A,$B75)</f>
        <v>61.923715000000001</v>
      </c>
      <c r="P75" s="20">
        <f>SUMIFS([1]raw_data!L:L,[1]raw_data!$A:$A,$B75)</f>
        <v>0.33694344163658202</v>
      </c>
      <c r="Q75" s="19">
        <f>SUMIFS([1]raw_data!M:M,[1]raw_data!$A:$A,$B75)</f>
        <v>41.445977999999997</v>
      </c>
      <c r="R75" s="20">
        <f>SUMIFS([1]raw_data!N:N,[1]raw_data!$A:$A,$B75)</f>
        <v>0.28880866425992702</v>
      </c>
      <c r="S75" s="19">
        <f>SUMIFS([1]raw_data!O:O,[1]raw_data!$A:$A,$B75)</f>
        <v>229.108011</v>
      </c>
      <c r="T75" s="20">
        <f>SUMIFS([1]raw_data!P:P,[1]raw_data!$A:$A,$B75)</f>
        <v>1.5156626506024</v>
      </c>
      <c r="U75" s="19">
        <f>SUMIFS([1]raw_data!Q:Q,[1]raw_data!$A:$A,$B75)</f>
        <v>214.35209800000001</v>
      </c>
      <c r="V75" s="20">
        <f>SUMIFS([1]raw_data!R:R,[1]raw_data!$A:$A,$B75)</f>
        <v>1.49096385542168</v>
      </c>
      <c r="W75" s="19">
        <f>SUMIFS([1]raw_data!S:S,[1]raw_data!$A:$A,$B75)</f>
        <v>1147.6883780000001</v>
      </c>
      <c r="X75" s="20">
        <f>SUMIFS([1]raw_data!T:T,[1]raw_data!$A:$A,$B75)</f>
        <v>2.5200242718446599</v>
      </c>
      <c r="Y75" s="19">
        <f>SUMIFS([1]raw_data!U:U,[1]raw_data!$A:$A,$B75)</f>
        <v>237.208383</v>
      </c>
      <c r="Z75" s="20">
        <f>SUMIFS([1]raw_data!V:V,[1]raw_data!$A:$A,$B75)</f>
        <v>1.2226941747572799</v>
      </c>
      <c r="AA75" s="17">
        <f t="shared" si="1"/>
        <v>131.19311959999999</v>
      </c>
    </row>
    <row r="76" spans="1:27" x14ac:dyDescent="0.25">
      <c r="A76" s="39" t="s">
        <v>225</v>
      </c>
      <c r="B76" s="21" t="s">
        <v>226</v>
      </c>
      <c r="C76" s="21" t="s">
        <v>220</v>
      </c>
      <c r="D76" s="21" t="s">
        <v>227</v>
      </c>
      <c r="E76" s="21" t="s">
        <v>27</v>
      </c>
      <c r="F76" s="22">
        <f>IFERROR(INDEX([1]raw_data!B:B,MATCH('SAIDI excl MEDs sort (5-yr avg)'!B83,[1]raw_data!A:A,0)),0)</f>
        <v>436</v>
      </c>
      <c r="G76" s="23">
        <f>SUMIFS([1]raw_data!C:C,[1]raw_data!$A:$A,$B76)</f>
        <v>360.84480000000002</v>
      </c>
      <c r="H76" s="24">
        <f>SUMIFS([1]raw_data!D:D,[1]raw_data!$A:$A,$B76)</f>
        <v>0.937499999999999</v>
      </c>
      <c r="I76" s="23">
        <f>SUMIFS([1]raw_data!E:E,[1]raw_data!$A:$A,$B76)</f>
        <v>66.284291999999994</v>
      </c>
      <c r="J76" s="24">
        <f>SUMIFS([1]raw_data!F:F,[1]raw_data!$A:$A,$B76)</f>
        <v>0.73689516129032195</v>
      </c>
      <c r="K76" s="23">
        <f>SUMIFS([1]raw_data!G:G,[1]raw_data!$A:$A,$B76)</f>
        <v>71.364641000000006</v>
      </c>
      <c r="L76" s="24">
        <f>SUMIFS([1]raw_data!H:H,[1]raw_data!$A:$A,$B76)</f>
        <v>0.450276243093922</v>
      </c>
      <c r="M76" s="23">
        <f>SUMIFS([1]raw_data!I:I,[1]raw_data!$A:$A,$B76)</f>
        <v>55.236145999999998</v>
      </c>
      <c r="N76" s="24">
        <f>SUMIFS([1]raw_data!J:J,[1]raw_data!$A:$A,$B76)</f>
        <v>0.42633517495395901</v>
      </c>
      <c r="O76" s="23">
        <f>SUMIFS([1]raw_data!K:K,[1]raw_data!$A:$A,$B76)</f>
        <v>422.61746799999997</v>
      </c>
      <c r="P76" s="24">
        <f>SUMIFS([1]raw_data!L:L,[1]raw_data!$A:$A,$B76)</f>
        <v>1.0663033605812799</v>
      </c>
      <c r="Q76" s="23">
        <f>SUMIFS([1]raw_data!M:M,[1]raw_data!$A:$A,$B76)</f>
        <v>175.81537900000001</v>
      </c>
      <c r="R76" s="24">
        <f>SUMIFS([1]raw_data!N:N,[1]raw_data!$A:$A,$B76)</f>
        <v>0.85831062670299696</v>
      </c>
      <c r="S76" s="23">
        <f>SUMIFS([1]raw_data!O:O,[1]raw_data!$A:$A,$B76)</f>
        <v>48.006720999999999</v>
      </c>
      <c r="T76" s="24">
        <f>SUMIFS([1]raw_data!P:P,[1]raw_data!$A:$A,$B76)</f>
        <v>0.431569343065693</v>
      </c>
      <c r="U76" s="23">
        <f>SUMIFS([1]raw_data!Q:Q,[1]raw_data!$A:$A,$B76)</f>
        <v>35.929881000000002</v>
      </c>
      <c r="V76" s="24">
        <f>SUMIFS([1]raw_data!R:R,[1]raw_data!$A:$A,$B76)</f>
        <v>0.26642335766423297</v>
      </c>
      <c r="W76" s="23">
        <f>SUMIFS([1]raw_data!S:S,[1]raw_data!$A:$A,$B76)</f>
        <v>310.61593699999997</v>
      </c>
      <c r="X76" s="24">
        <f>SUMIFS([1]raw_data!T:T,[1]raw_data!$A:$A,$B76)</f>
        <v>2.02790697674418</v>
      </c>
      <c r="Y76" s="23">
        <f>SUMIFS([1]raw_data!U:U,[1]raw_data!$A:$A,$B76)</f>
        <v>305.601069</v>
      </c>
      <c r="Z76" s="24">
        <f>SUMIFS([1]raw_data!V:V,[1]raw_data!$A:$A,$B76)</f>
        <v>2.0251162790697599</v>
      </c>
      <c r="AA76" s="21">
        <f t="shared" si="1"/>
        <v>127.77335339999999</v>
      </c>
    </row>
    <row r="77" spans="1:27" x14ac:dyDescent="0.25">
      <c r="A77" s="39"/>
      <c r="B77" s="21" t="s">
        <v>228</v>
      </c>
      <c r="C77" s="21" t="s">
        <v>165</v>
      </c>
      <c r="D77" s="21" t="s">
        <v>229</v>
      </c>
      <c r="E77" s="21" t="s">
        <v>19</v>
      </c>
      <c r="F77" s="22">
        <f>IFERROR(INDEX([1]raw_data!B:B,MATCH('SAIDI excl MEDs sort (5-yr avg)'!B91,[1]raw_data!A:A,0)),0)</f>
        <v>3411.4</v>
      </c>
      <c r="G77" s="23">
        <f>SUMIFS([1]raw_data!C:C,[1]raw_data!$A:$A,$B77)</f>
        <v>71.281595999999993</v>
      </c>
      <c r="H77" s="24">
        <f>SUMIFS([1]raw_data!D:D,[1]raw_data!$A:$A,$B77)</f>
        <v>0.258940397350993</v>
      </c>
      <c r="I77" s="23">
        <f>SUMIFS([1]raw_data!E:E,[1]raw_data!$A:$A,$B77)</f>
        <v>56.269154999999998</v>
      </c>
      <c r="J77" s="24">
        <f>SUMIFS([1]raw_data!F:F,[1]raw_data!$A:$A,$B77)</f>
        <v>0.24503311258278099</v>
      </c>
      <c r="K77" s="23">
        <f>SUMIFS([1]raw_data!G:G,[1]raw_data!$A:$A,$B77)</f>
        <v>135.21799100000001</v>
      </c>
      <c r="L77" s="24">
        <f>SUMIFS([1]raw_data!H:H,[1]raw_data!$A:$A,$B77)</f>
        <v>1.1892076502732201</v>
      </c>
      <c r="M77" s="23">
        <f>SUMIFS([1]raw_data!I:I,[1]raw_data!$A:$A,$B77)</f>
        <v>124.26727700000001</v>
      </c>
      <c r="N77" s="24">
        <f>SUMIFS([1]raw_data!J:J,[1]raw_data!$A:$A,$B77)</f>
        <v>1.1714480874316899</v>
      </c>
      <c r="O77" s="23">
        <f>SUMIFS([1]raw_data!K:K,[1]raw_data!$A:$A,$B77)</f>
        <v>72.161135999999999</v>
      </c>
      <c r="P77" s="24">
        <f>SUMIFS([1]raw_data!L:L,[1]raw_data!$A:$A,$B77)</f>
        <v>0.26279863481228599</v>
      </c>
      <c r="Q77" s="23">
        <f>SUMIFS([1]raw_data!M:M,[1]raw_data!$A:$A,$B77)</f>
        <v>22.318667999999999</v>
      </c>
      <c r="R77" s="24">
        <f>SUMIFS([1]raw_data!N:N,[1]raw_data!$A:$A,$B77)</f>
        <v>0.24163822525597201</v>
      </c>
      <c r="S77" s="23">
        <f>SUMIFS([1]raw_data!O:O,[1]raw_data!$A:$A,$B77)</f>
        <v>2299.9470879999999</v>
      </c>
      <c r="T77" s="24">
        <f>SUMIFS([1]raw_data!P:P,[1]raw_data!$A:$A,$B77)</f>
        <v>3.13096037609133</v>
      </c>
      <c r="U77" s="23">
        <f>SUMIFS([1]raw_data!Q:Q,[1]raw_data!$A:$A,$B77)</f>
        <v>340.18422800000002</v>
      </c>
      <c r="V77" s="24">
        <f>SUMIFS([1]raw_data!R:R,[1]raw_data!$A:$A,$B77)</f>
        <v>1.7891202149093299</v>
      </c>
      <c r="W77" s="23">
        <f>SUMIFS([1]raw_data!S:S,[1]raw_data!$A:$A,$B77)</f>
        <v>2198.5898929999998</v>
      </c>
      <c r="X77" s="24">
        <f>SUMIFS([1]raw_data!T:T,[1]raw_data!$A:$A,$B77)</f>
        <v>2.0323014804845201</v>
      </c>
      <c r="Y77" s="23">
        <f>SUMIFS([1]raw_data!U:U,[1]raw_data!$A:$A,$B77)</f>
        <v>93.903206999999995</v>
      </c>
      <c r="Z77" s="24">
        <f>SUMIFS([1]raw_data!V:V,[1]raw_data!$A:$A,$B77)</f>
        <v>0.92328398384925903</v>
      </c>
      <c r="AA77" s="21">
        <f t="shared" si="1"/>
        <v>127.388507</v>
      </c>
    </row>
    <row r="78" spans="1:27" x14ac:dyDescent="0.25">
      <c r="A78" s="39"/>
      <c r="B78" s="21" t="s">
        <v>230</v>
      </c>
      <c r="C78" s="21" t="s">
        <v>231</v>
      </c>
      <c r="D78" s="21" t="s">
        <v>232</v>
      </c>
      <c r="E78" s="21" t="s">
        <v>15</v>
      </c>
      <c r="F78" s="22">
        <f>IFERROR(INDEX([1]raw_data!B:B,MATCH('SAIDI excl MEDs sort (5-yr avg)'!B87,[1]raw_data!A:A,0)),0)</f>
        <v>630.66666599999996</v>
      </c>
      <c r="G78" s="23">
        <f>SUMIFS([1]raw_data!C:C,[1]raw_data!$A:$A,$B78)</f>
        <v>72.173817</v>
      </c>
      <c r="H78" s="24">
        <f>SUMIFS([1]raw_data!D:D,[1]raw_data!$A:$A,$B78)</f>
        <v>0.41032998565279699</v>
      </c>
      <c r="I78" s="23">
        <f>SUMIFS([1]raw_data!E:E,[1]raw_data!$A:$A,$B78)</f>
        <v>63.846404</v>
      </c>
      <c r="J78" s="24">
        <f>SUMIFS([1]raw_data!F:F,[1]raw_data!$A:$A,$B78)</f>
        <v>0.385939741750358</v>
      </c>
      <c r="K78" s="23">
        <f>SUMIFS([1]raw_data!G:G,[1]raw_data!$A:$A,$B78)</f>
        <v>216.615241</v>
      </c>
      <c r="L78" s="24">
        <f>SUMIFS([1]raw_data!H:H,[1]raw_data!$A:$A,$B78)</f>
        <v>1.4054834054834</v>
      </c>
      <c r="M78" s="23">
        <f>SUMIFS([1]raw_data!I:I,[1]raw_data!$A:$A,$B78)</f>
        <v>216.615241</v>
      </c>
      <c r="N78" s="24">
        <f>SUMIFS([1]raw_data!J:J,[1]raw_data!$A:$A,$B78)</f>
        <v>1.4054834054834</v>
      </c>
      <c r="O78" s="23">
        <f>SUMIFS([1]raw_data!K:K,[1]raw_data!$A:$A,$B78)</f>
        <v>255.00648200000001</v>
      </c>
      <c r="P78" s="24">
        <f>SUMIFS([1]raw_data!L:L,[1]raw_data!$A:$A,$B78)</f>
        <v>0.92927864214992895</v>
      </c>
      <c r="Q78" s="23">
        <f>SUMIFS([1]raw_data!M:M,[1]raw_data!$A:$A,$B78)</f>
        <v>155.14542599999999</v>
      </c>
      <c r="R78" s="24">
        <f>SUMIFS([1]raw_data!N:N,[1]raw_data!$A:$A,$B78)</f>
        <v>0.81329561527581296</v>
      </c>
      <c r="S78" s="23">
        <f>SUMIFS([1]raw_data!O:O,[1]raw_data!$A:$A,$B78)</f>
        <v>121.806105</v>
      </c>
      <c r="T78" s="24">
        <f>SUMIFS([1]raw_data!P:P,[1]raw_data!$A:$A,$B78)</f>
        <v>0.47058823529411697</v>
      </c>
      <c r="U78" s="23">
        <f>SUMIFS([1]raw_data!Q:Q,[1]raw_data!$A:$A,$B78)</f>
        <v>87.389326999999994</v>
      </c>
      <c r="V78" s="24">
        <f>SUMIFS([1]raw_data!R:R,[1]raw_data!$A:$A,$B78)</f>
        <v>0.45053475935828802</v>
      </c>
      <c r="W78" s="23">
        <f>SUMIFS([1]raw_data!S:S,[1]raw_data!$A:$A,$B78)</f>
        <v>166.92497700000001</v>
      </c>
      <c r="X78" s="24">
        <f>SUMIFS([1]raw_data!T:T,[1]raw_data!$A:$A,$B78)</f>
        <v>0.20924149956408</v>
      </c>
      <c r="Y78" s="23">
        <f>SUMIFS([1]raw_data!U:U,[1]raw_data!$A:$A,$B78)</f>
        <v>107.917974</v>
      </c>
      <c r="Z78" s="24">
        <f>SUMIFS([1]raw_data!V:V,[1]raw_data!$A:$A,$B78)</f>
        <v>0.146469049694856</v>
      </c>
      <c r="AA78" s="21">
        <f t="shared" si="1"/>
        <v>126.18287439999999</v>
      </c>
    </row>
    <row r="79" spans="1:27" x14ac:dyDescent="0.25">
      <c r="A79" s="39"/>
      <c r="B79" s="21" t="s">
        <v>233</v>
      </c>
      <c r="C79" s="21" t="s">
        <v>162</v>
      </c>
      <c r="D79" s="21" t="s">
        <v>234</v>
      </c>
      <c r="E79" s="21" t="s">
        <v>76</v>
      </c>
      <c r="F79" s="22">
        <f>IFERROR(INDEX([1]raw_data!B:B,MATCH('SAIDI excl MEDs sort (5-yr avg)'!B125,[1]raw_data!A:A,0)),0)</f>
        <v>749.8</v>
      </c>
      <c r="G79" s="23">
        <f>SUMIFS([1]raw_data!C:C,[1]raw_data!$A:$A,$B79)</f>
        <v>6296.8697439999996</v>
      </c>
      <c r="H79" s="24">
        <f>SUMIFS([1]raw_data!D:D,[1]raw_data!$A:$A,$B79)</f>
        <v>2.1173333333333302</v>
      </c>
      <c r="I79" s="23">
        <f>SUMIFS([1]raw_data!E:E,[1]raw_data!$A:$A,$B79)</f>
        <v>14.162353</v>
      </c>
      <c r="J79" s="24">
        <f>SUMIFS([1]raw_data!F:F,[1]raw_data!$A:$A,$B79)</f>
        <v>0.101333333333333</v>
      </c>
      <c r="K79" s="23">
        <f>SUMIFS([1]raw_data!G:G,[1]raw_data!$A:$A,$B79)</f>
        <v>4.1588909999999997</v>
      </c>
      <c r="L79" s="24">
        <f>SUMIFS([1]raw_data!H:H,[1]raw_data!$A:$A,$B79)</f>
        <v>2.6905829596412498E-2</v>
      </c>
      <c r="M79" s="23">
        <f>SUMIFS([1]raw_data!I:I,[1]raw_data!$A:$A,$B79)</f>
        <v>1.7728010000000001</v>
      </c>
      <c r="N79" s="24">
        <f>SUMIFS([1]raw_data!J:J,[1]raw_data!$A:$A,$B79)</f>
        <v>2.6008968609865402E-2</v>
      </c>
      <c r="O79" s="23">
        <f>SUMIFS([1]raw_data!K:K,[1]raw_data!$A:$A,$B79)</f>
        <v>312.660866</v>
      </c>
      <c r="P79" s="24">
        <f>SUMIFS([1]raw_data!L:L,[1]raw_data!$A:$A,$B79)</f>
        <v>2.1596412556053801</v>
      </c>
      <c r="Q79" s="23">
        <f>SUMIFS([1]raw_data!M:M,[1]raw_data!$A:$A,$B79)</f>
        <v>312.59559000000002</v>
      </c>
      <c r="R79" s="24">
        <f>SUMIFS([1]raw_data!N:N,[1]raw_data!$A:$A,$B79)</f>
        <v>2.1587443946188301</v>
      </c>
      <c r="S79" s="23">
        <f>SUMIFS([1]raw_data!O:O,[1]raw_data!$A:$A,$B79)</f>
        <v>279.62682899999999</v>
      </c>
      <c r="T79" s="24">
        <f>SUMIFS([1]raw_data!P:P,[1]raw_data!$A:$A,$B79)</f>
        <v>2.55013550135501</v>
      </c>
      <c r="U79" s="23">
        <f>SUMIFS([1]raw_data!Q:Q,[1]raw_data!$A:$A,$B79)</f>
        <v>276.264363</v>
      </c>
      <c r="V79" s="24">
        <f>SUMIFS([1]raw_data!R:R,[1]raw_data!$A:$A,$B79)</f>
        <v>2.5311653116531101</v>
      </c>
      <c r="W79" s="23">
        <f>SUMIFS([1]raw_data!S:S,[1]raw_data!$A:$A,$B79)</f>
        <v>33.200211000000003</v>
      </c>
      <c r="X79" s="24">
        <f>SUMIFS([1]raw_data!T:T,[1]raw_data!$A:$A,$B79)</f>
        <v>1.0654545454545401</v>
      </c>
      <c r="Y79" s="23">
        <f>SUMIFS([1]raw_data!U:U,[1]raw_data!$A:$A,$B79)</f>
        <v>15.319984</v>
      </c>
      <c r="Z79" s="24">
        <f>SUMIFS([1]raw_data!V:V,[1]raw_data!$A:$A,$B79)</f>
        <v>1.0536363636363599</v>
      </c>
      <c r="AA79" s="21">
        <f t="shared" si="1"/>
        <v>124.0230182</v>
      </c>
    </row>
    <row r="80" spans="1:27" x14ac:dyDescent="0.25">
      <c r="A80" s="39"/>
      <c r="B80" s="21" t="s">
        <v>235</v>
      </c>
      <c r="C80" s="21" t="s">
        <v>123</v>
      </c>
      <c r="D80" s="21" t="s">
        <v>236</v>
      </c>
      <c r="E80" s="21" t="s">
        <v>19</v>
      </c>
      <c r="F80" s="22">
        <f>IFERROR(INDEX([1]raw_data!B:B,MATCH('SAIDI excl MEDs sort (5-yr avg)'!B36,[1]raw_data!A:A,0)),0)</f>
        <v>1019.5</v>
      </c>
      <c r="G80" s="23">
        <f>SUMIFS([1]raw_data!C:C,[1]raw_data!$A:$A,$B80)</f>
        <v>183.72536299999999</v>
      </c>
      <c r="H80" s="24">
        <f>SUMIFS([1]raw_data!D:D,[1]raw_data!$A:$A,$B80)</f>
        <v>1.0299785867237601</v>
      </c>
      <c r="I80" s="23">
        <f>SUMIFS([1]raw_data!E:E,[1]raw_data!$A:$A,$B80)</f>
        <v>183.72536299999999</v>
      </c>
      <c r="J80" s="24">
        <f>SUMIFS([1]raw_data!F:F,[1]raw_data!$A:$A,$B80)</f>
        <v>1.0299785867237601</v>
      </c>
      <c r="K80" s="23">
        <f>SUMIFS([1]raw_data!G:G,[1]raw_data!$A:$A,$B80)</f>
        <v>186.652456</v>
      </c>
      <c r="L80" s="24">
        <f>SUMIFS([1]raw_data!H:H,[1]raw_data!$A:$A,$B80)</f>
        <v>2.08735632183908</v>
      </c>
      <c r="M80" s="23">
        <f>SUMIFS([1]raw_data!I:I,[1]raw_data!$A:$A,$B80)</f>
        <v>186.652456</v>
      </c>
      <c r="N80" s="24">
        <f>SUMIFS([1]raw_data!J:J,[1]raw_data!$A:$A,$B80)</f>
        <v>2.08735632183908</v>
      </c>
      <c r="O80" s="23">
        <f>SUMIFS([1]raw_data!K:K,[1]raw_data!$A:$A,$B80)</f>
        <v>46.204503000000003</v>
      </c>
      <c r="P80" s="24">
        <f>SUMIFS([1]raw_data!L:L,[1]raw_data!$A:$A,$B80)</f>
        <v>0.18360277136258599</v>
      </c>
      <c r="Q80" s="23">
        <f>SUMIFS([1]raw_data!M:M,[1]raw_data!$A:$A,$B80)</f>
        <v>13.192724999999999</v>
      </c>
      <c r="R80" s="24">
        <f>SUMIFS([1]raw_data!N:N,[1]raw_data!$A:$A,$B80)</f>
        <v>0.169745958429561</v>
      </c>
      <c r="S80" s="23">
        <f>SUMIFS([1]raw_data!O:O,[1]raw_data!$A:$A,$B80)</f>
        <v>14.687402000000001</v>
      </c>
      <c r="T80" s="24">
        <f>SUMIFS([1]raw_data!P:P,[1]raw_data!$A:$A,$B80)</f>
        <v>0.11574074074074001</v>
      </c>
      <c r="U80" s="23">
        <f>SUMIFS([1]raw_data!Q:Q,[1]raw_data!$A:$A,$B80)</f>
        <v>11.318073999999999</v>
      </c>
      <c r="V80" s="24">
        <f>SUMIFS([1]raw_data!R:R,[1]raw_data!$A:$A,$B80)</f>
        <v>9.8379629629629595E-2</v>
      </c>
      <c r="W80" s="23">
        <f>SUMIFS([1]raw_data!S:S,[1]raw_data!$A:$A,$B80)</f>
        <v>1802.5742969999999</v>
      </c>
      <c r="X80" s="24">
        <f>SUMIFS([1]raw_data!T:T,[1]raw_data!$A:$A,$B80)</f>
        <v>2.2831632653061198</v>
      </c>
      <c r="Y80" s="23">
        <f>SUMIFS([1]raw_data!U:U,[1]raw_data!$A:$A,$B80)</f>
        <v>216.75639799999999</v>
      </c>
      <c r="Z80" s="24">
        <f>SUMIFS([1]raw_data!V:V,[1]raw_data!$A:$A,$B80)</f>
        <v>1.24617346938775</v>
      </c>
      <c r="AA80" s="21">
        <f t="shared" si="1"/>
        <v>122.32900319999999</v>
      </c>
    </row>
    <row r="81" spans="1:27" x14ac:dyDescent="0.25">
      <c r="A81" s="39"/>
      <c r="B81" s="21" t="s">
        <v>237</v>
      </c>
      <c r="C81" s="21" t="s">
        <v>118</v>
      </c>
      <c r="D81" s="21" t="s">
        <v>238</v>
      </c>
      <c r="E81" s="21" t="s">
        <v>27</v>
      </c>
      <c r="F81" s="22">
        <f>IFERROR(INDEX([1]raw_data!B:B,MATCH('SAIDI excl MEDs sort (5-yr avg)'!B135,[1]raw_data!A:A,0)),0)</f>
        <v>902.2</v>
      </c>
      <c r="G81" s="23">
        <f>SUMIFS([1]raw_data!C:C,[1]raw_data!$A:$A,$B81)</f>
        <v>38.566454999999998</v>
      </c>
      <c r="H81" s="24">
        <f>SUMIFS([1]raw_data!D:D,[1]raw_data!$A:$A,$B81)</f>
        <v>0.13235294117647001</v>
      </c>
      <c r="I81" s="23">
        <f>SUMIFS([1]raw_data!E:E,[1]raw_data!$A:$A,$B81)</f>
        <v>11.283588</v>
      </c>
      <c r="J81" s="24">
        <f>SUMIFS([1]raw_data!F:F,[1]raw_data!$A:$A,$B81)</f>
        <v>0.11229946524064099</v>
      </c>
      <c r="K81" s="23">
        <f>SUMIFS([1]raw_data!G:G,[1]raw_data!$A:$A,$B81)</f>
        <v>183.744507</v>
      </c>
      <c r="L81" s="24">
        <f>SUMIFS([1]raw_data!H:H,[1]raw_data!$A:$A,$B81)</f>
        <v>1.0691994572591501</v>
      </c>
      <c r="M81" s="23">
        <f>SUMIFS([1]raw_data!I:I,[1]raw_data!$A:$A,$B81)</f>
        <v>181.93978200000001</v>
      </c>
      <c r="N81" s="24">
        <f>SUMIFS([1]raw_data!J:J,[1]raw_data!$A:$A,$B81)</f>
        <v>1.06377204884667</v>
      </c>
      <c r="O81" s="23">
        <f>SUMIFS([1]raw_data!K:K,[1]raw_data!$A:$A,$B81)</f>
        <v>176.87115</v>
      </c>
      <c r="P81" s="24">
        <f>SUMIFS([1]raw_data!L:L,[1]raw_data!$A:$A,$B81)</f>
        <v>1.22282608695652</v>
      </c>
      <c r="Q81" s="23">
        <f>SUMIFS([1]raw_data!M:M,[1]raw_data!$A:$A,$B81)</f>
        <v>176.87115</v>
      </c>
      <c r="R81" s="24">
        <f>SUMIFS([1]raw_data!N:N,[1]raw_data!$A:$A,$B81)</f>
        <v>1.22282608695652</v>
      </c>
      <c r="S81" s="23">
        <f>SUMIFS([1]raw_data!O:O,[1]raw_data!$A:$A,$B81)</f>
        <v>315.24897399999998</v>
      </c>
      <c r="T81" s="24">
        <f>SUMIFS([1]raw_data!P:P,[1]raw_data!$A:$A,$B81)</f>
        <v>2.46448087431693</v>
      </c>
      <c r="U81" s="23">
        <f>SUMIFS([1]raw_data!Q:Q,[1]raw_data!$A:$A,$B81)</f>
        <v>120.693647</v>
      </c>
      <c r="V81" s="24">
        <f>SUMIFS([1]raw_data!R:R,[1]raw_data!$A:$A,$B81)</f>
        <v>1.6639344262294999</v>
      </c>
      <c r="W81" s="23">
        <f>SUMIFS([1]raw_data!S:S,[1]raw_data!$A:$A,$B81)</f>
        <v>122.194084</v>
      </c>
      <c r="X81" s="24">
        <f>SUMIFS([1]raw_data!T:T,[1]raw_data!$A:$A,$B81)</f>
        <v>1.0310391363022899</v>
      </c>
      <c r="Y81" s="23">
        <f>SUMIFS([1]raw_data!U:U,[1]raw_data!$A:$A,$B81)</f>
        <v>111.834255</v>
      </c>
      <c r="Z81" s="24">
        <f>SUMIFS([1]raw_data!V:V,[1]raw_data!$A:$A,$B81)</f>
        <v>1.01214574898785</v>
      </c>
      <c r="AA81" s="21">
        <f t="shared" si="1"/>
        <v>120.52448440000001</v>
      </c>
    </row>
    <row r="82" spans="1:27" x14ac:dyDescent="0.25">
      <c r="A82" s="39"/>
      <c r="B82" s="21" t="s">
        <v>239</v>
      </c>
      <c r="C82" s="21" t="s">
        <v>109</v>
      </c>
      <c r="D82" s="21" t="s">
        <v>240</v>
      </c>
      <c r="E82" s="21" t="s">
        <v>27</v>
      </c>
      <c r="F82" s="22">
        <f>IFERROR(INDEX([1]raw_data!B:B,MATCH('SAIDI excl MEDs sort (5-yr avg)'!B56,[1]raw_data!A:A,0)),0)</f>
        <v>774</v>
      </c>
      <c r="G82" s="23">
        <f>SUMIFS([1]raw_data!C:C,[1]raw_data!$A:$A,$B82)</f>
        <v>121.641176</v>
      </c>
      <c r="H82" s="24">
        <f>SUMIFS([1]raw_data!D:D,[1]raw_data!$A:$A,$B82)</f>
        <v>1.0914826498422701</v>
      </c>
      <c r="I82" s="23">
        <f>SUMIFS([1]raw_data!E:E,[1]raw_data!$A:$A,$B82)</f>
        <v>121.641176</v>
      </c>
      <c r="J82" s="24">
        <f>SUMIFS([1]raw_data!F:F,[1]raw_data!$A:$A,$B82)</f>
        <v>1.0914826498422701</v>
      </c>
      <c r="K82" s="23">
        <f>SUMIFS([1]raw_data!G:G,[1]raw_data!$A:$A,$B82)</f>
        <v>18.006824000000002</v>
      </c>
      <c r="L82" s="24">
        <f>SUMIFS([1]raw_data!H:H,[1]raw_data!$A:$A,$B82)</f>
        <v>0.199554069119286</v>
      </c>
      <c r="M82" s="23">
        <f>SUMIFS([1]raw_data!I:I,[1]raw_data!$A:$A,$B82)</f>
        <v>18.006824000000002</v>
      </c>
      <c r="N82" s="24">
        <f>SUMIFS([1]raw_data!J:J,[1]raw_data!$A:$A,$B82)</f>
        <v>0.199554069119286</v>
      </c>
      <c r="O82" s="23">
        <f>SUMIFS([1]raw_data!K:K,[1]raw_data!$A:$A,$B82)</f>
        <v>588.98584300000005</v>
      </c>
      <c r="P82" s="24">
        <f>SUMIFS([1]raw_data!L:L,[1]raw_data!$A:$A,$B82)</f>
        <v>2.0569196428571401</v>
      </c>
      <c r="Q82" s="23">
        <f>SUMIFS([1]raw_data!M:M,[1]raw_data!$A:$A,$B82)</f>
        <v>433.30420299999997</v>
      </c>
      <c r="R82" s="24">
        <f>SUMIFS([1]raw_data!N:N,[1]raw_data!$A:$A,$B82)</f>
        <v>1.6953125</v>
      </c>
      <c r="S82" s="23">
        <f>SUMIFS([1]raw_data!O:O,[1]raw_data!$A:$A,$B82)</f>
        <v>15.968043</v>
      </c>
      <c r="T82" s="24">
        <f>SUMIFS([1]raw_data!P:P,[1]raw_data!$A:$A,$B82)</f>
        <v>0.210937499999999</v>
      </c>
      <c r="U82" s="23">
        <f>SUMIFS([1]raw_data!Q:Q,[1]raw_data!$A:$A,$B82)</f>
        <v>15.77952</v>
      </c>
      <c r="V82" s="24">
        <f>SUMIFS([1]raw_data!R:R,[1]raw_data!$A:$A,$B82)</f>
        <v>0.20982142857142799</v>
      </c>
      <c r="W82" s="23">
        <f>SUMIFS([1]raw_data!S:S,[1]raw_data!$A:$A,$B82)</f>
        <v>481.26653199999998</v>
      </c>
      <c r="X82" s="24">
        <f>SUMIFS([1]raw_data!T:T,[1]raw_data!$A:$A,$B82)</f>
        <v>0.22031963470319599</v>
      </c>
      <c r="Y82" s="23">
        <f>SUMIFS([1]raw_data!U:U,[1]raw_data!$A:$A,$B82)</f>
        <v>11.024884999999999</v>
      </c>
      <c r="Z82" s="24">
        <f>SUMIFS([1]raw_data!V:V,[1]raw_data!$A:$A,$B82)</f>
        <v>9.0182648401826396E-2</v>
      </c>
      <c r="AA82" s="21">
        <f t="shared" si="1"/>
        <v>119.9513216</v>
      </c>
    </row>
    <row r="83" spans="1:27" ht="14.45" customHeight="1" x14ac:dyDescent="0.25">
      <c r="A83" s="39"/>
      <c r="B83" s="21" t="s">
        <v>241</v>
      </c>
      <c r="C83" s="21" t="s">
        <v>63</v>
      </c>
      <c r="D83" s="21" t="s">
        <v>63</v>
      </c>
      <c r="E83" s="21" t="s">
        <v>65</v>
      </c>
      <c r="F83" s="22">
        <f>IFERROR(INDEX([1]raw_data!B:B,MATCH('SAIDI excl MEDs sort (5-yr avg)'!B84,[1]raw_data!A:A,0)),0)</f>
        <v>981.6</v>
      </c>
      <c r="G83" s="23">
        <f>SUMIFS([1]raw_data!C:C,[1]raw_data!$A:$A,$B83)</f>
        <v>69.209192999999999</v>
      </c>
      <c r="H83" s="24">
        <f>SUMIFS([1]raw_data!D:D,[1]raw_data!$A:$A,$B83)</f>
        <v>0.78995433789954295</v>
      </c>
      <c r="I83" s="23">
        <f>SUMIFS([1]raw_data!E:E,[1]raw_data!$A:$A,$B83)</f>
        <v>66.254829000000001</v>
      </c>
      <c r="J83" s="24">
        <f>SUMIFS([1]raw_data!F:F,[1]raw_data!$A:$A,$B83)</f>
        <v>0.78538812785388101</v>
      </c>
      <c r="K83" s="23">
        <f>SUMIFS([1]raw_data!G:G,[1]raw_data!$A:$A,$B83)</f>
        <v>326.67781200000002</v>
      </c>
      <c r="L83" s="24">
        <f>SUMIFS([1]raw_data!H:H,[1]raw_data!$A:$A,$B83)</f>
        <v>2.0022779043280101</v>
      </c>
      <c r="M83" s="23">
        <f>SUMIFS([1]raw_data!I:I,[1]raw_data!$A:$A,$B83)</f>
        <v>313.48558100000002</v>
      </c>
      <c r="N83" s="24">
        <f>SUMIFS([1]raw_data!J:J,[1]raw_data!$A:$A,$B83)</f>
        <v>1.9977220956719799</v>
      </c>
      <c r="O83" s="23">
        <f>SUMIFS([1]raw_data!K:K,[1]raw_data!$A:$A,$B83)</f>
        <v>3.3419720000000002</v>
      </c>
      <c r="P83" s="24">
        <f>SUMIFS([1]raw_data!L:L,[1]raw_data!$A:$A,$B83)</f>
        <v>4.5871559633027499E-3</v>
      </c>
      <c r="Q83" s="23">
        <f>SUMIFS([1]raw_data!M:M,[1]raw_data!$A:$A,$B83)</f>
        <v>0.74934999999999996</v>
      </c>
      <c r="R83" s="24">
        <f>SUMIFS([1]raw_data!N:N,[1]raw_data!$A:$A,$B83)</f>
        <v>2.2935779816513702E-3</v>
      </c>
      <c r="S83" s="23">
        <f>SUMIFS([1]raw_data!O:O,[1]raw_data!$A:$A,$B83)</f>
        <v>2717.771812</v>
      </c>
      <c r="T83" s="24">
        <f>SUMIFS([1]raw_data!P:P,[1]raw_data!$A:$A,$B83)</f>
        <v>1.54631828978622</v>
      </c>
      <c r="U83" s="23">
        <f>SUMIFS([1]raw_data!Q:Q,[1]raw_data!$A:$A,$B83)</f>
        <v>106.888915</v>
      </c>
      <c r="V83" s="24">
        <f>SUMIFS([1]raw_data!R:R,[1]raw_data!$A:$A,$B83)</f>
        <v>0.45605700712588998</v>
      </c>
      <c r="W83" s="23">
        <f>SUMIFS([1]raw_data!S:S,[1]raw_data!$A:$A,$B83)</f>
        <v>102.45829500000001</v>
      </c>
      <c r="X83" s="24">
        <f>SUMIFS([1]raw_data!T:T,[1]raw_data!$A:$A,$B83)</f>
        <v>1.01793721973094</v>
      </c>
      <c r="Y83" s="23">
        <f>SUMIFS([1]raw_data!U:U,[1]raw_data!$A:$A,$B83)</f>
        <v>102.1926</v>
      </c>
      <c r="Z83" s="24">
        <f>SUMIFS([1]raw_data!V:V,[1]raw_data!$A:$A,$B83)</f>
        <v>1.0134529147982001</v>
      </c>
      <c r="AA83" s="21">
        <f t="shared" si="1"/>
        <v>117.914255</v>
      </c>
    </row>
    <row r="84" spans="1:27" x14ac:dyDescent="0.25">
      <c r="A84" s="39"/>
      <c r="B84" s="21" t="s">
        <v>242</v>
      </c>
      <c r="C84" s="21" t="s">
        <v>200</v>
      </c>
      <c r="D84" s="21" t="s">
        <v>243</v>
      </c>
      <c r="E84" s="21" t="s">
        <v>15</v>
      </c>
      <c r="F84" s="22">
        <f>IFERROR(INDEX([1]raw_data!B:B,MATCH('SAIDI excl MEDs sort (5-yr avg)'!B20,[1]raw_data!A:A,0)),0)</f>
        <v>1560.2</v>
      </c>
      <c r="G84" s="23">
        <f>SUMIFS([1]raw_data!C:C,[1]raw_data!$A:$A,$B84)</f>
        <v>388.61618900000002</v>
      </c>
      <c r="H84" s="24">
        <f>SUMIFS([1]raw_data!D:D,[1]raw_data!$A:$A,$B84)</f>
        <v>2.21766561514195</v>
      </c>
      <c r="I84" s="23">
        <f>SUMIFS([1]raw_data!E:E,[1]raw_data!$A:$A,$B84)</f>
        <v>322.52865400000002</v>
      </c>
      <c r="J84" s="24">
        <f>SUMIFS([1]raw_data!F:F,[1]raw_data!$A:$A,$B84)</f>
        <v>2.19453207150368</v>
      </c>
      <c r="K84" s="23">
        <f>SUMIFS([1]raw_data!G:G,[1]raw_data!$A:$A,$B84)</f>
        <v>178.002791</v>
      </c>
      <c r="L84" s="24">
        <f>SUMIFS([1]raw_data!H:H,[1]raw_data!$A:$A,$B84)</f>
        <v>0.32526315789473598</v>
      </c>
      <c r="M84" s="23">
        <f>SUMIFS([1]raw_data!I:I,[1]raw_data!$A:$A,$B84)</f>
        <v>112.89332400000001</v>
      </c>
      <c r="N84" s="24">
        <f>SUMIFS([1]raw_data!J:J,[1]raw_data!$A:$A,$B84)</f>
        <v>0.27578947368420997</v>
      </c>
      <c r="O84" s="23">
        <f>SUMIFS([1]raw_data!K:K,[1]raw_data!$A:$A,$B84)</f>
        <v>220.110029</v>
      </c>
      <c r="P84" s="24">
        <f>SUMIFS([1]raw_data!L:L,[1]raw_data!$A:$A,$B84)</f>
        <v>0.72983870967741904</v>
      </c>
      <c r="Q84" s="23">
        <f>SUMIFS([1]raw_data!M:M,[1]raw_data!$A:$A,$B84)</f>
        <v>68.167876000000007</v>
      </c>
      <c r="R84" s="24">
        <f>SUMIFS([1]raw_data!N:N,[1]raw_data!$A:$A,$B84)</f>
        <v>0.32661290322580599</v>
      </c>
      <c r="S84" s="23">
        <f>SUMIFS([1]raw_data!O:O,[1]raw_data!$A:$A,$B84)</f>
        <v>68.234649000000005</v>
      </c>
      <c r="T84" s="24">
        <f>SUMIFS([1]raw_data!P:P,[1]raw_data!$A:$A,$B84)</f>
        <v>0.21463414634146299</v>
      </c>
      <c r="U84" s="23">
        <f>SUMIFS([1]raw_data!Q:Q,[1]raw_data!$A:$A,$B84)</f>
        <v>57.966357000000002</v>
      </c>
      <c r="V84" s="24">
        <f>SUMIFS([1]raw_data!R:R,[1]raw_data!$A:$A,$B84)</f>
        <v>0.19512195121951201</v>
      </c>
      <c r="W84" s="23">
        <f>SUMIFS([1]raw_data!S:S,[1]raw_data!$A:$A,$B84)</f>
        <v>71.103853999999998</v>
      </c>
      <c r="X84" s="24">
        <f>SUMIFS([1]raw_data!T:T,[1]raw_data!$A:$A,$B84)</f>
        <v>0.30202020202020202</v>
      </c>
      <c r="Y84" s="23">
        <f>SUMIFS([1]raw_data!U:U,[1]raw_data!$A:$A,$B84)</f>
        <v>27.511683000000001</v>
      </c>
      <c r="Z84" s="24">
        <f>SUMIFS([1]raw_data!V:V,[1]raw_data!$A:$A,$B84)</f>
        <v>0.175757575757575</v>
      </c>
      <c r="AA84" s="21">
        <f t="shared" si="1"/>
        <v>117.8135788</v>
      </c>
    </row>
    <row r="85" spans="1:27" x14ac:dyDescent="0.25">
      <c r="A85" s="39"/>
      <c r="B85" s="21" t="s">
        <v>244</v>
      </c>
      <c r="C85" s="21" t="s">
        <v>231</v>
      </c>
      <c r="D85" s="21" t="s">
        <v>245</v>
      </c>
      <c r="E85" s="21" t="s">
        <v>15</v>
      </c>
      <c r="F85" s="22">
        <f>IFERROR(INDEX([1]raw_data!B:B,MATCH('SAIDI excl MEDs sort (5-yr avg)'!B88,[1]raw_data!A:A,0)),0)</f>
        <v>821</v>
      </c>
      <c r="G85" s="23">
        <f>SUMIFS([1]raw_data!C:C,[1]raw_data!$A:$A,$B85)</f>
        <v>72.150524000000004</v>
      </c>
      <c r="H85" s="24">
        <f>SUMIFS([1]raw_data!D:D,[1]raw_data!$A:$A,$B85)</f>
        <v>0.17409766454352399</v>
      </c>
      <c r="I85" s="23">
        <f>SUMIFS([1]raw_data!E:E,[1]raw_data!$A:$A,$B85)</f>
        <v>60.521689000000002</v>
      </c>
      <c r="J85" s="24">
        <f>SUMIFS([1]raw_data!F:F,[1]raw_data!$A:$A,$B85)</f>
        <v>0.15852795470629799</v>
      </c>
      <c r="K85" s="23">
        <f>SUMIFS([1]raw_data!G:G,[1]raw_data!$A:$A,$B85)</f>
        <v>458.93270100000001</v>
      </c>
      <c r="L85" s="24">
        <f>SUMIFS([1]raw_data!H:H,[1]raw_data!$A:$A,$B85)</f>
        <v>0.48343904157857598</v>
      </c>
      <c r="M85" s="23">
        <f>SUMIFS([1]raw_data!I:I,[1]raw_data!$A:$A,$B85)</f>
        <v>51.187963000000003</v>
      </c>
      <c r="N85" s="24">
        <f>SUMIFS([1]raw_data!J:J,[1]raw_data!$A:$A,$B85)</f>
        <v>0.17477096546863899</v>
      </c>
      <c r="O85" s="23">
        <f>SUMIFS([1]raw_data!K:K,[1]raw_data!$A:$A,$B85)</f>
        <v>107.012092</v>
      </c>
      <c r="P85" s="24">
        <f>SUMIFS([1]raw_data!L:L,[1]raw_data!$A:$A,$B85)</f>
        <v>0.25123152709359597</v>
      </c>
      <c r="Q85" s="23">
        <f>SUMIFS([1]raw_data!M:M,[1]raw_data!$A:$A,$B85)</f>
        <v>49.510579</v>
      </c>
      <c r="R85" s="24">
        <f>SUMIFS([1]raw_data!N:N,[1]raw_data!$A:$A,$B85)</f>
        <v>0.22378606615059801</v>
      </c>
      <c r="S85" s="23">
        <f>SUMIFS([1]raw_data!O:O,[1]raw_data!$A:$A,$B85)</f>
        <v>392.97301900000002</v>
      </c>
      <c r="T85" s="24">
        <f>SUMIFS([1]raw_data!P:P,[1]raw_data!$A:$A,$B85)</f>
        <v>2.6547054840893698</v>
      </c>
      <c r="U85" s="23">
        <f>SUMIFS([1]raw_data!Q:Q,[1]raw_data!$A:$A,$B85)</f>
        <v>357.43757599999998</v>
      </c>
      <c r="V85" s="24">
        <f>SUMIFS([1]raw_data!R:R,[1]raw_data!$A:$A,$B85)</f>
        <v>2.5890318212593</v>
      </c>
      <c r="W85" s="23">
        <f>SUMIFS([1]raw_data!S:S,[1]raw_data!$A:$A,$B85)</f>
        <v>54.318731</v>
      </c>
      <c r="X85" s="24">
        <f>SUMIFS([1]raw_data!T:T,[1]raw_data!$A:$A,$B85)</f>
        <v>0.27024608501118502</v>
      </c>
      <c r="Y85" s="23">
        <f>SUMIFS([1]raw_data!U:U,[1]raw_data!$A:$A,$B85)</f>
        <v>51.207680000000003</v>
      </c>
      <c r="Z85" s="24">
        <f>SUMIFS([1]raw_data!V:V,[1]raw_data!$A:$A,$B85)</f>
        <v>0.266666666666666</v>
      </c>
      <c r="AA85" s="21">
        <f t="shared" si="1"/>
        <v>113.9730974</v>
      </c>
    </row>
    <row r="86" spans="1:27" x14ac:dyDescent="0.25">
      <c r="A86" s="39"/>
      <c r="B86" s="21" t="s">
        <v>246</v>
      </c>
      <c r="C86" s="21" t="s">
        <v>231</v>
      </c>
      <c r="D86" s="21" t="s">
        <v>247</v>
      </c>
      <c r="E86" s="21" t="s">
        <v>15</v>
      </c>
      <c r="F86" s="22">
        <f>IFERROR(INDEX([1]raw_data!B:B,MATCH('SAIDI excl MEDs sort (5-yr avg)'!B85,[1]raw_data!A:A,0)),0)</f>
        <v>1593</v>
      </c>
      <c r="G86" s="23">
        <f>SUMIFS([1]raw_data!C:C,[1]raw_data!$A:$A,$B86)</f>
        <v>93.087142</v>
      </c>
      <c r="H86" s="24">
        <f>SUMIFS([1]raw_data!D:D,[1]raw_data!$A:$A,$B86)</f>
        <v>0.36275375110326502</v>
      </c>
      <c r="I86" s="23">
        <f>SUMIFS([1]raw_data!E:E,[1]raw_data!$A:$A,$B86)</f>
        <v>65.845152999999996</v>
      </c>
      <c r="J86" s="24">
        <f>SUMIFS([1]raw_data!F:F,[1]raw_data!$A:$A,$B86)</f>
        <v>0.335392762577228</v>
      </c>
      <c r="K86" s="23">
        <f>SUMIFS([1]raw_data!G:G,[1]raw_data!$A:$A,$B86)</f>
        <v>93.868274</v>
      </c>
      <c r="L86" s="24">
        <f>SUMIFS([1]raw_data!H:H,[1]raw_data!$A:$A,$B86)</f>
        <v>0.34008810572687198</v>
      </c>
      <c r="M86" s="23">
        <f>SUMIFS([1]raw_data!I:I,[1]raw_data!$A:$A,$B86)</f>
        <v>90.564098999999999</v>
      </c>
      <c r="N86" s="24">
        <f>SUMIFS([1]raw_data!J:J,[1]raw_data!$A:$A,$B86)</f>
        <v>0.33744493392070402</v>
      </c>
      <c r="O86" s="23">
        <f>SUMIFS([1]raw_data!K:K,[1]raw_data!$A:$A,$B86)</f>
        <v>376.85110800000001</v>
      </c>
      <c r="P86" s="24">
        <f>SUMIFS([1]raw_data!L:L,[1]raw_data!$A:$A,$B86)</f>
        <v>0.81786339754816095</v>
      </c>
      <c r="Q86" s="23">
        <f>SUMIFS([1]raw_data!M:M,[1]raw_data!$A:$A,$B86)</f>
        <v>150.84084899999999</v>
      </c>
      <c r="R86" s="24">
        <f>SUMIFS([1]raw_data!N:N,[1]raw_data!$A:$A,$B86)</f>
        <v>0.68301225919439501</v>
      </c>
      <c r="S86" s="23">
        <f>SUMIFS([1]raw_data!O:O,[1]raw_data!$A:$A,$B86)</f>
        <v>86.393838000000002</v>
      </c>
      <c r="T86" s="24">
        <f>SUMIFS([1]raw_data!P:P,[1]raw_data!$A:$A,$B86)</f>
        <v>0.38841567291311702</v>
      </c>
      <c r="U86" s="23">
        <f>SUMIFS([1]raw_data!Q:Q,[1]raw_data!$A:$A,$B86)</f>
        <v>38.112464000000003</v>
      </c>
      <c r="V86" s="24">
        <f>SUMIFS([1]raw_data!R:R,[1]raw_data!$A:$A,$B86)</f>
        <v>0.30238500851788702</v>
      </c>
      <c r="W86" s="23">
        <f>SUMIFS([1]raw_data!S:S,[1]raw_data!$A:$A,$B86)</f>
        <v>228.65927199999999</v>
      </c>
      <c r="X86" s="24">
        <f>SUMIFS([1]raw_data!T:T,[1]raw_data!$A:$A,$B86)</f>
        <v>1.8721098265895899</v>
      </c>
      <c r="Y86" s="23">
        <f>SUMIFS([1]raw_data!U:U,[1]raw_data!$A:$A,$B86)</f>
        <v>224.19324399999999</v>
      </c>
      <c r="Z86" s="24">
        <f>SUMIFS([1]raw_data!V:V,[1]raw_data!$A:$A,$B86)</f>
        <v>1.8591040462427699</v>
      </c>
      <c r="AA86" s="21">
        <f t="shared" si="1"/>
        <v>113.91116179999999</v>
      </c>
    </row>
    <row r="87" spans="1:27" x14ac:dyDescent="0.25">
      <c r="A87" s="39"/>
      <c r="B87" s="21" t="s">
        <v>248</v>
      </c>
      <c r="C87" s="21" t="s">
        <v>211</v>
      </c>
      <c r="D87" s="21" t="s">
        <v>249</v>
      </c>
      <c r="E87" s="21" t="s">
        <v>76</v>
      </c>
      <c r="F87" s="22">
        <f>IFERROR(INDEX([1]raw_data!B:B,MATCH('SAIDI excl MEDs sort (5-yr avg)'!B49,[1]raw_data!A:A,0)),0)</f>
        <v>912.11111100000005</v>
      </c>
      <c r="G87" s="23">
        <f>SUMIFS([1]raw_data!C:C,[1]raw_data!$A:$A,$B87)</f>
        <v>3005.0357680000002</v>
      </c>
      <c r="H87" s="24">
        <f>SUMIFS([1]raw_data!D:D,[1]raw_data!$A:$A,$B87)</f>
        <v>1.80223285486443</v>
      </c>
      <c r="I87" s="23">
        <f>SUMIFS([1]raw_data!E:E,[1]raw_data!$A:$A,$B87)</f>
        <v>141.62904900000001</v>
      </c>
      <c r="J87" s="24">
        <f>SUMIFS([1]raw_data!F:F,[1]raw_data!$A:$A,$B87)</f>
        <v>1.03827751196172</v>
      </c>
      <c r="K87" s="23">
        <f>SUMIFS([1]raw_data!G:G,[1]raw_data!$A:$A,$B87)</f>
        <v>254.79815199999999</v>
      </c>
      <c r="L87" s="24">
        <f>SUMIFS([1]raw_data!H:H,[1]raw_data!$A:$A,$B87)</f>
        <v>2.3548895899053601</v>
      </c>
      <c r="M87" s="23">
        <f>SUMIFS([1]raw_data!I:I,[1]raw_data!$A:$A,$B87)</f>
        <v>155.107629</v>
      </c>
      <c r="N87" s="24">
        <f>SUMIFS([1]raw_data!J:J,[1]raw_data!$A:$A,$B87)</f>
        <v>2.3264984227129299</v>
      </c>
      <c r="O87" s="23">
        <f>SUMIFS([1]raw_data!K:K,[1]raw_data!$A:$A,$B87)</f>
        <v>1432.386702</v>
      </c>
      <c r="P87" s="24">
        <f>SUMIFS([1]raw_data!L:L,[1]raw_data!$A:$A,$B87)</f>
        <v>1.0932069510268501</v>
      </c>
      <c r="Q87" s="23">
        <f>SUMIFS([1]raw_data!M:M,[1]raw_data!$A:$A,$B87)</f>
        <v>5.2752230000000004</v>
      </c>
      <c r="R87" s="24">
        <f>SUMIFS([1]raw_data!N:N,[1]raw_data!$A:$A,$B87)</f>
        <v>9.3206951026856194E-2</v>
      </c>
      <c r="S87" s="23">
        <f>SUMIFS([1]raw_data!O:O,[1]raw_data!$A:$A,$B87)</f>
        <v>13.513412000000001</v>
      </c>
      <c r="T87" s="24">
        <f>SUMIFS([1]raw_data!P:P,[1]raw_data!$A:$A,$B87)</f>
        <v>6.5079365079365001E-2</v>
      </c>
      <c r="U87" s="23">
        <f>SUMIFS([1]raw_data!Q:Q,[1]raw_data!$A:$A,$B87)</f>
        <v>13.513412000000001</v>
      </c>
      <c r="V87" s="24">
        <f>SUMIFS([1]raw_data!R:R,[1]raw_data!$A:$A,$B87)</f>
        <v>6.5079365079365001E-2</v>
      </c>
      <c r="W87" s="23">
        <f>SUMIFS([1]raw_data!S:S,[1]raw_data!$A:$A,$B87)</f>
        <v>263.519925</v>
      </c>
      <c r="X87" s="24">
        <f>SUMIFS([1]raw_data!T:T,[1]raw_data!$A:$A,$B87)</f>
        <v>1.1621621621621601</v>
      </c>
      <c r="Y87" s="23">
        <f>SUMIFS([1]raw_data!U:U,[1]raw_data!$A:$A,$B87)</f>
        <v>253.63545300000001</v>
      </c>
      <c r="Z87" s="24">
        <f>SUMIFS([1]raw_data!V:V,[1]raw_data!$A:$A,$B87)</f>
        <v>1.0985691573926799</v>
      </c>
      <c r="AA87" s="21">
        <f t="shared" si="1"/>
        <v>113.83215319999999</v>
      </c>
    </row>
    <row r="88" spans="1:27" x14ac:dyDescent="0.25">
      <c r="A88" s="39"/>
      <c r="B88" s="21" t="s">
        <v>250</v>
      </c>
      <c r="C88" s="21" t="s">
        <v>251</v>
      </c>
      <c r="D88" s="21" t="s">
        <v>252</v>
      </c>
      <c r="E88" s="21" t="s">
        <v>15</v>
      </c>
      <c r="F88" s="22">
        <f>IFERROR(INDEX([1]raw_data!B:B,MATCH('SAIDI excl MEDs sort (5-yr avg)'!B120,[1]raw_data!A:A,0)),0)</f>
        <v>2042</v>
      </c>
      <c r="G88" s="23">
        <f>SUMIFS([1]raw_data!C:C,[1]raw_data!$A:$A,$B88)</f>
        <v>24.284272999999999</v>
      </c>
      <c r="H88" s="24">
        <f>SUMIFS([1]raw_data!D:D,[1]raw_data!$A:$A,$B88)</f>
        <v>0.111650485436893</v>
      </c>
      <c r="I88" s="23">
        <f>SUMIFS([1]raw_data!E:E,[1]raw_data!$A:$A,$B88)</f>
        <v>20.623398000000002</v>
      </c>
      <c r="J88" s="24">
        <f>SUMIFS([1]raw_data!F:F,[1]raw_data!$A:$A,$B88)</f>
        <v>0.101941747572815</v>
      </c>
      <c r="K88" s="23">
        <f>SUMIFS([1]raw_data!G:G,[1]raw_data!$A:$A,$B88)</f>
        <v>94.972020000000001</v>
      </c>
      <c r="L88" s="24">
        <f>SUMIFS([1]raw_data!H:H,[1]raw_data!$A:$A,$B88)</f>
        <v>0.48677884615384598</v>
      </c>
      <c r="M88" s="23">
        <f>SUMIFS([1]raw_data!I:I,[1]raw_data!$A:$A,$B88)</f>
        <v>91.540704000000005</v>
      </c>
      <c r="N88" s="24">
        <f>SUMIFS([1]raw_data!J:J,[1]raw_data!$A:$A,$B88)</f>
        <v>0.484375</v>
      </c>
      <c r="O88" s="23">
        <f>SUMIFS([1]raw_data!K:K,[1]raw_data!$A:$A,$B88)</f>
        <v>1008.235714</v>
      </c>
      <c r="P88" s="24">
        <f>SUMIFS([1]raw_data!L:L,[1]raw_data!$A:$A,$B88)</f>
        <v>1.9255702280912299</v>
      </c>
      <c r="Q88" s="23">
        <f>SUMIFS([1]raw_data!M:M,[1]raw_data!$A:$A,$B88)</f>
        <v>201.95022</v>
      </c>
      <c r="R88" s="24">
        <f>SUMIFS([1]raw_data!N:N,[1]raw_data!$A:$A,$B88)</f>
        <v>1.30492196878751</v>
      </c>
      <c r="S88" s="23">
        <f>SUMIFS([1]raw_data!O:O,[1]raw_data!$A:$A,$B88)</f>
        <v>200.83443600000001</v>
      </c>
      <c r="T88" s="24">
        <f>SUMIFS([1]raw_data!P:P,[1]raw_data!$A:$A,$B88)</f>
        <v>1.87515605493133</v>
      </c>
      <c r="U88" s="23">
        <f>SUMIFS([1]raw_data!Q:Q,[1]raw_data!$A:$A,$B88)</f>
        <v>200.83443600000001</v>
      </c>
      <c r="V88" s="24">
        <f>SUMIFS([1]raw_data!R:R,[1]raw_data!$A:$A,$B88)</f>
        <v>1.87515605493133</v>
      </c>
      <c r="W88" s="23">
        <f>SUMIFS([1]raw_data!S:S,[1]raw_data!$A:$A,$B88)</f>
        <v>49.060702999999997</v>
      </c>
      <c r="X88" s="24">
        <f>SUMIFS([1]raw_data!T:T,[1]raw_data!$A:$A,$B88)</f>
        <v>0.126708074534161</v>
      </c>
      <c r="Y88" s="23">
        <f>SUMIFS([1]raw_data!U:U,[1]raw_data!$A:$A,$B88)</f>
        <v>43.734265000000001</v>
      </c>
      <c r="Z88" s="24">
        <f>SUMIFS([1]raw_data!V:V,[1]raw_data!$A:$A,$B88)</f>
        <v>0.100621118012422</v>
      </c>
      <c r="AA88" s="21">
        <f t="shared" si="1"/>
        <v>111.73660460000001</v>
      </c>
    </row>
    <row r="89" spans="1:27" x14ac:dyDescent="0.25">
      <c r="A89" s="39"/>
      <c r="B89" s="21" t="s">
        <v>253</v>
      </c>
      <c r="C89" s="21" t="s">
        <v>254</v>
      </c>
      <c r="D89" s="21" t="s">
        <v>255</v>
      </c>
      <c r="E89" s="21" t="s">
        <v>27</v>
      </c>
      <c r="F89" s="22">
        <f>IFERROR(INDEX([1]raw_data!B:B,MATCH('SAIDI excl MEDs sort (5-yr avg)'!B79,[1]raw_data!A:A,0)),0)</f>
        <v>1112.4000000000001</v>
      </c>
      <c r="G89" s="23">
        <f>SUMIFS([1]raw_data!C:C,[1]raw_data!$A:$A,$B89)</f>
        <v>509.27408300000002</v>
      </c>
      <c r="H89" s="24">
        <f>SUMIFS([1]raw_data!D:D,[1]raw_data!$A:$A,$B89)</f>
        <v>1.2095119676717401</v>
      </c>
      <c r="I89" s="23">
        <f>SUMIFS([1]raw_data!E:E,[1]raw_data!$A:$A,$B89)</f>
        <v>69.294263999999998</v>
      </c>
      <c r="J89" s="24">
        <f>SUMIFS([1]raw_data!F:F,[1]raw_data!$A:$A,$B89)</f>
        <v>0.920733602735467</v>
      </c>
      <c r="K89" s="23">
        <f>SUMIFS([1]raw_data!G:G,[1]raw_data!$A:$A,$B89)</f>
        <v>15.060185000000001</v>
      </c>
      <c r="L89" s="24">
        <f>SUMIFS([1]raw_data!H:H,[1]raw_data!$A:$A,$B89)</f>
        <v>8.8327091136079894E-2</v>
      </c>
      <c r="M89" s="23">
        <f>SUMIFS([1]raw_data!I:I,[1]raw_data!$A:$A,$B89)</f>
        <v>14.264575000000001</v>
      </c>
      <c r="N89" s="24">
        <f>SUMIFS([1]raw_data!J:J,[1]raw_data!$A:$A,$B89)</f>
        <v>8.6142322097378196E-2</v>
      </c>
      <c r="O89" s="23">
        <f>SUMIFS([1]raw_data!K:K,[1]raw_data!$A:$A,$B89)</f>
        <v>310.02069399999999</v>
      </c>
      <c r="P89" s="24">
        <f>SUMIFS([1]raw_data!L:L,[1]raw_data!$A:$A,$B89)</f>
        <v>1.6437069505322399</v>
      </c>
      <c r="Q89" s="23">
        <f>SUMIFS([1]raw_data!M:M,[1]raw_data!$A:$A,$B89)</f>
        <v>111.805218</v>
      </c>
      <c r="R89" s="24">
        <f>SUMIFS([1]raw_data!N:N,[1]raw_data!$A:$A,$B89)</f>
        <v>1.48497182216656</v>
      </c>
      <c r="S89" s="23">
        <f>SUMIFS([1]raw_data!O:O,[1]raw_data!$A:$A,$B89)</f>
        <v>324.82834000000003</v>
      </c>
      <c r="T89" s="24">
        <f>SUMIFS([1]raw_data!P:P,[1]raw_data!$A:$A,$B89)</f>
        <v>3.72326454033771</v>
      </c>
      <c r="U89" s="23">
        <f>SUMIFS([1]raw_data!Q:Q,[1]raw_data!$A:$A,$B89)</f>
        <v>324.82834000000003</v>
      </c>
      <c r="V89" s="24">
        <f>SUMIFS([1]raw_data!R:R,[1]raw_data!$A:$A,$B89)</f>
        <v>3.72326454033771</v>
      </c>
      <c r="W89" s="23">
        <f>SUMIFS([1]raw_data!S:S,[1]raw_data!$A:$A,$B89)</f>
        <v>80.090873999999999</v>
      </c>
      <c r="X89" s="24">
        <f>SUMIFS([1]raw_data!T:T,[1]raw_data!$A:$A,$B89)</f>
        <v>0.17250078839482799</v>
      </c>
      <c r="Y89" s="23">
        <f>SUMIFS([1]raw_data!U:U,[1]raw_data!$A:$A,$B89)</f>
        <v>36.606138000000001</v>
      </c>
      <c r="Z89" s="24">
        <f>SUMIFS([1]raw_data!V:V,[1]raw_data!$A:$A,$B89)</f>
        <v>0.15137180700094599</v>
      </c>
      <c r="AA89" s="21">
        <f t="shared" si="1"/>
        <v>111.359707</v>
      </c>
    </row>
    <row r="90" spans="1:27" x14ac:dyDescent="0.25">
      <c r="A90" s="39"/>
      <c r="B90" s="21" t="s">
        <v>256</v>
      </c>
      <c r="C90" s="21" t="s">
        <v>83</v>
      </c>
      <c r="D90" s="21" t="s">
        <v>257</v>
      </c>
      <c r="E90" s="21" t="s">
        <v>19</v>
      </c>
      <c r="F90" s="22">
        <f>IFERROR(INDEX([1]raw_data!B:B,MATCH('SAIDI excl MEDs sort (5-yr avg)'!B93,[1]raw_data!A:A,0)),0)</f>
        <v>142.375</v>
      </c>
      <c r="G90" s="23">
        <f>SUMIFS([1]raw_data!C:C,[1]raw_data!$A:$A,$B90)</f>
        <v>87.925839999999994</v>
      </c>
      <c r="H90" s="24">
        <f>SUMIFS([1]raw_data!D:D,[1]raw_data!$A:$A,$B90)</f>
        <v>0.298692360633172</v>
      </c>
      <c r="I90" s="23">
        <f>SUMIFS([1]raw_data!E:E,[1]raw_data!$A:$A,$B90)</f>
        <v>55.823419999999999</v>
      </c>
      <c r="J90" s="24">
        <f>SUMIFS([1]raw_data!F:F,[1]raw_data!$A:$A,$B90)</f>
        <v>0.19614590502408799</v>
      </c>
      <c r="K90" s="23">
        <f>SUMIFS([1]raw_data!G:G,[1]raw_data!$A:$A,$B90)</f>
        <v>434.41702600000002</v>
      </c>
      <c r="L90" s="24">
        <f>SUMIFS([1]raw_data!H:H,[1]raw_data!$A:$A,$B90)</f>
        <v>3.8802065404474999</v>
      </c>
      <c r="M90" s="23">
        <f>SUMIFS([1]raw_data!I:I,[1]raw_data!$A:$A,$B90)</f>
        <v>399.82670200000001</v>
      </c>
      <c r="N90" s="24">
        <f>SUMIFS([1]raw_data!J:J,[1]raw_data!$A:$A,$B90)</f>
        <v>3.82788296041308</v>
      </c>
      <c r="O90" s="23">
        <f>SUMIFS([1]raw_data!K:K,[1]raw_data!$A:$A,$B90)</f>
        <v>76.565528999999998</v>
      </c>
      <c r="P90" s="24">
        <f>SUMIFS([1]raw_data!L:L,[1]raw_data!$A:$A,$B90)</f>
        <v>0.257920110192837</v>
      </c>
      <c r="Q90" s="23">
        <f>SUMIFS([1]raw_data!M:M,[1]raw_data!$A:$A,$B90)</f>
        <v>34.744444000000001</v>
      </c>
      <c r="R90" s="24">
        <f>SUMIFS([1]raw_data!N:N,[1]raw_data!$A:$A,$B90)</f>
        <v>0.21212121212121199</v>
      </c>
      <c r="S90" s="23">
        <f>SUMIFS([1]raw_data!O:O,[1]raw_data!$A:$A,$B90)</f>
        <v>47.518856999999997</v>
      </c>
      <c r="T90" s="24">
        <f>SUMIFS([1]raw_data!P:P,[1]raw_data!$A:$A,$B90)</f>
        <v>0.60144927536231796</v>
      </c>
      <c r="U90" s="23">
        <f>SUMIFS([1]raw_data!Q:Q,[1]raw_data!$A:$A,$B90)</f>
        <v>46.616056999999998</v>
      </c>
      <c r="V90" s="24">
        <f>SUMIFS([1]raw_data!R:R,[1]raw_data!$A:$A,$B90)</f>
        <v>0.59247757073843998</v>
      </c>
      <c r="W90" s="23">
        <f>SUMIFS([1]raw_data!S:S,[1]raw_data!$A:$A,$B90)</f>
        <v>275.80032899999998</v>
      </c>
      <c r="X90" s="24">
        <f>SUMIFS([1]raw_data!T:T,[1]raw_data!$A:$A,$B90)</f>
        <v>0.46471600688468101</v>
      </c>
      <c r="Y90" s="23">
        <f>SUMIFS([1]raw_data!U:U,[1]raw_data!$A:$A,$B90)</f>
        <v>14.989644</v>
      </c>
      <c r="Z90" s="24">
        <f>SUMIFS([1]raw_data!V:V,[1]raw_data!$A:$A,$B90)</f>
        <v>0.17555938037865701</v>
      </c>
      <c r="AA90" s="21">
        <f t="shared" si="1"/>
        <v>110.4000534</v>
      </c>
    </row>
    <row r="91" spans="1:27" x14ac:dyDescent="0.25">
      <c r="A91" s="39"/>
      <c r="B91" s="21" t="s">
        <v>258</v>
      </c>
      <c r="C91" s="21" t="s">
        <v>259</v>
      </c>
      <c r="D91" s="21" t="s">
        <v>260</v>
      </c>
      <c r="E91" s="21" t="s">
        <v>19</v>
      </c>
      <c r="F91" s="22">
        <f>IFERROR(INDEX([1]raw_data!B:B,MATCH('SAIDI excl MEDs sort (5-yr avg)'!B65,[1]raw_data!A:A,0)),0)</f>
        <v>988.75</v>
      </c>
      <c r="G91" s="23">
        <f>SUMIFS([1]raw_data!C:C,[1]raw_data!$A:$A,$B91)</f>
        <v>101.637073</v>
      </c>
      <c r="H91" s="24">
        <f>SUMIFS([1]raw_data!D:D,[1]raw_data!$A:$A,$B91)</f>
        <v>0.98657718120805304</v>
      </c>
      <c r="I91" s="23">
        <f>SUMIFS([1]raw_data!E:E,[1]raw_data!$A:$A,$B91)</f>
        <v>101.429866</v>
      </c>
      <c r="J91" s="24">
        <f>SUMIFS([1]raw_data!F:F,[1]raw_data!$A:$A,$B91)</f>
        <v>0.97081995914794195</v>
      </c>
      <c r="K91" s="23">
        <f>SUMIFS([1]raw_data!G:G,[1]raw_data!$A:$A,$B91)</f>
        <v>203.16139899999999</v>
      </c>
      <c r="L91" s="24">
        <f>SUMIFS([1]raw_data!H:H,[1]raw_data!$A:$A,$B91)</f>
        <v>1.1744730679156901</v>
      </c>
      <c r="M91" s="23">
        <f>SUMIFS([1]raw_data!I:I,[1]raw_data!$A:$A,$B91)</f>
        <v>198.40013300000001</v>
      </c>
      <c r="N91" s="24">
        <f>SUMIFS([1]raw_data!J:J,[1]raw_data!$A:$A,$B91)</f>
        <v>1.16334894613583</v>
      </c>
      <c r="O91" s="23">
        <f>SUMIFS([1]raw_data!K:K,[1]raw_data!$A:$A,$B91)</f>
        <v>179.171435</v>
      </c>
      <c r="P91" s="24">
        <f>SUMIFS([1]raw_data!L:L,[1]raw_data!$A:$A,$B91)</f>
        <v>1.0464776381175001</v>
      </c>
      <c r="Q91" s="23">
        <f>SUMIFS([1]raw_data!M:M,[1]raw_data!$A:$A,$B91)</f>
        <v>75.459372999999999</v>
      </c>
      <c r="R91" s="24">
        <f>SUMIFS([1]raw_data!N:N,[1]raw_data!$A:$A,$B91)</f>
        <v>1.0078924291142899</v>
      </c>
      <c r="S91" s="23">
        <f>SUMIFS([1]raw_data!O:O,[1]raw_data!$A:$A,$B91)</f>
        <v>47.53884</v>
      </c>
      <c r="T91" s="24">
        <f>SUMIFS([1]raw_data!P:P,[1]raw_data!$A:$A,$B91)</f>
        <v>0.236571764015262</v>
      </c>
      <c r="U91" s="23">
        <f>SUMIFS([1]raw_data!Q:Q,[1]raw_data!$A:$A,$B91)</f>
        <v>44.916612000000001</v>
      </c>
      <c r="V91" s="24">
        <f>SUMIFS([1]raw_data!R:R,[1]raw_data!$A:$A,$B91)</f>
        <v>0.22835339007924799</v>
      </c>
      <c r="W91" s="23">
        <f>SUMIFS([1]raw_data!S:S,[1]raw_data!$A:$A,$B91)</f>
        <v>158.508746</v>
      </c>
      <c r="X91" s="24">
        <f>SUMIFS([1]raw_data!T:T,[1]raw_data!$A:$A,$B91)</f>
        <v>1.3476077968103899</v>
      </c>
      <c r="Y91" s="23">
        <f>SUMIFS([1]raw_data!U:U,[1]raw_data!$A:$A,$B91)</f>
        <v>129.52325200000001</v>
      </c>
      <c r="Z91" s="24">
        <f>SUMIFS([1]raw_data!V:V,[1]raw_data!$A:$A,$B91)</f>
        <v>1.3360897814530399</v>
      </c>
      <c r="AA91" s="21">
        <f t="shared" si="1"/>
        <v>109.94584720000003</v>
      </c>
    </row>
    <row r="92" spans="1:27" x14ac:dyDescent="0.25">
      <c r="A92" s="39"/>
      <c r="B92" s="21" t="s">
        <v>261</v>
      </c>
      <c r="C92" s="21" t="s">
        <v>262</v>
      </c>
      <c r="D92" s="21" t="s">
        <v>263</v>
      </c>
      <c r="E92" s="21" t="s">
        <v>19</v>
      </c>
      <c r="F92" s="22">
        <f>IFERROR(INDEX([1]raw_data!B:B,MATCH('SAIDI excl MEDs sort (5-yr avg)'!B14,[1]raw_data!A:A,0)),0)</f>
        <v>26.571428000000001</v>
      </c>
      <c r="G92" s="23">
        <f>SUMIFS([1]raw_data!C:C,[1]raw_data!$A:$A,$B92)</f>
        <v>370.28032300000001</v>
      </c>
      <c r="H92" s="24">
        <f>SUMIFS([1]raw_data!D:D,[1]raw_data!$A:$A,$B92)</f>
        <v>1.4333753678015899</v>
      </c>
      <c r="I92" s="23">
        <f>SUMIFS([1]raw_data!E:E,[1]raw_data!$A:$A,$B92)</f>
        <v>348.78426899999999</v>
      </c>
      <c r="J92" s="24">
        <f>SUMIFS([1]raw_data!F:F,[1]raw_data!$A:$A,$B92)</f>
        <v>1.41067675493905</v>
      </c>
      <c r="K92" s="23">
        <f>SUMIFS([1]raw_data!G:G,[1]raw_data!$A:$A,$B92)</f>
        <v>650.24718399999995</v>
      </c>
      <c r="L92" s="24">
        <f>SUMIFS([1]raw_data!H:H,[1]raw_data!$A:$A,$B92)</f>
        <v>1.1331600231080301</v>
      </c>
      <c r="M92" s="23">
        <f>SUMIFS([1]raw_data!I:I,[1]raw_data!$A:$A,$B92)</f>
        <v>13.920087000000001</v>
      </c>
      <c r="N92" s="24">
        <f>SUMIFS([1]raw_data!J:J,[1]raw_data!$A:$A,$B92)</f>
        <v>0.11467359907567801</v>
      </c>
      <c r="O92" s="23">
        <f>SUMIFS([1]raw_data!K:K,[1]raw_data!$A:$A,$B92)</f>
        <v>15.90657</v>
      </c>
      <c r="P92" s="24">
        <f>SUMIFS([1]raw_data!L:L,[1]raw_data!$A:$A,$B92)</f>
        <v>9.6755504055619904E-2</v>
      </c>
      <c r="Q92" s="23">
        <f>SUMIFS([1]raw_data!M:M,[1]raw_data!$A:$A,$B92)</f>
        <v>10.523966</v>
      </c>
      <c r="R92" s="24">
        <f>SUMIFS([1]raw_data!N:N,[1]raw_data!$A:$A,$B92)</f>
        <v>8.9803012746234007E-2</v>
      </c>
      <c r="S92" s="23">
        <f>SUMIFS([1]raw_data!O:O,[1]raw_data!$A:$A,$B92)</f>
        <v>20.084382999999999</v>
      </c>
      <c r="T92" s="24">
        <f>SUMIFS([1]raw_data!P:P,[1]raw_data!$A:$A,$B92)</f>
        <v>8.74133691035099E-2</v>
      </c>
      <c r="U92" s="23">
        <f>SUMIFS([1]raw_data!Q:Q,[1]raw_data!$A:$A,$B92)</f>
        <v>7.9308139999999998</v>
      </c>
      <c r="V92" s="24">
        <f>SUMIFS([1]raw_data!R:R,[1]raw_data!$A:$A,$B92)</f>
        <v>6.1927118265146401E-2</v>
      </c>
      <c r="W92" s="23">
        <f>SUMIFS([1]raw_data!S:S,[1]raw_data!$A:$A,$B92)</f>
        <v>713.29551100000003</v>
      </c>
      <c r="X92" s="24">
        <f>SUMIFS([1]raw_data!T:T,[1]raw_data!$A:$A,$B92)</f>
        <v>2.1554646405610698</v>
      </c>
      <c r="Y92" s="23">
        <f>SUMIFS([1]raw_data!U:U,[1]raw_data!$A:$A,$B92)</f>
        <v>160.54547600000001</v>
      </c>
      <c r="Z92" s="24">
        <f>SUMIFS([1]raw_data!V:V,[1]raw_data!$A:$A,$B92)</f>
        <v>1.0695499707773199</v>
      </c>
      <c r="AA92" s="21">
        <f t="shared" si="1"/>
        <v>108.3409224</v>
      </c>
    </row>
    <row r="93" spans="1:27" x14ac:dyDescent="0.25">
      <c r="A93" s="39"/>
      <c r="B93" s="21" t="s">
        <v>264</v>
      </c>
      <c r="C93" s="21" t="s">
        <v>81</v>
      </c>
      <c r="D93" s="21" t="s">
        <v>265</v>
      </c>
      <c r="E93" s="21" t="s">
        <v>15</v>
      </c>
      <c r="F93" s="22">
        <f>IFERROR(INDEX([1]raw_data!B:B,MATCH('SAIDI excl MEDs sort (5-yr avg)'!B80,[1]raw_data!A:A,0)),0)</f>
        <v>854</v>
      </c>
      <c r="G93" s="23">
        <f>SUMIFS([1]raw_data!C:C,[1]raw_data!$A:$A,$B93)</f>
        <v>69.030519999999996</v>
      </c>
      <c r="H93" s="24">
        <f>SUMIFS([1]raw_data!D:D,[1]raw_data!$A:$A,$B93)</f>
        <v>8.6330935251798496E-2</v>
      </c>
      <c r="I93" s="23">
        <f>SUMIFS([1]raw_data!E:E,[1]raw_data!$A:$A,$B93)</f>
        <v>69.030519999999996</v>
      </c>
      <c r="J93" s="24">
        <f>SUMIFS([1]raw_data!F:F,[1]raw_data!$A:$A,$B93)</f>
        <v>8.6330935251798496E-2</v>
      </c>
      <c r="K93" s="23">
        <f>SUMIFS([1]raw_data!G:G,[1]raw_data!$A:$A,$B93)</f>
        <v>202.097891</v>
      </c>
      <c r="L93" s="24">
        <f>SUMIFS([1]raw_data!H:H,[1]raw_data!$A:$A,$B93)</f>
        <v>0.90845070422535201</v>
      </c>
      <c r="M93" s="23">
        <f>SUMIFS([1]raw_data!I:I,[1]raw_data!$A:$A,$B93)</f>
        <v>202.097891</v>
      </c>
      <c r="N93" s="24">
        <f>SUMIFS([1]raw_data!J:J,[1]raw_data!$A:$A,$B93)</f>
        <v>0.90845070422535201</v>
      </c>
      <c r="O93" s="23">
        <f>SUMIFS([1]raw_data!K:K,[1]raw_data!$A:$A,$B93)</f>
        <v>190.42612199999999</v>
      </c>
      <c r="P93" s="24">
        <f>SUMIFS([1]raw_data!L:L,[1]raw_data!$A:$A,$B93)</f>
        <v>0.58156028368794299</v>
      </c>
      <c r="Q93" s="23">
        <f>SUMIFS([1]raw_data!M:M,[1]raw_data!$A:$A,$B93)</f>
        <v>161.002364</v>
      </c>
      <c r="R93" s="24">
        <f>SUMIFS([1]raw_data!N:N,[1]raw_data!$A:$A,$B93)</f>
        <v>0.57446808510638203</v>
      </c>
      <c r="S93" s="23">
        <f>SUMIFS([1]raw_data!O:O,[1]raw_data!$A:$A,$B93)</f>
        <v>73.016069999999999</v>
      </c>
      <c r="T93" s="24">
        <f>SUMIFS([1]raw_data!P:P,[1]raw_data!$A:$A,$B93)</f>
        <v>1.1571428571428499</v>
      </c>
      <c r="U93" s="23">
        <f>SUMIFS([1]raw_data!Q:Q,[1]raw_data!$A:$A,$B93)</f>
        <v>24.631309000000002</v>
      </c>
      <c r="V93" s="24">
        <f>SUMIFS([1]raw_data!R:R,[1]raw_data!$A:$A,$B93)</f>
        <v>0.14285714285714199</v>
      </c>
      <c r="W93" s="23">
        <f>SUMIFS([1]raw_data!S:S,[1]raw_data!$A:$A,$B93)</f>
        <v>91.243692999999993</v>
      </c>
      <c r="X93" s="24">
        <f>SUMIFS([1]raw_data!T:T,[1]raw_data!$A:$A,$B93)</f>
        <v>0.22972972972972899</v>
      </c>
      <c r="Y93" s="23">
        <f>SUMIFS([1]raw_data!U:U,[1]raw_data!$A:$A,$B93)</f>
        <v>71.775225000000006</v>
      </c>
      <c r="Z93" s="24">
        <f>SUMIFS([1]raw_data!V:V,[1]raw_data!$A:$A,$B93)</f>
        <v>0.222972972972972</v>
      </c>
      <c r="AA93" s="21">
        <f t="shared" si="1"/>
        <v>105.7074618</v>
      </c>
    </row>
    <row r="94" spans="1:27" x14ac:dyDescent="0.25">
      <c r="A94" s="39"/>
      <c r="B94" s="21" t="s">
        <v>266</v>
      </c>
      <c r="C94" s="21" t="s">
        <v>169</v>
      </c>
      <c r="D94" s="21" t="s">
        <v>267</v>
      </c>
      <c r="E94" s="21" t="s">
        <v>23</v>
      </c>
      <c r="F94" s="22">
        <f>IFERROR(INDEX([1]raw_data!B:B,MATCH('SAIDI excl MEDs sort (5-yr avg)'!B140,[1]raw_data!A:A,0)),0)</f>
        <v>602.55555500000003</v>
      </c>
      <c r="G94" s="23">
        <f>SUMIFS([1]raw_data!C:C,[1]raw_data!$A:$A,$B94)</f>
        <v>1833.25766</v>
      </c>
      <c r="H94" s="24">
        <f>SUMIFS([1]raw_data!D:D,[1]raw_data!$A:$A,$B94)</f>
        <v>0.88261851015801296</v>
      </c>
      <c r="I94" s="23">
        <f>SUMIFS([1]raw_data!E:E,[1]raw_data!$A:$A,$B94)</f>
        <v>8.2182619999999993</v>
      </c>
      <c r="J94" s="24">
        <f>SUMIFS([1]raw_data!F:F,[1]raw_data!$A:$A,$B94)</f>
        <v>5.1166290443942802E-2</v>
      </c>
      <c r="K94" s="23">
        <f>SUMIFS([1]raw_data!G:G,[1]raw_data!$A:$A,$B94)</f>
        <v>69.848995000000002</v>
      </c>
      <c r="L94" s="24">
        <f>SUMIFS([1]raw_data!H:H,[1]raw_data!$A:$A,$B94)</f>
        <v>0.21872659176029899</v>
      </c>
      <c r="M94" s="23">
        <f>SUMIFS([1]raw_data!I:I,[1]raw_data!$A:$A,$B94)</f>
        <v>46.858854999999998</v>
      </c>
      <c r="N94" s="24">
        <f>SUMIFS([1]raw_data!J:J,[1]raw_data!$A:$A,$B94)</f>
        <v>0.21048689138576701</v>
      </c>
      <c r="O94" s="23">
        <f>SUMIFS([1]raw_data!K:K,[1]raw_data!$A:$A,$B94)</f>
        <v>980.29363899999998</v>
      </c>
      <c r="P94" s="24">
        <f>SUMIFS([1]raw_data!L:L,[1]raw_data!$A:$A,$B94)</f>
        <v>1.5487256371814</v>
      </c>
      <c r="Q94" s="23">
        <f>SUMIFS([1]raw_data!M:M,[1]raw_data!$A:$A,$B94)</f>
        <v>45.556421</v>
      </c>
      <c r="R94" s="24">
        <f>SUMIFS([1]raw_data!N:N,[1]raw_data!$A:$A,$B94)</f>
        <v>0.37031484257871</v>
      </c>
      <c r="S94" s="23">
        <f>SUMIFS([1]raw_data!O:O,[1]raw_data!$A:$A,$B94)</f>
        <v>365.89860099999999</v>
      </c>
      <c r="T94" s="24">
        <f>SUMIFS([1]raw_data!P:P,[1]raw_data!$A:$A,$B94)</f>
        <v>2.2677345537757398</v>
      </c>
      <c r="U94" s="23">
        <f>SUMIFS([1]raw_data!Q:Q,[1]raw_data!$A:$A,$B94)</f>
        <v>339.01078000000001</v>
      </c>
      <c r="V94" s="24">
        <f>SUMIFS([1]raw_data!R:R,[1]raw_data!$A:$A,$B94)</f>
        <v>2.2044241037375998</v>
      </c>
      <c r="W94" s="23">
        <f>SUMIFS([1]raw_data!S:S,[1]raw_data!$A:$A,$B94)</f>
        <v>165.419274</v>
      </c>
      <c r="X94" s="24">
        <f>SUMIFS([1]raw_data!T:T,[1]raw_data!$A:$A,$B94)</f>
        <v>0.73801916932907297</v>
      </c>
      <c r="Y94" s="23">
        <f>SUMIFS([1]raw_data!U:U,[1]raw_data!$A:$A,$B94)</f>
        <v>85.247563</v>
      </c>
      <c r="Z94" s="24">
        <f>SUMIFS([1]raw_data!V:V,[1]raw_data!$A:$A,$B94)</f>
        <v>0.68370607028753905</v>
      </c>
      <c r="AA94" s="21">
        <f t="shared" si="1"/>
        <v>104.9783762</v>
      </c>
    </row>
    <row r="95" spans="1:27" x14ac:dyDescent="0.25">
      <c r="A95" s="39"/>
      <c r="B95" s="21" t="s">
        <v>268</v>
      </c>
      <c r="C95" s="21" t="s">
        <v>133</v>
      </c>
      <c r="D95" s="21" t="s">
        <v>269</v>
      </c>
      <c r="E95" s="21" t="s">
        <v>19</v>
      </c>
      <c r="F95" s="22">
        <f>IFERROR(INDEX([1]raw_data!B:B,MATCH('SAIDI excl MEDs sort (5-yr avg)'!B27,[1]raw_data!A:A,0)),0)</f>
        <v>808.33333300000004</v>
      </c>
      <c r="G95" s="23">
        <f>SUMIFS([1]raw_data!C:C,[1]raw_data!$A:$A,$B95)</f>
        <v>231.40356800000001</v>
      </c>
      <c r="H95" s="24">
        <f>SUMIFS([1]raw_data!D:D,[1]raw_data!$A:$A,$B95)</f>
        <v>0.98612315698178599</v>
      </c>
      <c r="I95" s="23">
        <f>SUMIFS([1]raw_data!E:E,[1]raw_data!$A:$A,$B95)</f>
        <v>230.53042400000001</v>
      </c>
      <c r="J95" s="24">
        <f>SUMIFS([1]raw_data!F:F,[1]raw_data!$A:$A,$B95)</f>
        <v>0.98178664353859402</v>
      </c>
      <c r="K95" s="23">
        <f>SUMIFS([1]raw_data!G:G,[1]raw_data!$A:$A,$B95)</f>
        <v>321.243154</v>
      </c>
      <c r="L95" s="24">
        <f>SUMIFS([1]raw_data!H:H,[1]raw_data!$A:$A,$B95)</f>
        <v>0.85664639443961699</v>
      </c>
      <c r="M95" s="23">
        <f>SUMIFS([1]raw_data!I:I,[1]raw_data!$A:$A,$B95)</f>
        <v>50.377797000000001</v>
      </c>
      <c r="N95" s="24">
        <f>SUMIFS([1]raw_data!J:J,[1]raw_data!$A:$A,$B95)</f>
        <v>0.71416159860990402</v>
      </c>
      <c r="O95" s="23">
        <f>SUMIFS([1]raw_data!K:K,[1]raw_data!$A:$A,$B95)</f>
        <v>201.993709</v>
      </c>
      <c r="P95" s="24">
        <f>SUMIFS([1]raw_data!L:L,[1]raw_data!$A:$A,$B95)</f>
        <v>2.46608695652173</v>
      </c>
      <c r="Q95" s="23">
        <f>SUMIFS([1]raw_data!M:M,[1]raw_data!$A:$A,$B95)</f>
        <v>67.182072000000005</v>
      </c>
      <c r="R95" s="24">
        <f>SUMIFS([1]raw_data!N:N,[1]raw_data!$A:$A,$B95)</f>
        <v>1.12521739130434</v>
      </c>
      <c r="S95" s="23">
        <f>SUMIFS([1]raw_data!O:O,[1]raw_data!$A:$A,$B95)</f>
        <v>134.79012499999999</v>
      </c>
      <c r="T95" s="24">
        <f>SUMIFS([1]raw_data!P:P,[1]raw_data!$A:$A,$B95)</f>
        <v>1.6047535211267601</v>
      </c>
      <c r="U95" s="23">
        <f>SUMIFS([1]raw_data!Q:Q,[1]raw_data!$A:$A,$B95)</f>
        <v>134.28215900000001</v>
      </c>
      <c r="V95" s="24">
        <f>SUMIFS([1]raw_data!R:R,[1]raw_data!$A:$A,$B95)</f>
        <v>1.5950704225352099</v>
      </c>
      <c r="W95" s="23">
        <f>SUMIFS([1]raw_data!S:S,[1]raw_data!$A:$A,$B95)</f>
        <v>323.43570299999999</v>
      </c>
      <c r="X95" s="24">
        <f>SUMIFS([1]raw_data!T:T,[1]raw_data!$A:$A,$B95)</f>
        <v>0.39423942394239397</v>
      </c>
      <c r="Y95" s="23">
        <f>SUMIFS([1]raw_data!U:U,[1]raw_data!$A:$A,$B95)</f>
        <v>36.521901999999997</v>
      </c>
      <c r="Z95" s="24">
        <f>SUMIFS([1]raw_data!V:V,[1]raw_data!$A:$A,$B95)</f>
        <v>0.15751575157515699</v>
      </c>
      <c r="AA95" s="21">
        <f t="shared" si="1"/>
        <v>103.77887080000001</v>
      </c>
    </row>
    <row r="96" spans="1:27" x14ac:dyDescent="0.25">
      <c r="A96" s="39"/>
      <c r="B96" s="21" t="s">
        <v>270</v>
      </c>
      <c r="C96" s="21" t="s">
        <v>271</v>
      </c>
      <c r="D96" s="21" t="s">
        <v>272</v>
      </c>
      <c r="E96" s="21" t="s">
        <v>23</v>
      </c>
      <c r="F96" s="22">
        <f>IFERROR(INDEX([1]raw_data!B:B,MATCH('SAIDI excl MEDs sort (5-yr avg)'!B100,[1]raw_data!A:A,0)),0)</f>
        <v>446</v>
      </c>
      <c r="G96" s="23">
        <f>SUMIFS([1]raw_data!C:C,[1]raw_data!$A:$A,$B96)</f>
        <v>3451.9812480000001</v>
      </c>
      <c r="H96" s="24">
        <f>SUMIFS([1]raw_data!D:D,[1]raw_data!$A:$A,$B96)</f>
        <v>1.4291845493562201</v>
      </c>
      <c r="I96" s="23">
        <f>SUMIFS([1]raw_data!E:E,[1]raw_data!$A:$A,$B96)</f>
        <v>44.641261</v>
      </c>
      <c r="J96" s="24">
        <f>SUMIFS([1]raw_data!F:F,[1]raw_data!$A:$A,$B96)</f>
        <v>0.21244635193132999</v>
      </c>
      <c r="K96" s="23">
        <f>SUMIFS([1]raw_data!G:G,[1]raw_data!$A:$A,$B96)</f>
        <v>1117.976514</v>
      </c>
      <c r="L96" s="24">
        <f>SUMIFS([1]raw_data!H:H,[1]raw_data!$A:$A,$B96)</f>
        <v>0.92505353319057804</v>
      </c>
      <c r="M96" s="23">
        <f>SUMIFS([1]raw_data!I:I,[1]raw_data!$A:$A,$B96)</f>
        <v>79.947056000000003</v>
      </c>
      <c r="N96" s="24">
        <f>SUMIFS([1]raw_data!J:J,[1]raw_data!$A:$A,$B96)</f>
        <v>7.4946466809421797E-2</v>
      </c>
      <c r="O96" s="23">
        <f>SUMIFS([1]raw_data!K:K,[1]raw_data!$A:$A,$B96)</f>
        <v>328.32941499999998</v>
      </c>
      <c r="P96" s="24">
        <f>SUMIFS([1]raw_data!L:L,[1]raw_data!$A:$A,$B96)</f>
        <v>0.816239316239316</v>
      </c>
      <c r="Q96" s="23">
        <f>SUMIFS([1]raw_data!M:M,[1]raw_data!$A:$A,$B96)</f>
        <v>33.726993999999998</v>
      </c>
      <c r="R96" s="24">
        <f>SUMIFS([1]raw_data!N:N,[1]raw_data!$A:$A,$B96)</f>
        <v>0.262820512820512</v>
      </c>
      <c r="S96" s="23">
        <f>SUMIFS([1]raw_data!O:O,[1]raw_data!$A:$A,$B96)</f>
        <v>49.462690000000002</v>
      </c>
      <c r="T96" s="24">
        <f>SUMIFS([1]raw_data!P:P,[1]raw_data!$A:$A,$B96)</f>
        <v>0.284463894967177</v>
      </c>
      <c r="U96" s="23">
        <f>SUMIFS([1]raw_data!Q:Q,[1]raw_data!$A:$A,$B96)</f>
        <v>11.503171999999999</v>
      </c>
      <c r="V96" s="24">
        <f>SUMIFS([1]raw_data!R:R,[1]raw_data!$A:$A,$B96)</f>
        <v>0.24507658643326</v>
      </c>
      <c r="W96" s="23">
        <f>SUMIFS([1]raw_data!S:S,[1]raw_data!$A:$A,$B96)</f>
        <v>356.98080099999999</v>
      </c>
      <c r="X96" s="24">
        <f>SUMIFS([1]raw_data!T:T,[1]raw_data!$A:$A,$B96)</f>
        <v>1.27548806941431</v>
      </c>
      <c r="Y96" s="23">
        <f>SUMIFS([1]raw_data!U:U,[1]raw_data!$A:$A,$B96)</f>
        <v>348.37378799999999</v>
      </c>
      <c r="Z96" s="24">
        <f>SUMIFS([1]raw_data!V:V,[1]raw_data!$A:$A,$B96)</f>
        <v>1.0694143167028101</v>
      </c>
      <c r="AA96" s="21">
        <f t="shared" si="1"/>
        <v>103.6384542</v>
      </c>
    </row>
    <row r="97" spans="1:27" x14ac:dyDescent="0.25">
      <c r="A97" s="39"/>
      <c r="B97" s="21" t="s">
        <v>273</v>
      </c>
      <c r="C97" s="21" t="s">
        <v>274</v>
      </c>
      <c r="D97" s="21" t="s">
        <v>275</v>
      </c>
      <c r="E97" s="21" t="s">
        <v>76</v>
      </c>
      <c r="F97" s="22">
        <f>IFERROR(INDEX([1]raw_data!B:B,MATCH('SAIDI excl MEDs sort (5-yr avg)'!B145,[1]raw_data!A:A,0)),0)</f>
        <v>1913.8</v>
      </c>
      <c r="G97" s="23">
        <f>SUMIFS([1]raw_data!C:C,[1]raw_data!$A:$A,$B97)</f>
        <v>176.29485500000001</v>
      </c>
      <c r="H97" s="24">
        <f>SUMIFS([1]raw_data!D:D,[1]raw_data!$A:$A,$B97)</f>
        <v>8.1705150976909405E-2</v>
      </c>
      <c r="I97" s="23">
        <f>SUMIFS([1]raw_data!E:E,[1]raw_data!$A:$A,$B97)</f>
        <v>5.2737590000000001</v>
      </c>
      <c r="J97" s="24">
        <f>SUMIFS([1]raw_data!F:F,[1]raw_data!$A:$A,$B97)</f>
        <v>3.1971580817051502E-2</v>
      </c>
      <c r="K97" s="23">
        <f>SUMIFS([1]raw_data!G:G,[1]raw_data!$A:$A,$B97)</f>
        <v>348.22120799999999</v>
      </c>
      <c r="L97" s="24">
        <f>SUMIFS([1]raw_data!H:H,[1]raw_data!$A:$A,$B97)</f>
        <v>1.1666666666666601</v>
      </c>
      <c r="M97" s="23">
        <f>SUMIFS([1]raw_data!I:I,[1]raw_data!$A:$A,$B97)</f>
        <v>140.01186300000001</v>
      </c>
      <c r="N97" s="24">
        <f>SUMIFS([1]raw_data!J:J,[1]raw_data!$A:$A,$B97)</f>
        <v>1.0744680851063799</v>
      </c>
      <c r="O97" s="23">
        <f>SUMIFS([1]raw_data!K:K,[1]raw_data!$A:$A,$B97)</f>
        <v>27.688651</v>
      </c>
      <c r="P97" s="24">
        <f>SUMIFS([1]raw_data!L:L,[1]raw_data!$A:$A,$B97)</f>
        <v>0.26203208556149699</v>
      </c>
      <c r="Q97" s="23">
        <f>SUMIFS([1]raw_data!M:M,[1]raw_data!$A:$A,$B97)</f>
        <v>27.688651</v>
      </c>
      <c r="R97" s="24">
        <f>SUMIFS([1]raw_data!N:N,[1]raw_data!$A:$A,$B97)</f>
        <v>0.26203208556149699</v>
      </c>
      <c r="S97" s="23">
        <f>SUMIFS([1]raw_data!O:O,[1]raw_data!$A:$A,$B97)</f>
        <v>667.62468699999999</v>
      </c>
      <c r="T97" s="24">
        <f>SUMIFS([1]raw_data!P:P,[1]raw_data!$A:$A,$B97)</f>
        <v>3.50802139037433</v>
      </c>
      <c r="U97" s="23">
        <f>SUMIFS([1]raw_data!Q:Q,[1]raw_data!$A:$A,$B97)</f>
        <v>322.099108</v>
      </c>
      <c r="V97" s="24">
        <f>SUMIFS([1]raw_data!R:R,[1]raw_data!$A:$A,$B97)</f>
        <v>1.4670231729055201</v>
      </c>
      <c r="W97" s="23">
        <f>SUMIFS([1]raw_data!S:S,[1]raw_data!$A:$A,$B97)</f>
        <v>24.773910999999998</v>
      </c>
      <c r="X97" s="24">
        <f>SUMIFS([1]raw_data!T:T,[1]raw_data!$A:$A,$B97)</f>
        <v>0.413237924865831</v>
      </c>
      <c r="Y97" s="23">
        <f>SUMIFS([1]raw_data!U:U,[1]raw_data!$A:$A,$B97)</f>
        <v>22.613178000000001</v>
      </c>
      <c r="Z97" s="24">
        <f>SUMIFS([1]raw_data!V:V,[1]raw_data!$A:$A,$B97)</f>
        <v>0.41144901610017798</v>
      </c>
      <c r="AA97" s="21">
        <f t="shared" si="1"/>
        <v>103.5373118</v>
      </c>
    </row>
    <row r="98" spans="1:27" x14ac:dyDescent="0.25">
      <c r="A98" s="39"/>
      <c r="B98" s="21" t="s">
        <v>276</v>
      </c>
      <c r="C98" s="21" t="s">
        <v>277</v>
      </c>
      <c r="D98" s="21" t="s">
        <v>278</v>
      </c>
      <c r="E98" s="21" t="s">
        <v>19</v>
      </c>
      <c r="F98" s="22">
        <f>IFERROR(INDEX([1]raw_data!B:B,MATCH('SAIDI excl MEDs sort (5-yr avg)'!B156,[1]raw_data!A:A,0)),0)</f>
        <v>132.66666599999999</v>
      </c>
      <c r="G98" s="23">
        <f>SUMIFS([1]raw_data!C:C,[1]raw_data!$A:$A,$B98)</f>
        <v>1.1213390000000001</v>
      </c>
      <c r="H98" s="24">
        <f>SUMIFS([1]raw_data!D:D,[1]raw_data!$A:$A,$B98)</f>
        <v>6.6815144766146899E-3</v>
      </c>
      <c r="I98" s="23">
        <f>SUMIFS([1]raw_data!E:E,[1]raw_data!$A:$A,$B98)</f>
        <v>1.1213390000000001</v>
      </c>
      <c r="J98" s="24">
        <f>SUMIFS([1]raw_data!F:F,[1]raw_data!$A:$A,$B98)</f>
        <v>6.6815144766146899E-3</v>
      </c>
      <c r="K98" s="23">
        <f>SUMIFS([1]raw_data!G:G,[1]raw_data!$A:$A,$B98)</f>
        <v>390.98522400000002</v>
      </c>
      <c r="L98" s="24">
        <f>SUMIFS([1]raw_data!H:H,[1]raw_data!$A:$A,$B98)</f>
        <v>3.5752409191994001</v>
      </c>
      <c r="M98" s="23">
        <f>SUMIFS([1]raw_data!I:I,[1]raw_data!$A:$A,$B98)</f>
        <v>390.40230100000002</v>
      </c>
      <c r="N98" s="24">
        <f>SUMIFS([1]raw_data!J:J,[1]raw_data!$A:$A,$B98)</f>
        <v>3.5744996293550702</v>
      </c>
      <c r="O98" s="23">
        <f>SUMIFS([1]raw_data!K:K,[1]raw_data!$A:$A,$B98)</f>
        <v>116.34524999999999</v>
      </c>
      <c r="P98" s="24">
        <f>SUMIFS([1]raw_data!L:L,[1]raw_data!$A:$A,$B98)</f>
        <v>1.7166799680766101</v>
      </c>
      <c r="Q98" s="23">
        <f>SUMIFS([1]raw_data!M:M,[1]raw_data!$A:$A,$B98)</f>
        <v>85.898043999999999</v>
      </c>
      <c r="R98" s="24">
        <f>SUMIFS([1]raw_data!N:N,[1]raw_data!$A:$A,$B98)</f>
        <v>1.707102952913</v>
      </c>
      <c r="S98" s="23">
        <f>SUMIFS([1]raw_data!O:O,[1]raw_data!$A:$A,$B98)</f>
        <v>154.24998199999999</v>
      </c>
      <c r="T98" s="24">
        <f>SUMIFS([1]raw_data!P:P,[1]raw_data!$A:$A,$B98)</f>
        <v>0.46077457795431898</v>
      </c>
      <c r="U98" s="23">
        <f>SUMIFS([1]raw_data!Q:Q,[1]raw_data!$A:$A,$B98)</f>
        <v>31.609665</v>
      </c>
      <c r="V98" s="24">
        <f>SUMIFS([1]raw_data!R:R,[1]raw_data!$A:$A,$B98)</f>
        <v>0.39721946375372302</v>
      </c>
      <c r="W98" s="23">
        <f>SUMIFS([1]raw_data!S:S,[1]raw_data!$A:$A,$B98)</f>
        <v>216.79177200000001</v>
      </c>
      <c r="X98" s="24">
        <f>SUMIFS([1]raw_data!T:T,[1]raw_data!$A:$A,$B98)</f>
        <v>0.178343949044585</v>
      </c>
      <c r="Y98" s="23">
        <f>SUMIFS([1]raw_data!U:U,[1]raw_data!$A:$A,$B98)</f>
        <v>2.1350669999999998</v>
      </c>
      <c r="Z98" s="24">
        <f>SUMIFS([1]raw_data!V:V,[1]raw_data!$A:$A,$B98)</f>
        <v>4.5647558386411803E-2</v>
      </c>
      <c r="AA98" s="21">
        <f t="shared" si="1"/>
        <v>102.2332832</v>
      </c>
    </row>
    <row r="99" spans="1:27" x14ac:dyDescent="0.25">
      <c r="A99" s="39"/>
      <c r="B99" s="21" t="s">
        <v>279</v>
      </c>
      <c r="C99" s="21" t="s">
        <v>103</v>
      </c>
      <c r="D99" s="21" t="s">
        <v>280</v>
      </c>
      <c r="E99" s="21" t="s">
        <v>15</v>
      </c>
      <c r="F99" s="22">
        <f>IFERROR(INDEX([1]raw_data!B:B,MATCH('SAIDI excl MEDs sort (5-yr avg)'!B92,[1]raw_data!A:A,0)),0)</f>
        <v>3779.8</v>
      </c>
      <c r="G99" s="23">
        <f>SUMIFS([1]raw_data!C:C,[1]raw_data!$A:$A,$B99)</f>
        <v>155.563615</v>
      </c>
      <c r="H99" s="24">
        <f>SUMIFS([1]raw_data!D:D,[1]raw_data!$A:$A,$B99)</f>
        <v>1.32450331125827</v>
      </c>
      <c r="I99" s="23">
        <f>SUMIFS([1]raw_data!E:E,[1]raw_data!$A:$A,$B99)</f>
        <v>56.089528999999999</v>
      </c>
      <c r="J99" s="24">
        <f>SUMIFS([1]raw_data!F:F,[1]raw_data!$A:$A,$B99)</f>
        <v>1.24768211920529</v>
      </c>
      <c r="K99" s="23">
        <f>SUMIFS([1]raw_data!G:G,[1]raw_data!$A:$A,$B99)</f>
        <v>158.34730400000001</v>
      </c>
      <c r="L99" s="24">
        <f>SUMIFS([1]raw_data!H:H,[1]raw_data!$A:$A,$B99)</f>
        <v>0.319840743198407</v>
      </c>
      <c r="M99" s="23">
        <f>SUMIFS([1]raw_data!I:I,[1]raw_data!$A:$A,$B99)</f>
        <v>61.102004999999998</v>
      </c>
      <c r="N99" s="24">
        <f>SUMIFS([1]raw_data!J:J,[1]raw_data!$A:$A,$B99)</f>
        <v>0.222959522229595</v>
      </c>
      <c r="O99" s="23">
        <f>SUMIFS([1]raw_data!K:K,[1]raw_data!$A:$A,$B99)</f>
        <v>992.70050400000002</v>
      </c>
      <c r="P99" s="24">
        <f>SUMIFS([1]raw_data!L:L,[1]raw_data!$A:$A,$B99)</f>
        <v>1.14144736842105</v>
      </c>
      <c r="Q99" s="23">
        <f>SUMIFS([1]raw_data!M:M,[1]raw_data!$A:$A,$B99)</f>
        <v>204.962763</v>
      </c>
      <c r="R99" s="24">
        <f>SUMIFS([1]raw_data!N:N,[1]raw_data!$A:$A,$B99)</f>
        <v>0.76776315789473604</v>
      </c>
      <c r="S99" s="23">
        <f>SUMIFS([1]raw_data!O:O,[1]raw_data!$A:$A,$B99)</f>
        <v>72.456900000000005</v>
      </c>
      <c r="T99" s="24">
        <f>SUMIFS([1]raw_data!P:P,[1]raw_data!$A:$A,$B99)</f>
        <v>0.29921259842519599</v>
      </c>
      <c r="U99" s="23">
        <f>SUMIFS([1]raw_data!Q:Q,[1]raw_data!$A:$A,$B99)</f>
        <v>67.296499999999995</v>
      </c>
      <c r="V99" s="24">
        <f>SUMIFS([1]raw_data!R:R,[1]raw_data!$A:$A,$B99)</f>
        <v>0.28937007874015702</v>
      </c>
      <c r="W99" s="23">
        <f>SUMIFS([1]raw_data!S:S,[1]raw_data!$A:$A,$B99)</f>
        <v>595.28415800000005</v>
      </c>
      <c r="X99" s="24">
        <f>SUMIFS([1]raw_data!T:T,[1]raw_data!$A:$A,$B99)</f>
        <v>0.65234633179114299</v>
      </c>
      <c r="Y99" s="23">
        <f>SUMIFS([1]raw_data!U:U,[1]raw_data!$A:$A,$B99)</f>
        <v>117.25397599999999</v>
      </c>
      <c r="Z99" s="24">
        <f>SUMIFS([1]raw_data!V:V,[1]raw_data!$A:$A,$B99)</f>
        <v>0.477858559153998</v>
      </c>
      <c r="AA99" s="21">
        <f t="shared" si="1"/>
        <v>101.34095459999999</v>
      </c>
    </row>
    <row r="100" spans="1:27" ht="69.599999999999994" customHeight="1" x14ac:dyDescent="0.25">
      <c r="A100" s="39"/>
      <c r="B100" s="21" t="s">
        <v>281</v>
      </c>
      <c r="C100" s="21" t="s">
        <v>282</v>
      </c>
      <c r="D100" s="21" t="s">
        <v>283</v>
      </c>
      <c r="E100" s="21" t="s">
        <v>23</v>
      </c>
      <c r="F100" s="22">
        <f>IFERROR(INDEX([1]raw_data!B:B,MATCH('SAIDI excl MEDs sort (5-yr avg)'!B41,[1]raw_data!A:A,0)),0)</f>
        <v>929</v>
      </c>
      <c r="G100" s="23">
        <f>SUMIFS([1]raw_data!C:C,[1]raw_data!$A:$A,$B100)</f>
        <v>1771.3033170000001</v>
      </c>
      <c r="H100" s="24">
        <f>SUMIFS([1]raw_data!D:D,[1]raw_data!$A:$A,$B100)</f>
        <v>1.5528089887640399</v>
      </c>
      <c r="I100" s="23">
        <f>SUMIFS([1]raw_data!E:E,[1]raw_data!$A:$A,$B100)</f>
        <v>160.54343900000001</v>
      </c>
      <c r="J100" s="24">
        <f>SUMIFS([1]raw_data!F:F,[1]raw_data!$A:$A,$B100)</f>
        <v>0.69887640449438204</v>
      </c>
      <c r="K100" s="23">
        <f>SUMIFS([1]raw_data!G:G,[1]raw_data!$A:$A,$B100)</f>
        <v>1461.225543</v>
      </c>
      <c r="L100" s="24">
        <f>SUMIFS([1]raw_data!H:H,[1]raw_data!$A:$A,$B100)</f>
        <v>2.86353467561521</v>
      </c>
      <c r="M100" s="23">
        <f>SUMIFS([1]raw_data!I:I,[1]raw_data!$A:$A,$B100)</f>
        <v>342.525825</v>
      </c>
      <c r="N100" s="24">
        <f>SUMIFS([1]raw_data!J:J,[1]raw_data!$A:$A,$B100)</f>
        <v>2.0827740492169999</v>
      </c>
      <c r="O100" s="23">
        <f>SUMIFS([1]raw_data!K:K,[1]raw_data!$A:$A,$B100)</f>
        <v>0</v>
      </c>
      <c r="P100" s="24">
        <f>SUMIFS([1]raw_data!L:L,[1]raw_data!$A:$A,$B100)</f>
        <v>0</v>
      </c>
      <c r="Q100" s="23">
        <f>SUMIFS([1]raw_data!M:M,[1]raw_data!$A:$A,$B100)</f>
        <v>0</v>
      </c>
      <c r="R100" s="24">
        <f>SUMIFS([1]raw_data!N:N,[1]raw_data!$A:$A,$B100)</f>
        <v>0</v>
      </c>
      <c r="S100" s="23">
        <f>SUMIFS([1]raw_data!O:O,[1]raw_data!$A:$A,$B100)</f>
        <v>0</v>
      </c>
      <c r="T100" s="24">
        <f>SUMIFS([1]raw_data!P:P,[1]raw_data!$A:$A,$B100)</f>
        <v>0</v>
      </c>
      <c r="U100" s="23">
        <f>SUMIFS([1]raw_data!Q:Q,[1]raw_data!$A:$A,$B100)</f>
        <v>0</v>
      </c>
      <c r="V100" s="24">
        <f>SUMIFS([1]raw_data!R:R,[1]raw_data!$A:$A,$B100)</f>
        <v>0</v>
      </c>
      <c r="W100" s="23">
        <f>SUMIFS([1]raw_data!S:S,[1]raw_data!$A:$A,$B100)</f>
        <v>0</v>
      </c>
      <c r="X100" s="24">
        <f>SUMIFS([1]raw_data!T:T,[1]raw_data!$A:$A,$B100)</f>
        <v>0</v>
      </c>
      <c r="Y100" s="23">
        <f>SUMIFS([1]raw_data!U:U,[1]raw_data!$A:$A,$B100)</f>
        <v>0</v>
      </c>
      <c r="Z100" s="24">
        <f>SUMIFS([1]raw_data!V:V,[1]raw_data!$A:$A,$B100)</f>
        <v>0</v>
      </c>
      <c r="AA100" s="21">
        <f t="shared" si="1"/>
        <v>100.61385279999999</v>
      </c>
    </row>
    <row r="101" spans="1:27" x14ac:dyDescent="0.25">
      <c r="A101" s="39"/>
      <c r="B101" s="21" t="s">
        <v>284</v>
      </c>
      <c r="C101" s="21" t="s">
        <v>78</v>
      </c>
      <c r="D101" s="21" t="s">
        <v>200</v>
      </c>
      <c r="E101" s="21" t="s">
        <v>15</v>
      </c>
      <c r="F101" s="22">
        <f>IFERROR(INDEX([1]raw_data!B:B,MATCH('SAIDI excl MEDs sort (5-yr avg)'!B102,[1]raw_data!A:A,0)),0)</f>
        <v>2148.6</v>
      </c>
      <c r="G101" s="23">
        <f>SUMIFS([1]raw_data!C:C,[1]raw_data!$A:$A,$B101)</f>
        <v>39.229543999999997</v>
      </c>
      <c r="H101" s="24">
        <f>SUMIFS([1]raw_data!D:D,[1]raw_data!$A:$A,$B101)</f>
        <v>0.1</v>
      </c>
      <c r="I101" s="23">
        <f>SUMIFS([1]raw_data!E:E,[1]raw_data!$A:$A,$B101)</f>
        <v>39.229543999999997</v>
      </c>
      <c r="J101" s="24">
        <f>SUMIFS([1]raw_data!F:F,[1]raw_data!$A:$A,$B101)</f>
        <v>0.1</v>
      </c>
      <c r="K101" s="23">
        <f>SUMIFS([1]raw_data!G:G,[1]raw_data!$A:$A,$B101)</f>
        <v>13.419193</v>
      </c>
      <c r="L101" s="24">
        <f>SUMIFS([1]raw_data!H:H,[1]raw_data!$A:$A,$B101)</f>
        <v>7.3800738007380004E-2</v>
      </c>
      <c r="M101" s="23">
        <f>SUMIFS([1]raw_data!I:I,[1]raw_data!$A:$A,$B101)</f>
        <v>13.419193</v>
      </c>
      <c r="N101" s="24">
        <f>SUMIFS([1]raw_data!J:J,[1]raw_data!$A:$A,$B101)</f>
        <v>7.3800738007380004E-2</v>
      </c>
      <c r="O101" s="23">
        <f>SUMIFS([1]raw_data!K:K,[1]raw_data!$A:$A,$B101)</f>
        <v>93.978998000000004</v>
      </c>
      <c r="P101" s="24">
        <f>SUMIFS([1]raw_data!L:L,[1]raw_data!$A:$A,$B101)</f>
        <v>1.0549450549450501</v>
      </c>
      <c r="Q101" s="23">
        <f>SUMIFS([1]raw_data!M:M,[1]raw_data!$A:$A,$B101)</f>
        <v>93.978998000000004</v>
      </c>
      <c r="R101" s="24">
        <f>SUMIFS([1]raw_data!N:N,[1]raw_data!$A:$A,$B101)</f>
        <v>1.0549450549450501</v>
      </c>
      <c r="S101" s="23">
        <f>SUMIFS([1]raw_data!O:O,[1]raw_data!$A:$A,$B101)</f>
        <v>146.527433</v>
      </c>
      <c r="T101" s="24">
        <f>SUMIFS([1]raw_data!P:P,[1]raw_data!$A:$A,$B101)</f>
        <v>1.1861313868613099</v>
      </c>
      <c r="U101" s="23">
        <f>SUMIFS([1]raw_data!Q:Q,[1]raw_data!$A:$A,$B101)</f>
        <v>146.527433</v>
      </c>
      <c r="V101" s="24">
        <f>SUMIFS([1]raw_data!R:R,[1]raw_data!$A:$A,$B101)</f>
        <v>1.1861313868613099</v>
      </c>
      <c r="W101" s="23">
        <f>SUMIFS([1]raw_data!S:S,[1]raw_data!$A:$A,$B101)</f>
        <v>214.337312</v>
      </c>
      <c r="X101" s="24">
        <f>SUMIFS([1]raw_data!T:T,[1]raw_data!$A:$A,$B101)</f>
        <v>0.99157303370786498</v>
      </c>
      <c r="Y101" s="23">
        <f>SUMIFS([1]raw_data!U:U,[1]raw_data!$A:$A,$B101)</f>
        <v>209.357022</v>
      </c>
      <c r="Z101" s="24">
        <f>SUMIFS([1]raw_data!V:V,[1]raw_data!$A:$A,$B101)</f>
        <v>0.98595505617977497</v>
      </c>
      <c r="AA101" s="21">
        <f t="shared" si="1"/>
        <v>100.50243800000001</v>
      </c>
    </row>
    <row r="102" spans="1:27" x14ac:dyDescent="0.25">
      <c r="A102" s="39"/>
      <c r="B102" s="21" t="s">
        <v>285</v>
      </c>
      <c r="C102" s="21" t="s">
        <v>262</v>
      </c>
      <c r="D102" s="21" t="s">
        <v>286</v>
      </c>
      <c r="E102" s="21" t="s">
        <v>19</v>
      </c>
      <c r="F102" s="22">
        <f>IFERROR(INDEX([1]raw_data!B:B,MATCH('SAIDI excl MEDs sort (5-yr avg)'!B123,[1]raw_data!A:A,0)),0)</f>
        <v>311.28571399999998</v>
      </c>
      <c r="G102" s="23">
        <f>SUMIFS([1]raw_data!C:C,[1]raw_data!$A:$A,$B102)</f>
        <v>18.975339999999999</v>
      </c>
      <c r="H102" s="24">
        <f>SUMIFS([1]raw_data!D:D,[1]raw_data!$A:$A,$B102)</f>
        <v>0.108194112967382</v>
      </c>
      <c r="I102" s="23">
        <f>SUMIFS([1]raw_data!E:E,[1]raw_data!$A:$A,$B102)</f>
        <v>17.855402000000002</v>
      </c>
      <c r="J102" s="24">
        <f>SUMIFS([1]raw_data!F:F,[1]raw_data!$A:$A,$B102)</f>
        <v>0.105807478122513</v>
      </c>
      <c r="K102" s="23">
        <f>SUMIFS([1]raw_data!G:G,[1]raw_data!$A:$A,$B102)</f>
        <v>83.219797</v>
      </c>
      <c r="L102" s="24">
        <f>SUMIFS([1]raw_data!H:H,[1]raw_data!$A:$A,$B102)</f>
        <v>0.148691514670896</v>
      </c>
      <c r="M102" s="23">
        <f>SUMIFS([1]raw_data!I:I,[1]raw_data!$A:$A,$B102)</f>
        <v>3.7600099999999999</v>
      </c>
      <c r="N102" s="24">
        <f>SUMIFS([1]raw_data!J:J,[1]raw_data!$A:$A,$B102)</f>
        <v>7.0975416336241007E-2</v>
      </c>
      <c r="O102" s="23">
        <f>SUMIFS([1]raw_data!K:K,[1]raw_data!$A:$A,$B102)</f>
        <v>102.164726</v>
      </c>
      <c r="P102" s="24">
        <f>SUMIFS([1]raw_data!L:L,[1]raw_data!$A:$A,$B102)</f>
        <v>1.1076125946592199</v>
      </c>
      <c r="Q102" s="23">
        <f>SUMIFS([1]raw_data!M:M,[1]raw_data!$A:$A,$B102)</f>
        <v>99.877786</v>
      </c>
      <c r="R102" s="24">
        <f>SUMIFS([1]raw_data!N:N,[1]raw_data!$A:$A,$B102)</f>
        <v>1.09565563969709</v>
      </c>
      <c r="S102" s="23">
        <f>SUMIFS([1]raw_data!O:O,[1]raw_data!$A:$A,$B102)</f>
        <v>308.60321900000002</v>
      </c>
      <c r="T102" s="24">
        <f>SUMIFS([1]raw_data!P:P,[1]raw_data!$A:$A,$B102)</f>
        <v>1.4852620087336199</v>
      </c>
      <c r="U102" s="23">
        <f>SUMIFS([1]raw_data!Q:Q,[1]raw_data!$A:$A,$B102)</f>
        <v>258.58404200000001</v>
      </c>
      <c r="V102" s="24">
        <f>SUMIFS([1]raw_data!R:R,[1]raw_data!$A:$A,$B102)</f>
        <v>1.4388646288209599</v>
      </c>
      <c r="W102" s="23">
        <f>SUMIFS([1]raw_data!S:S,[1]raw_data!$A:$A,$B102)</f>
        <v>2066.8328809999998</v>
      </c>
      <c r="X102" s="24">
        <f>SUMIFS([1]raw_data!T:T,[1]raw_data!$A:$A,$B102)</f>
        <v>5.0014641288433301</v>
      </c>
      <c r="Y102" s="23">
        <f>SUMIFS([1]raw_data!U:U,[1]raw_data!$A:$A,$B102)</f>
        <v>122.350707</v>
      </c>
      <c r="Z102" s="24">
        <f>SUMIFS([1]raw_data!V:V,[1]raw_data!$A:$A,$B102)</f>
        <v>0.42240117130307397</v>
      </c>
      <c r="AA102" s="21">
        <f t="shared" si="1"/>
        <v>100.48558940000001</v>
      </c>
    </row>
    <row r="103" spans="1:27" x14ac:dyDescent="0.25">
      <c r="A103" s="39"/>
      <c r="B103" s="21" t="s">
        <v>287</v>
      </c>
      <c r="C103" s="21" t="s">
        <v>288</v>
      </c>
      <c r="D103" s="21" t="s">
        <v>289</v>
      </c>
      <c r="E103" s="21" t="s">
        <v>76</v>
      </c>
      <c r="F103" s="22">
        <f>IFERROR(INDEX([1]raw_data!B:B,MATCH('SAIDI excl MEDs sort (5-yr avg)'!B45,[1]raw_data!A:A,0)),0)</f>
        <v>1056</v>
      </c>
      <c r="G103" s="23">
        <f>SUMIFS([1]raw_data!C:C,[1]raw_data!$A:$A,$B103)</f>
        <v>2403.3893480000002</v>
      </c>
      <c r="H103" s="24">
        <f>SUMIFS([1]raw_data!D:D,[1]raw_data!$A:$A,$B103)</f>
        <v>2.63253012048192</v>
      </c>
      <c r="I103" s="23">
        <f>SUMIFS([1]raw_data!E:E,[1]raw_data!$A:$A,$B103)</f>
        <v>153.507677</v>
      </c>
      <c r="J103" s="24">
        <f>SUMIFS([1]raw_data!F:F,[1]raw_data!$A:$A,$B103)</f>
        <v>1.21419009370816</v>
      </c>
      <c r="K103" s="23">
        <f>SUMIFS([1]raw_data!G:G,[1]raw_data!$A:$A,$B103)</f>
        <v>101.876982</v>
      </c>
      <c r="L103" s="24">
        <f>SUMIFS([1]raw_data!H:H,[1]raw_data!$A:$A,$B103)</f>
        <v>1.1647612642905101</v>
      </c>
      <c r="M103" s="23">
        <f>SUMIFS([1]raw_data!I:I,[1]raw_data!$A:$A,$B103)</f>
        <v>54.994219999999999</v>
      </c>
      <c r="N103" s="24">
        <f>SUMIFS([1]raw_data!J:J,[1]raw_data!$A:$A,$B103)</f>
        <v>1.1338264963012701</v>
      </c>
      <c r="O103" s="23">
        <f>SUMIFS([1]raw_data!K:K,[1]raw_data!$A:$A,$B103)</f>
        <v>37.629125999999999</v>
      </c>
      <c r="P103" s="24">
        <f>SUMIFS([1]raw_data!L:L,[1]raw_data!$A:$A,$B103)</f>
        <v>0.16462585034013599</v>
      </c>
      <c r="Q103" s="23">
        <f>SUMIFS([1]raw_data!M:M,[1]raw_data!$A:$A,$B103)</f>
        <v>37.629125999999999</v>
      </c>
      <c r="R103" s="24">
        <f>SUMIFS([1]raw_data!N:N,[1]raw_data!$A:$A,$B103)</f>
        <v>0.16462585034013599</v>
      </c>
      <c r="S103" s="23">
        <f>SUMIFS([1]raw_data!O:O,[1]raw_data!$A:$A,$B103)</f>
        <v>131.78282300000001</v>
      </c>
      <c r="T103" s="24">
        <f>SUMIFS([1]raw_data!P:P,[1]raw_data!$A:$A,$B103)</f>
        <v>0.27581521739130399</v>
      </c>
      <c r="U103" s="23">
        <f>SUMIFS([1]raw_data!Q:Q,[1]raw_data!$A:$A,$B103)</f>
        <v>77.300362000000007</v>
      </c>
      <c r="V103" s="24">
        <f>SUMIFS([1]raw_data!R:R,[1]raw_data!$A:$A,$B103)</f>
        <v>0.23709239130434701</v>
      </c>
      <c r="W103" s="23">
        <f>SUMIFS([1]raw_data!S:S,[1]raw_data!$A:$A,$B103)</f>
        <v>179.84659400000001</v>
      </c>
      <c r="X103" s="24">
        <f>SUMIFS([1]raw_data!T:T,[1]raw_data!$A:$A,$B103)</f>
        <v>2.0900962861072898</v>
      </c>
      <c r="Y103" s="23">
        <f>SUMIFS([1]raw_data!U:U,[1]raw_data!$A:$A,$B103)</f>
        <v>176.917812</v>
      </c>
      <c r="Z103" s="24">
        <f>SUMIFS([1]raw_data!V:V,[1]raw_data!$A:$A,$B103)</f>
        <v>2.0880330123796398</v>
      </c>
      <c r="AA103" s="21">
        <f t="shared" si="1"/>
        <v>100.06983940000001</v>
      </c>
    </row>
    <row r="104" spans="1:27" x14ac:dyDescent="0.25">
      <c r="A104" s="39"/>
      <c r="B104" s="21" t="s">
        <v>290</v>
      </c>
      <c r="C104" s="21" t="s">
        <v>162</v>
      </c>
      <c r="D104" s="21" t="s">
        <v>291</v>
      </c>
      <c r="E104" s="21" t="s">
        <v>76</v>
      </c>
      <c r="F104" s="22">
        <f>IFERROR(INDEX([1]raw_data!B:B,MATCH('SAIDI excl MEDs sort (5-yr avg)'!B103,[1]raw_data!A:A,0)),0)</f>
        <v>1476</v>
      </c>
      <c r="G104" s="23">
        <f>SUMIFS([1]raw_data!C:C,[1]raw_data!$A:$A,$B104)</f>
        <v>6695.0826230000002</v>
      </c>
      <c r="H104" s="24">
        <f>SUMIFS([1]raw_data!D:D,[1]raw_data!$A:$A,$B104)</f>
        <v>2.3239795918367299</v>
      </c>
      <c r="I104" s="23">
        <f>SUMIFS([1]raw_data!E:E,[1]raw_data!$A:$A,$B104)</f>
        <v>37.145474999999998</v>
      </c>
      <c r="J104" s="24">
        <f>SUMIFS([1]raw_data!F:F,[1]raw_data!$A:$A,$B104)</f>
        <v>0.34630102040816302</v>
      </c>
      <c r="K104" s="23">
        <f>SUMIFS([1]raw_data!G:G,[1]raw_data!$A:$A,$B104)</f>
        <v>760.16528200000005</v>
      </c>
      <c r="L104" s="24">
        <f>SUMIFS([1]raw_data!H:H,[1]raw_data!$A:$A,$B104)</f>
        <v>1.98917886696371</v>
      </c>
      <c r="M104" s="23">
        <f>SUMIFS([1]raw_data!I:I,[1]raw_data!$A:$A,$B104)</f>
        <v>208.561384</v>
      </c>
      <c r="N104" s="24">
        <f>SUMIFS([1]raw_data!J:J,[1]raw_data!$A:$A,$B104)</f>
        <v>1.4481222151495801</v>
      </c>
      <c r="O104" s="23">
        <f>SUMIFS([1]raw_data!K:K,[1]raw_data!$A:$A,$B104)</f>
        <v>61.598567000000003</v>
      </c>
      <c r="P104" s="24">
        <f>SUMIFS([1]raw_data!L:L,[1]raw_data!$A:$A,$B104)</f>
        <v>0.250795671546785</v>
      </c>
      <c r="Q104" s="23">
        <f>SUMIFS([1]raw_data!M:M,[1]raw_data!$A:$A,$B104)</f>
        <v>48.414852000000003</v>
      </c>
      <c r="R104" s="24">
        <f>SUMIFS([1]raw_data!N:N,[1]raw_data!$A:$A,$B104)</f>
        <v>0.20432845321451301</v>
      </c>
      <c r="S104" s="23">
        <f>SUMIFS([1]raw_data!O:O,[1]raw_data!$A:$A,$B104)</f>
        <v>118.008635</v>
      </c>
      <c r="T104" s="24">
        <f>SUMIFS([1]raw_data!P:P,[1]raw_data!$A:$A,$B104)</f>
        <v>1.09392971246006</v>
      </c>
      <c r="U104" s="23">
        <f>SUMIFS([1]raw_data!Q:Q,[1]raw_data!$A:$A,$B104)</f>
        <v>106.837997</v>
      </c>
      <c r="V104" s="24">
        <f>SUMIFS([1]raw_data!R:R,[1]raw_data!$A:$A,$B104)</f>
        <v>1.06325878594249</v>
      </c>
      <c r="W104" s="23">
        <f>SUMIFS([1]raw_data!S:S,[1]raw_data!$A:$A,$B104)</f>
        <v>93.368139999999997</v>
      </c>
      <c r="X104" s="24">
        <f>SUMIFS([1]raw_data!T:T,[1]raw_data!$A:$A,$B104)</f>
        <v>0.72088484059856806</v>
      </c>
      <c r="Y104" s="23">
        <f>SUMIFS([1]raw_data!U:U,[1]raw_data!$A:$A,$B104)</f>
        <v>93.327640000000002</v>
      </c>
      <c r="Z104" s="24">
        <f>SUMIFS([1]raw_data!V:V,[1]raw_data!$A:$A,$B104)</f>
        <v>0.72023422251138502</v>
      </c>
      <c r="AA104" s="21">
        <f t="shared" si="1"/>
        <v>98.857469599999988</v>
      </c>
    </row>
    <row r="105" spans="1:27" x14ac:dyDescent="0.25">
      <c r="A105" s="39"/>
      <c r="B105" s="21" t="s">
        <v>292</v>
      </c>
      <c r="C105" s="21" t="s">
        <v>293</v>
      </c>
      <c r="D105" s="21" t="s">
        <v>294</v>
      </c>
      <c r="E105" s="21" t="s">
        <v>15</v>
      </c>
      <c r="F105" s="22">
        <f>IFERROR(INDEX([1]raw_data!B:B,MATCH('SAIDI excl MEDs sort (5-yr avg)'!B28,[1]raw_data!A:A,0)),0)</f>
        <v>1597.4</v>
      </c>
      <c r="G105" s="23">
        <f>SUMIFS([1]raw_data!C:C,[1]raw_data!$A:$A,$B105)</f>
        <v>229.36699899999999</v>
      </c>
      <c r="H105" s="24">
        <f>SUMIFS([1]raw_data!D:D,[1]raw_data!$A:$A,$B105)</f>
        <v>0.44081172491544501</v>
      </c>
      <c r="I105" s="23">
        <f>SUMIFS([1]raw_data!E:E,[1]raw_data!$A:$A,$B105)</f>
        <v>227.94174699999999</v>
      </c>
      <c r="J105" s="24">
        <f>SUMIFS([1]raw_data!F:F,[1]raw_data!$A:$A,$B105)</f>
        <v>0.43799323562570402</v>
      </c>
      <c r="K105" s="23">
        <f>SUMIFS([1]raw_data!G:G,[1]raw_data!$A:$A,$B105)</f>
        <v>112.296429</v>
      </c>
      <c r="L105" s="24">
        <f>SUMIFS([1]raw_data!H:H,[1]raw_data!$A:$A,$B105)</f>
        <v>0.27122153209109701</v>
      </c>
      <c r="M105" s="23">
        <f>SUMIFS([1]raw_data!I:I,[1]raw_data!$A:$A,$B105)</f>
        <v>103.062943</v>
      </c>
      <c r="N105" s="24">
        <f>SUMIFS([1]raw_data!J:J,[1]raw_data!$A:$A,$B105)</f>
        <v>0.26570048309178701</v>
      </c>
      <c r="O105" s="23">
        <f>SUMIFS([1]raw_data!K:K,[1]raw_data!$A:$A,$B105)</f>
        <v>161.24666500000001</v>
      </c>
      <c r="P105" s="24">
        <f>SUMIFS([1]raw_data!L:L,[1]raw_data!$A:$A,$B105)</f>
        <v>4.94505494505494E-2</v>
      </c>
      <c r="Q105" s="23">
        <f>SUMIFS([1]raw_data!M:M,[1]raw_data!$A:$A,$B105)</f>
        <v>2.455457</v>
      </c>
      <c r="R105" s="24">
        <f>SUMIFS([1]raw_data!N:N,[1]raw_data!$A:$A,$B105)</f>
        <v>6.5934065934065899E-3</v>
      </c>
      <c r="S105" s="23">
        <f>SUMIFS([1]raw_data!O:O,[1]raw_data!$A:$A,$B105)</f>
        <v>53.032792000000001</v>
      </c>
      <c r="T105" s="24">
        <f>SUMIFS([1]raw_data!P:P,[1]raw_data!$A:$A,$B105)</f>
        <v>0.17563117453347901</v>
      </c>
      <c r="U105" s="23">
        <f>SUMIFS([1]raw_data!Q:Q,[1]raw_data!$A:$A,$B105)</f>
        <v>23.373618</v>
      </c>
      <c r="V105" s="24">
        <f>SUMIFS([1]raw_data!R:R,[1]raw_data!$A:$A,$B105)</f>
        <v>9.7694840834247995E-2</v>
      </c>
      <c r="W105" s="23">
        <f>SUMIFS([1]raw_data!S:S,[1]raw_data!$A:$A,$B105)</f>
        <v>129.88720799999999</v>
      </c>
      <c r="X105" s="24">
        <f>SUMIFS([1]raw_data!T:T,[1]raw_data!$A:$A,$B105)</f>
        <v>0.41915836101882598</v>
      </c>
      <c r="Y105" s="23">
        <f>SUMIFS([1]raw_data!U:U,[1]raw_data!$A:$A,$B105)</f>
        <v>126.070708</v>
      </c>
      <c r="Z105" s="24">
        <f>SUMIFS([1]raw_data!V:V,[1]raw_data!$A:$A,$B105)</f>
        <v>0.41306755260243599</v>
      </c>
      <c r="AA105" s="21">
        <f t="shared" si="1"/>
        <v>96.580894600000008</v>
      </c>
    </row>
    <row r="106" spans="1:27" x14ac:dyDescent="0.25">
      <c r="A106" s="39"/>
      <c r="B106" s="21" t="s">
        <v>295</v>
      </c>
      <c r="C106" s="21" t="s">
        <v>123</v>
      </c>
      <c r="D106" s="21" t="s">
        <v>296</v>
      </c>
      <c r="E106" s="21" t="s">
        <v>19</v>
      </c>
      <c r="F106" s="22">
        <f>IFERROR(INDEX([1]raw_data!B:B,MATCH('SAIDI excl MEDs sort (5-yr avg)'!B77,[1]raw_data!A:A,0)),0)</f>
        <v>1482.8</v>
      </c>
      <c r="G106" s="23">
        <f>SUMIFS([1]raw_data!C:C,[1]raw_data!$A:$A,$B106)</f>
        <v>297.284874</v>
      </c>
      <c r="H106" s="24">
        <f>SUMIFS([1]raw_data!D:D,[1]raw_data!$A:$A,$B106)</f>
        <v>1.6653386454183201</v>
      </c>
      <c r="I106" s="23">
        <f>SUMIFS([1]raw_data!E:E,[1]raw_data!$A:$A,$B106)</f>
        <v>77.534343000000007</v>
      </c>
      <c r="J106" s="24">
        <f>SUMIFS([1]raw_data!F:F,[1]raw_data!$A:$A,$B106)</f>
        <v>1.15139442231075</v>
      </c>
      <c r="K106" s="23">
        <f>SUMIFS([1]raw_data!G:G,[1]raw_data!$A:$A,$B106)</f>
        <v>62.196033999999997</v>
      </c>
      <c r="L106" s="24">
        <f>SUMIFS([1]raw_data!H:H,[1]raw_data!$A:$A,$B106)</f>
        <v>0.39221556886227499</v>
      </c>
      <c r="M106" s="23">
        <f>SUMIFS([1]raw_data!I:I,[1]raw_data!$A:$A,$B106)</f>
        <v>61.023384999999998</v>
      </c>
      <c r="N106" s="24">
        <f>SUMIFS([1]raw_data!J:J,[1]raw_data!$A:$A,$B106)</f>
        <v>0.37425149700598798</v>
      </c>
      <c r="O106" s="23">
        <f>SUMIFS([1]raw_data!K:K,[1]raw_data!$A:$A,$B106)</f>
        <v>140.51683199999999</v>
      </c>
      <c r="P106" s="24">
        <f>SUMIFS([1]raw_data!L:L,[1]raw_data!$A:$A,$B106)</f>
        <v>0.46407185628742498</v>
      </c>
      <c r="Q106" s="23">
        <f>SUMIFS([1]raw_data!M:M,[1]raw_data!$A:$A,$B106)</f>
        <v>47.071789000000003</v>
      </c>
      <c r="R106" s="24">
        <f>SUMIFS([1]raw_data!N:N,[1]raw_data!$A:$A,$B106)</f>
        <v>0.25648702594810302</v>
      </c>
      <c r="S106" s="23">
        <f>SUMIFS([1]raw_data!O:O,[1]raw_data!$A:$A,$B106)</f>
        <v>151.527649</v>
      </c>
      <c r="T106" s="24">
        <f>SUMIFS([1]raw_data!P:P,[1]raw_data!$A:$A,$B106)</f>
        <v>0.50049850448653999</v>
      </c>
      <c r="U106" s="23">
        <f>SUMIFS([1]raw_data!Q:Q,[1]raw_data!$A:$A,$B106)</f>
        <v>57.276553</v>
      </c>
      <c r="V106" s="24">
        <f>SUMIFS([1]raw_data!R:R,[1]raw_data!$A:$A,$B106)</f>
        <v>0.336989032901296</v>
      </c>
      <c r="W106" s="23">
        <f>SUMIFS([1]raw_data!S:S,[1]raw_data!$A:$A,$B106)</f>
        <v>2607.1217889999998</v>
      </c>
      <c r="X106" s="24">
        <f>SUMIFS([1]raw_data!T:T,[1]raw_data!$A:$A,$B106)</f>
        <v>3.5808383233532899</v>
      </c>
      <c r="Y106" s="23">
        <f>SUMIFS([1]raw_data!U:U,[1]raw_data!$A:$A,$B106)</f>
        <v>239.38772399999999</v>
      </c>
      <c r="Z106" s="24">
        <f>SUMIFS([1]raw_data!V:V,[1]raw_data!$A:$A,$B106)</f>
        <v>2.1207584830339301</v>
      </c>
      <c r="AA106" s="21">
        <f t="shared" si="1"/>
        <v>96.458758799999998</v>
      </c>
    </row>
    <row r="107" spans="1:27" x14ac:dyDescent="0.25">
      <c r="A107" s="39"/>
      <c r="B107" s="21" t="s">
        <v>297</v>
      </c>
      <c r="C107" s="21" t="s">
        <v>17</v>
      </c>
      <c r="D107" s="21" t="s">
        <v>298</v>
      </c>
      <c r="E107" s="21" t="s">
        <v>19</v>
      </c>
      <c r="F107" s="22">
        <f>IFERROR(INDEX([1]raw_data!B:B,MATCH('SAIDI excl MEDs sort (5-yr avg)'!B132,[1]raw_data!A:A,0)),0)</f>
        <v>169.444444</v>
      </c>
      <c r="G107" s="23">
        <f>SUMIFS([1]raw_data!C:C,[1]raw_data!$A:$A,$B107)</f>
        <v>244.18825899999999</v>
      </c>
      <c r="H107" s="24">
        <f>SUMIFS([1]raw_data!D:D,[1]raw_data!$A:$A,$B107)</f>
        <v>0.416635302973278</v>
      </c>
      <c r="I107" s="23">
        <f>SUMIFS([1]raw_data!E:E,[1]raw_data!$A:$A,$B107)</f>
        <v>12.419475</v>
      </c>
      <c r="J107" s="24">
        <f>SUMIFS([1]raw_data!F:F,[1]raw_data!$A:$A,$B107)</f>
        <v>0.13172751223184001</v>
      </c>
      <c r="K107" s="23">
        <f>SUMIFS([1]raw_data!G:G,[1]raw_data!$A:$A,$B107)</f>
        <v>415.58631500000001</v>
      </c>
      <c r="L107" s="24">
        <f>SUMIFS([1]raw_data!H:H,[1]raw_data!$A:$A,$B107)</f>
        <v>1.74999999999999</v>
      </c>
      <c r="M107" s="23">
        <f>SUMIFS([1]raw_data!I:I,[1]raw_data!$A:$A,$B107)</f>
        <v>131.66600500000001</v>
      </c>
      <c r="N107" s="24">
        <f>SUMIFS([1]raw_data!J:J,[1]raw_data!$A:$A,$B107)</f>
        <v>1.15443213296398</v>
      </c>
      <c r="O107" s="23">
        <f>SUMIFS([1]raw_data!K:K,[1]raw_data!$A:$A,$B107)</f>
        <v>34.848545000000001</v>
      </c>
      <c r="P107" s="24">
        <f>SUMIFS([1]raw_data!L:L,[1]raw_data!$A:$A,$B107)</f>
        <v>0.338199513381995</v>
      </c>
      <c r="Q107" s="23">
        <f>SUMIFS([1]raw_data!M:M,[1]raw_data!$A:$A,$B107)</f>
        <v>33.306776999999997</v>
      </c>
      <c r="R107" s="24">
        <f>SUMIFS([1]raw_data!N:N,[1]raw_data!$A:$A,$B107)</f>
        <v>0.33229058046576199</v>
      </c>
      <c r="S107" s="23">
        <f>SUMIFS([1]raw_data!O:O,[1]raw_data!$A:$A,$B107)</f>
        <v>258.09109699999999</v>
      </c>
      <c r="T107" s="24">
        <f>SUMIFS([1]raw_data!P:P,[1]raw_data!$A:$A,$B107)</f>
        <v>1.4968662952646199</v>
      </c>
      <c r="U107" s="23">
        <f>SUMIFS([1]raw_data!Q:Q,[1]raw_data!$A:$A,$B107)</f>
        <v>213.92916</v>
      </c>
      <c r="V107" s="24">
        <f>SUMIFS([1]raw_data!R:R,[1]raw_data!$A:$A,$B107)</f>
        <v>1.45612813370473</v>
      </c>
      <c r="W107" s="23">
        <f>SUMIFS([1]raw_data!S:S,[1]raw_data!$A:$A,$B107)</f>
        <v>519.13898099999994</v>
      </c>
      <c r="X107" s="24">
        <f>SUMIFS([1]raw_data!T:T,[1]raw_data!$A:$A,$B107)</f>
        <v>1.6239944036376299</v>
      </c>
      <c r="Y107" s="23">
        <f>SUMIFS([1]raw_data!U:U,[1]raw_data!$A:$A,$B107)</f>
        <v>90.067977999999997</v>
      </c>
      <c r="Z107" s="24">
        <f>SUMIFS([1]raw_data!V:V,[1]raw_data!$A:$A,$B107)</f>
        <v>0.52116124519062601</v>
      </c>
      <c r="AA107" s="21">
        <f t="shared" si="1"/>
        <v>96.277878999999999</v>
      </c>
    </row>
    <row r="108" spans="1:27" x14ac:dyDescent="0.25">
      <c r="A108" s="39"/>
      <c r="B108" s="21" t="s">
        <v>299</v>
      </c>
      <c r="C108" s="21" t="s">
        <v>231</v>
      </c>
      <c r="D108" s="21" t="s">
        <v>300</v>
      </c>
      <c r="E108" s="21" t="s">
        <v>15</v>
      </c>
      <c r="F108" s="22">
        <f>IFERROR(INDEX([1]raw_data!B:B,MATCH('SAIDI excl MEDs sort (5-yr avg)'!B111,[1]raw_data!A:A,0)),0)</f>
        <v>1000.2</v>
      </c>
      <c r="G108" s="23">
        <f>SUMIFS([1]raw_data!C:C,[1]raw_data!$A:$A,$B108)</f>
        <v>29.731864999999999</v>
      </c>
      <c r="H108" s="24">
        <f>SUMIFS([1]raw_data!D:D,[1]raw_data!$A:$A,$B108)</f>
        <v>0.13529411764705801</v>
      </c>
      <c r="I108" s="23">
        <f>SUMIFS([1]raw_data!E:E,[1]raw_data!$A:$A,$B108)</f>
        <v>29.731864999999999</v>
      </c>
      <c r="J108" s="24">
        <f>SUMIFS([1]raw_data!F:F,[1]raw_data!$A:$A,$B108)</f>
        <v>0.13529411764705801</v>
      </c>
      <c r="K108" s="23">
        <f>SUMIFS([1]raw_data!G:G,[1]raw_data!$A:$A,$B108)</f>
        <v>366.38933700000001</v>
      </c>
      <c r="L108" s="24">
        <f>SUMIFS([1]raw_data!H:H,[1]raw_data!$A:$A,$B108)</f>
        <v>0.63402527075812198</v>
      </c>
      <c r="M108" s="23">
        <f>SUMIFS([1]raw_data!I:I,[1]raw_data!$A:$A,$B108)</f>
        <v>120.525115</v>
      </c>
      <c r="N108" s="24">
        <f>SUMIFS([1]raw_data!J:J,[1]raw_data!$A:$A,$B108)</f>
        <v>0.45803249097472898</v>
      </c>
      <c r="O108" s="23">
        <f>SUMIFS([1]raw_data!K:K,[1]raw_data!$A:$A,$B108)</f>
        <v>308.30073399999998</v>
      </c>
      <c r="P108" s="24">
        <f>SUMIFS([1]raw_data!L:L,[1]raw_data!$A:$A,$B108)</f>
        <v>3.3138226024313302</v>
      </c>
      <c r="Q108" s="23">
        <f>SUMIFS([1]raw_data!M:M,[1]raw_data!$A:$A,$B108)</f>
        <v>280.990409</v>
      </c>
      <c r="R108" s="24">
        <f>SUMIFS([1]raw_data!N:N,[1]raw_data!$A:$A,$B108)</f>
        <v>3.2944619540747402</v>
      </c>
      <c r="S108" s="23">
        <f>SUMIFS([1]raw_data!O:O,[1]raw_data!$A:$A,$B108)</f>
        <v>41.468992999999998</v>
      </c>
      <c r="T108" s="24">
        <f>SUMIFS([1]raw_data!P:P,[1]raw_data!$A:$A,$B108)</f>
        <v>0.11052882324916601</v>
      </c>
      <c r="U108" s="23">
        <f>SUMIFS([1]raw_data!Q:Q,[1]raw_data!$A:$A,$B108)</f>
        <v>39.628307</v>
      </c>
      <c r="V108" s="24">
        <f>SUMIFS([1]raw_data!R:R,[1]raw_data!$A:$A,$B108)</f>
        <v>0.104811815150071</v>
      </c>
      <c r="W108" s="23">
        <f>SUMIFS([1]raw_data!S:S,[1]raw_data!$A:$A,$B108)</f>
        <v>3.8904990000000002</v>
      </c>
      <c r="X108" s="24">
        <f>SUMIFS([1]raw_data!T:T,[1]raw_data!$A:$A,$B108)</f>
        <v>1.8030513176144201E-2</v>
      </c>
      <c r="Y108" s="23">
        <f>SUMIFS([1]raw_data!U:U,[1]raw_data!$A:$A,$B108)</f>
        <v>3.8904990000000002</v>
      </c>
      <c r="Z108" s="24">
        <f>SUMIFS([1]raw_data!V:V,[1]raw_data!$A:$A,$B108)</f>
        <v>1.8030513176144201E-2</v>
      </c>
      <c r="AA108" s="21">
        <f t="shared" si="1"/>
        <v>94.953238999999996</v>
      </c>
    </row>
    <row r="109" spans="1:27" x14ac:dyDescent="0.25">
      <c r="A109" s="39"/>
      <c r="B109" s="21" t="s">
        <v>301</v>
      </c>
      <c r="C109" s="21" t="s">
        <v>169</v>
      </c>
      <c r="D109" s="21" t="s">
        <v>302</v>
      </c>
      <c r="E109" s="21" t="s">
        <v>23</v>
      </c>
      <c r="F109" s="22">
        <f>IFERROR(INDEX([1]raw_data!B:B,MATCH('SAIDI excl MEDs sort (5-yr avg)'!B143,[1]raw_data!A:A,0)),0)</f>
        <v>438.5</v>
      </c>
      <c r="G109" s="23">
        <f>SUMIFS([1]raw_data!C:C,[1]raw_data!$A:$A,$B109)</f>
        <v>605.30887499999994</v>
      </c>
      <c r="H109" s="24">
        <f>SUMIFS([1]raw_data!D:D,[1]raw_data!$A:$A,$B109)</f>
        <v>0.53289473684210498</v>
      </c>
      <c r="I109" s="23">
        <f>SUMIFS([1]raw_data!E:E,[1]raw_data!$A:$A,$B109)</f>
        <v>5.7993969999999999</v>
      </c>
      <c r="J109" s="24">
        <f>SUMIFS([1]raw_data!F:F,[1]raw_data!$A:$A,$B109)</f>
        <v>6.6520467836257299E-2</v>
      </c>
      <c r="K109" s="23">
        <f>SUMIFS([1]raw_data!G:G,[1]raw_data!$A:$A,$B109)</f>
        <v>1163.39849</v>
      </c>
      <c r="L109" s="24">
        <f>SUMIFS([1]raw_data!H:H,[1]raw_data!$A:$A,$B109)</f>
        <v>2.0394448502556601</v>
      </c>
      <c r="M109" s="23">
        <f>SUMIFS([1]raw_data!I:I,[1]raw_data!$A:$A,$B109)</f>
        <v>345.947653</v>
      </c>
      <c r="N109" s="24">
        <f>SUMIFS([1]raw_data!J:J,[1]raw_data!$A:$A,$B109)</f>
        <v>1.3747260774287799</v>
      </c>
      <c r="O109" s="23">
        <f>SUMIFS([1]raw_data!K:K,[1]raw_data!$A:$A,$B109)</f>
        <v>81.555656999999997</v>
      </c>
      <c r="P109" s="24">
        <f>SUMIFS([1]raw_data!L:L,[1]raw_data!$A:$A,$B109)</f>
        <v>0.323313782991202</v>
      </c>
      <c r="Q109" s="23">
        <f>SUMIFS([1]raw_data!M:M,[1]raw_data!$A:$A,$B109)</f>
        <v>79.725733000000005</v>
      </c>
      <c r="R109" s="24">
        <f>SUMIFS([1]raw_data!N:N,[1]raw_data!$A:$A,$B109)</f>
        <v>0.31378299120234598</v>
      </c>
      <c r="S109" s="23">
        <f>SUMIFS([1]raw_data!O:O,[1]raw_data!$A:$A,$B109)</f>
        <v>34.377001999999997</v>
      </c>
      <c r="T109" s="24">
        <f>SUMIFS([1]raw_data!P:P,[1]raw_data!$A:$A,$B109)</f>
        <v>0.128560993425858</v>
      </c>
      <c r="U109" s="23">
        <f>SUMIFS([1]raw_data!Q:Q,[1]raw_data!$A:$A,$B109)</f>
        <v>21.218164000000002</v>
      </c>
      <c r="V109" s="24">
        <f>SUMIFS([1]raw_data!R:R,[1]raw_data!$A:$A,$B109)</f>
        <v>0.108838568298027</v>
      </c>
      <c r="W109" s="23">
        <f>SUMIFS([1]raw_data!S:S,[1]raw_data!$A:$A,$B109)</f>
        <v>36.938862999999998</v>
      </c>
      <c r="X109" s="24">
        <f>SUMIFS([1]raw_data!T:T,[1]raw_data!$A:$A,$B109)</f>
        <v>0.15929203539823</v>
      </c>
      <c r="Y109" s="23">
        <f>SUMIFS([1]raw_data!U:U,[1]raw_data!$A:$A,$B109)</f>
        <v>17.319541999999998</v>
      </c>
      <c r="Z109" s="24">
        <f>SUMIFS([1]raw_data!V:V,[1]raw_data!$A:$A,$B109)</f>
        <v>0.1452802359882</v>
      </c>
      <c r="AA109" s="21">
        <f t="shared" si="1"/>
        <v>94.002097800000001</v>
      </c>
    </row>
    <row r="110" spans="1:27" x14ac:dyDescent="0.25">
      <c r="A110" s="39"/>
      <c r="B110" s="21" t="s">
        <v>303</v>
      </c>
      <c r="C110" s="21" t="s">
        <v>214</v>
      </c>
      <c r="D110" s="21" t="s">
        <v>304</v>
      </c>
      <c r="E110" s="21" t="s">
        <v>23</v>
      </c>
      <c r="F110" s="22">
        <f>IFERROR(INDEX([1]raw_data!B:B,MATCH('SAIDI excl MEDs sort (5-yr avg)'!B63,[1]raw_data!A:A,0)),0)</f>
        <v>655.77777700000001</v>
      </c>
      <c r="G110" s="23">
        <f>SUMIFS([1]raw_data!C:C,[1]raw_data!$A:$A,$B110)</f>
        <v>108.989912</v>
      </c>
      <c r="H110" s="24">
        <f>SUMIFS([1]raw_data!D:D,[1]raw_data!$A:$A,$B110)</f>
        <v>1.07218683651804</v>
      </c>
      <c r="I110" s="23">
        <f>SUMIFS([1]raw_data!E:E,[1]raw_data!$A:$A,$B110)</f>
        <v>108.989912</v>
      </c>
      <c r="J110" s="24">
        <f>SUMIFS([1]raw_data!F:F,[1]raw_data!$A:$A,$B110)</f>
        <v>1.07218683651804</v>
      </c>
      <c r="K110" s="23">
        <f>SUMIFS([1]raw_data!G:G,[1]raw_data!$A:$A,$B110)</f>
        <v>8.1870200000000004</v>
      </c>
      <c r="L110" s="24">
        <f>SUMIFS([1]raw_data!H:H,[1]raw_data!$A:$A,$B110)</f>
        <v>7.7083333333333295E-2</v>
      </c>
      <c r="M110" s="23">
        <f>SUMIFS([1]raw_data!I:I,[1]raw_data!$A:$A,$B110)</f>
        <v>4.3165399999999998</v>
      </c>
      <c r="N110" s="24">
        <f>SUMIFS([1]raw_data!J:J,[1]raw_data!$A:$A,$B110)</f>
        <v>7.4999999999999997E-2</v>
      </c>
      <c r="O110" s="23">
        <f>SUMIFS([1]raw_data!K:K,[1]raw_data!$A:$A,$B110)</f>
        <v>315.65126099999998</v>
      </c>
      <c r="P110" s="24">
        <f>SUMIFS([1]raw_data!L:L,[1]raw_data!$A:$A,$B110)</f>
        <v>2.6124721603563401</v>
      </c>
      <c r="Q110" s="23">
        <f>SUMIFS([1]raw_data!M:M,[1]raw_data!$A:$A,$B110)</f>
        <v>249.287082</v>
      </c>
      <c r="R110" s="24">
        <f>SUMIFS([1]raw_data!N:N,[1]raw_data!$A:$A,$B110)</f>
        <v>2.58351893095768</v>
      </c>
      <c r="S110" s="23">
        <f>SUMIFS([1]raw_data!O:O,[1]raw_data!$A:$A,$B110)</f>
        <v>297.87720400000001</v>
      </c>
      <c r="T110" s="24">
        <f>SUMIFS([1]raw_data!P:P,[1]raw_data!$A:$A,$B110)</f>
        <v>1.28251121076233</v>
      </c>
      <c r="U110" s="23">
        <f>SUMIFS([1]raw_data!Q:Q,[1]raw_data!$A:$A,$B110)</f>
        <v>103.23751799999999</v>
      </c>
      <c r="V110" s="24">
        <f>SUMIFS([1]raw_data!R:R,[1]raw_data!$A:$A,$B110)</f>
        <v>1.17040358744394</v>
      </c>
      <c r="W110" s="23">
        <f>SUMIFS([1]raw_data!S:S,[1]raw_data!$A:$A,$B110)</f>
        <v>74.026121000000003</v>
      </c>
      <c r="X110" s="24">
        <f>SUMIFS([1]raw_data!T:T,[1]raw_data!$A:$A,$B110)</f>
        <v>5.7692307692307598E-2</v>
      </c>
      <c r="Y110" s="23">
        <f>SUMIFS([1]raw_data!U:U,[1]raw_data!$A:$A,$B110)</f>
        <v>1.274038</v>
      </c>
      <c r="Z110" s="24">
        <f>SUMIFS([1]raw_data!V:V,[1]raw_data!$A:$A,$B110)</f>
        <v>1.9230769230769201E-2</v>
      </c>
      <c r="AA110" s="21">
        <f t="shared" si="1"/>
        <v>93.421018000000004</v>
      </c>
    </row>
    <row r="111" spans="1:27" x14ac:dyDescent="0.25">
      <c r="A111" s="39"/>
      <c r="B111" s="21" t="s">
        <v>305</v>
      </c>
      <c r="C111" s="21" t="s">
        <v>306</v>
      </c>
      <c r="D111" s="21" t="s">
        <v>307</v>
      </c>
      <c r="E111" s="21" t="s">
        <v>27</v>
      </c>
      <c r="F111" s="22">
        <f>IFERROR(INDEX([1]raw_data!B:B,MATCH('SAIDI excl MEDs sort (5-yr avg)'!B147,[1]raw_data!A:A,0)),0)</f>
        <v>136</v>
      </c>
      <c r="G111" s="23">
        <f>SUMIFS([1]raw_data!C:C,[1]raw_data!$A:$A,$B111)</f>
        <v>404.10712799999999</v>
      </c>
      <c r="H111" s="24">
        <f>SUMIFS([1]raw_data!D:D,[1]raw_data!$A:$A,$B111)</f>
        <v>1.0792181069958799</v>
      </c>
      <c r="I111" s="23">
        <f>SUMIFS([1]raw_data!E:E,[1]raw_data!$A:$A,$B111)</f>
        <v>4.1866310000000002</v>
      </c>
      <c r="J111" s="24">
        <f>SUMIFS([1]raw_data!F:F,[1]raw_data!$A:$A,$B111)</f>
        <v>3.0864197530864099E-2</v>
      </c>
      <c r="K111" s="23">
        <f>SUMIFS([1]raw_data!G:G,[1]raw_data!$A:$A,$B111)</f>
        <v>41.175457999999999</v>
      </c>
      <c r="L111" s="24">
        <f>SUMIFS([1]raw_data!H:H,[1]raw_data!$A:$A,$B111)</f>
        <v>0.16497975708502</v>
      </c>
      <c r="M111" s="23">
        <f>SUMIFS([1]raw_data!I:I,[1]raw_data!$A:$A,$B111)</f>
        <v>12.102154000000001</v>
      </c>
      <c r="N111" s="24">
        <f>SUMIFS([1]raw_data!J:J,[1]raw_data!$A:$A,$B111)</f>
        <v>5.8704453441295497E-2</v>
      </c>
      <c r="O111" s="23">
        <f>SUMIFS([1]raw_data!K:K,[1]raw_data!$A:$A,$B111)</f>
        <v>52.626266999999999</v>
      </c>
      <c r="P111" s="24">
        <f>SUMIFS([1]raw_data!L:L,[1]raw_data!$A:$A,$B111)</f>
        <v>0.22543352601156</v>
      </c>
      <c r="Q111" s="23">
        <f>SUMIFS([1]raw_data!M:M,[1]raw_data!$A:$A,$B111)</f>
        <v>19.519812999999999</v>
      </c>
      <c r="R111" s="24">
        <f>SUMIFS([1]raw_data!N:N,[1]raw_data!$A:$A,$B111)</f>
        <v>0.174373795761078</v>
      </c>
      <c r="S111" s="23">
        <f>SUMIFS([1]raw_data!O:O,[1]raw_data!$A:$A,$B111)</f>
        <v>519.90166699999997</v>
      </c>
      <c r="T111" s="24">
        <f>SUMIFS([1]raw_data!P:P,[1]raw_data!$A:$A,$B111)</f>
        <v>4.5456329735034302</v>
      </c>
      <c r="U111" s="23">
        <f>SUMIFS([1]raw_data!Q:Q,[1]raw_data!$A:$A,$B111)</f>
        <v>236.350752</v>
      </c>
      <c r="V111" s="24">
        <f>SUMIFS([1]raw_data!R:R,[1]raw_data!$A:$A,$B111)</f>
        <v>1.91756624141315</v>
      </c>
      <c r="W111" s="23">
        <f>SUMIFS([1]raw_data!S:S,[1]raw_data!$A:$A,$B111)</f>
        <v>428.21439600000002</v>
      </c>
      <c r="X111" s="24">
        <f>SUMIFS([1]raw_data!T:T,[1]raw_data!$A:$A,$B111)</f>
        <v>3.66971544715447</v>
      </c>
      <c r="Y111" s="23">
        <f>SUMIFS([1]raw_data!U:U,[1]raw_data!$A:$A,$B111)</f>
        <v>186.50508099999999</v>
      </c>
      <c r="Z111" s="24">
        <f>SUMIFS([1]raw_data!V:V,[1]raw_data!$A:$A,$B111)</f>
        <v>2.5376016260162602</v>
      </c>
      <c r="AA111" s="21">
        <f t="shared" si="1"/>
        <v>91.73288620000001</v>
      </c>
    </row>
    <row r="112" spans="1:27" x14ac:dyDescent="0.25">
      <c r="A112" s="39"/>
      <c r="B112" s="21" t="s">
        <v>308</v>
      </c>
      <c r="C112" s="21" t="s">
        <v>17</v>
      </c>
      <c r="D112" s="21" t="s">
        <v>309</v>
      </c>
      <c r="E112" s="21" t="s">
        <v>19</v>
      </c>
      <c r="F112" s="22">
        <f>IFERROR(INDEX([1]raw_data!B:B,MATCH('SAIDI excl MEDs sort (5-yr avg)'!B110,[1]raw_data!A:A,0)),0)</f>
        <v>450.33333299999998</v>
      </c>
      <c r="G112" s="23">
        <f>SUMIFS([1]raw_data!C:C,[1]raw_data!$A:$A,$B112)</f>
        <v>29.782986000000001</v>
      </c>
      <c r="H112" s="24">
        <f>SUMIFS([1]raw_data!D:D,[1]raw_data!$A:$A,$B112)</f>
        <v>0.21078701155751201</v>
      </c>
      <c r="I112" s="23">
        <f>SUMIFS([1]raw_data!E:E,[1]raw_data!$A:$A,$B112)</f>
        <v>29.782986000000001</v>
      </c>
      <c r="J112" s="24">
        <f>SUMIFS([1]raw_data!F:F,[1]raw_data!$A:$A,$B112)</f>
        <v>0.21078701155751201</v>
      </c>
      <c r="K112" s="23">
        <f>SUMIFS([1]raw_data!G:G,[1]raw_data!$A:$A,$B112)</f>
        <v>57.368872000000003</v>
      </c>
      <c r="L112" s="24">
        <f>SUMIFS([1]raw_data!H:H,[1]raw_data!$A:$A,$B112)</f>
        <v>0.454345434543454</v>
      </c>
      <c r="M112" s="23">
        <f>SUMIFS([1]raw_data!I:I,[1]raw_data!$A:$A,$B112)</f>
        <v>33.126474999999999</v>
      </c>
      <c r="N112" s="24">
        <f>SUMIFS([1]raw_data!J:J,[1]raw_data!$A:$A,$B112)</f>
        <v>0.43454345434543401</v>
      </c>
      <c r="O112" s="23">
        <f>SUMIFS([1]raw_data!K:K,[1]raw_data!$A:$A,$B112)</f>
        <v>18.046326000000001</v>
      </c>
      <c r="P112" s="24">
        <f>SUMIFS([1]raw_data!L:L,[1]raw_data!$A:$A,$B112)</f>
        <v>0.103296703296703</v>
      </c>
      <c r="Q112" s="23">
        <f>SUMIFS([1]raw_data!M:M,[1]raw_data!$A:$A,$B112)</f>
        <v>6.9902280000000001</v>
      </c>
      <c r="R112" s="24">
        <f>SUMIFS([1]raw_data!N:N,[1]raw_data!$A:$A,$B112)</f>
        <v>8.5164835164835098E-2</v>
      </c>
      <c r="S112" s="23">
        <f>SUMIFS([1]raw_data!O:O,[1]raw_data!$A:$A,$B112)</f>
        <v>308.55598400000002</v>
      </c>
      <c r="T112" s="24">
        <f>SUMIFS([1]raw_data!P:P,[1]raw_data!$A:$A,$B112)</f>
        <v>2.2184546970539101</v>
      </c>
      <c r="U112" s="23">
        <f>SUMIFS([1]raw_data!Q:Q,[1]raw_data!$A:$A,$B112)</f>
        <v>291.01009800000003</v>
      </c>
      <c r="V112" s="24">
        <f>SUMIFS([1]raw_data!R:R,[1]raw_data!$A:$A,$B112)</f>
        <v>2.20511395219566</v>
      </c>
      <c r="W112" s="23">
        <f>SUMIFS([1]raw_data!S:S,[1]raw_data!$A:$A,$B112)</f>
        <v>208.37335200000001</v>
      </c>
      <c r="X112" s="24">
        <f>SUMIFS([1]raw_data!T:T,[1]raw_data!$A:$A,$B112)</f>
        <v>0.76590909090908998</v>
      </c>
      <c r="Y112" s="23">
        <f>SUMIFS([1]raw_data!U:U,[1]raw_data!$A:$A,$B112)</f>
        <v>93.570710000000005</v>
      </c>
      <c r="Z112" s="24">
        <f>SUMIFS([1]raw_data!V:V,[1]raw_data!$A:$A,$B112)</f>
        <v>0.71193181818181805</v>
      </c>
      <c r="AA112" s="21">
        <f t="shared" si="1"/>
        <v>90.896099400000011</v>
      </c>
    </row>
    <row r="113" spans="1:27" x14ac:dyDescent="0.25">
      <c r="A113" s="39"/>
      <c r="B113" s="21" t="s">
        <v>310</v>
      </c>
      <c r="C113" s="21" t="s">
        <v>311</v>
      </c>
      <c r="D113" s="21" t="s">
        <v>312</v>
      </c>
      <c r="E113" s="21" t="s">
        <v>19</v>
      </c>
      <c r="F113" s="22">
        <f>IFERROR(INDEX([1]raw_data!B:B,MATCH('SAIDI excl MEDs sort (5-yr avg)'!B89,[1]raw_data!A:A,0)),0)</f>
        <v>3196.6666660000001</v>
      </c>
      <c r="G113" s="23">
        <f>SUMIFS([1]raw_data!C:C,[1]raw_data!$A:$A,$B113)</f>
        <v>59.119782000000001</v>
      </c>
      <c r="H113" s="24">
        <f>SUMIFS([1]raw_data!D:D,[1]raw_data!$A:$A,$B113)</f>
        <v>0.540252827677977</v>
      </c>
      <c r="I113" s="23">
        <f>SUMIFS([1]raw_data!E:E,[1]raw_data!$A:$A,$B113)</f>
        <v>59.119782000000001</v>
      </c>
      <c r="J113" s="24">
        <f>SUMIFS([1]raw_data!F:F,[1]raw_data!$A:$A,$B113)</f>
        <v>0.540252827677977</v>
      </c>
      <c r="K113" s="23">
        <f>SUMIFS([1]raw_data!G:G,[1]raw_data!$A:$A,$B113)</f>
        <v>104.945424</v>
      </c>
      <c r="L113" s="24">
        <f>SUMIFS([1]raw_data!H:H,[1]raw_data!$A:$A,$B113)</f>
        <v>0.30878938640132603</v>
      </c>
      <c r="M113" s="23">
        <f>SUMIFS([1]raw_data!I:I,[1]raw_data!$A:$A,$B113)</f>
        <v>23.114746</v>
      </c>
      <c r="N113" s="24">
        <f>SUMIFS([1]raw_data!J:J,[1]raw_data!$A:$A,$B113)</f>
        <v>0.118407960199004</v>
      </c>
      <c r="O113" s="23">
        <f>SUMIFS([1]raw_data!K:K,[1]raw_data!$A:$A,$B113)</f>
        <v>474.85866399999998</v>
      </c>
      <c r="P113" s="24">
        <f>SUMIFS([1]raw_data!L:L,[1]raw_data!$A:$A,$B113)</f>
        <v>1.24850696748506</v>
      </c>
      <c r="Q113" s="23">
        <f>SUMIFS([1]raw_data!M:M,[1]raw_data!$A:$A,$B113)</f>
        <v>74.968153999999998</v>
      </c>
      <c r="R113" s="24">
        <f>SUMIFS([1]raw_data!N:N,[1]raw_data!$A:$A,$B113)</f>
        <v>0.77272727272727204</v>
      </c>
      <c r="S113" s="23">
        <f>SUMIFS([1]raw_data!O:O,[1]raw_data!$A:$A,$B113)</f>
        <v>229.433288</v>
      </c>
      <c r="T113" s="24">
        <f>SUMIFS([1]raw_data!P:P,[1]raw_data!$A:$A,$B113)</f>
        <v>1.5482907401261199</v>
      </c>
      <c r="U113" s="23">
        <f>SUMIFS([1]raw_data!Q:Q,[1]raw_data!$A:$A,$B113)</f>
        <v>147.40764999999999</v>
      </c>
      <c r="V113" s="24">
        <f>SUMIFS([1]raw_data!R:R,[1]raw_data!$A:$A,$B113)</f>
        <v>0.95917690009956802</v>
      </c>
      <c r="W113" s="23">
        <f>SUMIFS([1]raw_data!S:S,[1]raw_data!$A:$A,$B113)</f>
        <v>3408.5227129999998</v>
      </c>
      <c r="X113" s="24">
        <f>SUMIFS([1]raw_data!T:T,[1]raw_data!$A:$A,$B113)</f>
        <v>2.2598717516031002</v>
      </c>
      <c r="Y113" s="23">
        <f>SUMIFS([1]raw_data!U:U,[1]raw_data!$A:$A,$B113)</f>
        <v>147.12523899999999</v>
      </c>
      <c r="Z113" s="24">
        <f>SUMIFS([1]raw_data!V:V,[1]raw_data!$A:$A,$B113)</f>
        <v>0.593992575092811</v>
      </c>
      <c r="AA113" s="21">
        <f t="shared" si="1"/>
        <v>90.347114199999993</v>
      </c>
    </row>
    <row r="114" spans="1:27" x14ac:dyDescent="0.25">
      <c r="A114" s="40" t="s">
        <v>313</v>
      </c>
      <c r="B114" s="25" t="s">
        <v>314</v>
      </c>
      <c r="C114" s="25" t="s">
        <v>123</v>
      </c>
      <c r="D114" s="25" t="s">
        <v>315</v>
      </c>
      <c r="E114" s="25" t="s">
        <v>19</v>
      </c>
      <c r="F114" s="26">
        <f>IFERROR(INDEX([1]raw_data!B:B,MATCH('SAIDI excl MEDs sort (5-yr avg)'!B141,[1]raw_data!A:A,0)),0)</f>
        <v>1091.5999999999999</v>
      </c>
      <c r="G114" s="27">
        <f>SUMIFS([1]raw_data!C:C,[1]raw_data!$A:$A,$B114)</f>
        <v>13.807207999999999</v>
      </c>
      <c r="H114" s="28">
        <f>SUMIFS([1]raw_data!D:D,[1]raw_data!$A:$A,$B114)</f>
        <v>0.14001207000603499</v>
      </c>
      <c r="I114" s="27">
        <f>SUMIFS([1]raw_data!E:E,[1]raw_data!$A:$A,$B114)</f>
        <v>7.5521260000000003</v>
      </c>
      <c r="J114" s="28">
        <f>SUMIFS([1]raw_data!F:F,[1]raw_data!$A:$A,$B114)</f>
        <v>0.12070006035003</v>
      </c>
      <c r="K114" s="27">
        <f>SUMIFS([1]raw_data!G:G,[1]raw_data!$A:$A,$B114)</f>
        <v>176.53624199999999</v>
      </c>
      <c r="L114" s="28">
        <f>SUMIFS([1]raw_data!H:H,[1]raw_data!$A:$A,$B114)</f>
        <v>0.55595667870036103</v>
      </c>
      <c r="M114" s="27">
        <f>SUMIFS([1]raw_data!I:I,[1]raw_data!$A:$A,$B114)</f>
        <v>17.777083000000001</v>
      </c>
      <c r="N114" s="28">
        <f>SUMIFS([1]raw_data!J:J,[1]raw_data!$A:$A,$B114)</f>
        <v>0.135980746089049</v>
      </c>
      <c r="O114" s="27">
        <f>SUMIFS([1]raw_data!K:K,[1]raw_data!$A:$A,$B114)</f>
        <v>53.359265999999998</v>
      </c>
      <c r="P114" s="28">
        <f>SUMIFS([1]raw_data!L:L,[1]raw_data!$A:$A,$B114)</f>
        <v>0.35421686746987902</v>
      </c>
      <c r="Q114" s="27">
        <f>SUMIFS([1]raw_data!M:M,[1]raw_data!$A:$A,$B114)</f>
        <v>46.448673999999997</v>
      </c>
      <c r="R114" s="28">
        <f>SUMIFS([1]raw_data!N:N,[1]raw_data!$A:$A,$B114)</f>
        <v>0.35180722891566202</v>
      </c>
      <c r="S114" s="27">
        <f>SUMIFS([1]raw_data!O:O,[1]raw_data!$A:$A,$B114)</f>
        <v>134.35956899999999</v>
      </c>
      <c r="T114" s="28">
        <f>SUMIFS([1]raw_data!P:P,[1]raw_data!$A:$A,$B114)</f>
        <v>1.4475271411338899</v>
      </c>
      <c r="U114" s="27">
        <f>SUMIFS([1]raw_data!Q:Q,[1]raw_data!$A:$A,$B114)</f>
        <v>106.82525099999999</v>
      </c>
      <c r="V114" s="28">
        <f>SUMIFS([1]raw_data!R:R,[1]raw_data!$A:$A,$B114)</f>
        <v>1.2539203860072301</v>
      </c>
      <c r="W114" s="27">
        <f>SUMIFS([1]raw_data!S:S,[1]raw_data!$A:$A,$B114)</f>
        <v>1932.264682</v>
      </c>
      <c r="X114" s="28">
        <f>SUMIFS([1]raw_data!T:T,[1]raw_data!$A:$A,$B114)</f>
        <v>2.98912386706948</v>
      </c>
      <c r="Y114" s="27">
        <f>SUMIFS([1]raw_data!U:U,[1]raw_data!$A:$A,$B114)</f>
        <v>264.91700900000001</v>
      </c>
      <c r="Z114" s="28">
        <f>SUMIFS([1]raw_data!V:V,[1]raw_data!$A:$A,$B114)</f>
        <v>2.3649546827794499</v>
      </c>
      <c r="AA114" s="25">
        <f t="shared" si="1"/>
        <v>88.704028600000001</v>
      </c>
    </row>
    <row r="115" spans="1:27" x14ac:dyDescent="0.25">
      <c r="A115" s="40"/>
      <c r="B115" s="25" t="s">
        <v>316</v>
      </c>
      <c r="C115" s="25" t="s">
        <v>317</v>
      </c>
      <c r="D115" s="25" t="s">
        <v>318</v>
      </c>
      <c r="E115" s="25" t="s">
        <v>23</v>
      </c>
      <c r="F115" s="26">
        <f>IFERROR(INDEX([1]raw_data!B:B,MATCH('SAIDI excl MEDs sort (5-yr avg)'!B22,[1]raw_data!A:A,0)),0)</f>
        <v>1423.4</v>
      </c>
      <c r="G115" s="27">
        <f>SUMIFS([1]raw_data!C:C,[1]raw_data!$A:$A,$B115)</f>
        <v>303.73958499999998</v>
      </c>
      <c r="H115" s="28">
        <f>SUMIFS([1]raw_data!D:D,[1]raw_data!$A:$A,$B115)</f>
        <v>2.3007712082262199</v>
      </c>
      <c r="I115" s="27">
        <f>SUMIFS([1]raw_data!E:E,[1]raw_data!$A:$A,$B115)</f>
        <v>267.72434600000003</v>
      </c>
      <c r="J115" s="28">
        <f>SUMIFS([1]raw_data!F:F,[1]raw_data!$A:$A,$B115)</f>
        <v>2.2565552699228699</v>
      </c>
      <c r="K115" s="27">
        <f>SUMIFS([1]raw_data!G:G,[1]raw_data!$A:$A,$B115)</f>
        <v>28.093378999999999</v>
      </c>
      <c r="L115" s="28">
        <f>SUMIFS([1]raw_data!H:H,[1]raw_data!$A:$A,$B115)</f>
        <v>0.20236869207003</v>
      </c>
      <c r="M115" s="27">
        <f>SUMIFS([1]raw_data!I:I,[1]raw_data!$A:$A,$B115)</f>
        <v>24.939976000000001</v>
      </c>
      <c r="N115" s="28">
        <f>SUMIFS([1]raw_data!J:J,[1]raw_data!$A:$A,$B115)</f>
        <v>0.20030895983522101</v>
      </c>
      <c r="O115" s="27">
        <f>SUMIFS([1]raw_data!K:K,[1]raw_data!$A:$A,$B115)</f>
        <v>17.258844</v>
      </c>
      <c r="P115" s="28">
        <f>SUMIFS([1]raw_data!L:L,[1]raw_data!$A:$A,$B115)</f>
        <v>0.204533745492014</v>
      </c>
      <c r="Q115" s="27">
        <f>SUMIFS([1]raw_data!M:M,[1]raw_data!$A:$A,$B115)</f>
        <v>17.258844</v>
      </c>
      <c r="R115" s="28">
        <f>SUMIFS([1]raw_data!N:N,[1]raw_data!$A:$A,$B115)</f>
        <v>0.204533745492014</v>
      </c>
      <c r="S115" s="27">
        <f>SUMIFS([1]raw_data!O:O,[1]raw_data!$A:$A,$B115)</f>
        <v>36.117528999999998</v>
      </c>
      <c r="T115" s="28">
        <f>SUMIFS([1]raw_data!P:P,[1]raw_data!$A:$A,$B115)</f>
        <v>0.51202961135101699</v>
      </c>
      <c r="U115" s="27">
        <f>SUMIFS([1]raw_data!Q:Q,[1]raw_data!$A:$A,$B115)</f>
        <v>34.938412</v>
      </c>
      <c r="V115" s="28">
        <f>SUMIFS([1]raw_data!R:R,[1]raw_data!$A:$A,$B115)</f>
        <v>0.47131400370141802</v>
      </c>
      <c r="W115" s="27">
        <f>SUMIFS([1]raw_data!S:S,[1]raw_data!$A:$A,$B115)</f>
        <v>157.269148</v>
      </c>
      <c r="X115" s="28">
        <f>SUMIFS([1]raw_data!T:T,[1]raw_data!$A:$A,$B115)</f>
        <v>1.21879815100154</v>
      </c>
      <c r="Y115" s="27">
        <f>SUMIFS([1]raw_data!U:U,[1]raw_data!$A:$A,$B115)</f>
        <v>96.438665999999998</v>
      </c>
      <c r="Z115" s="28">
        <f>SUMIFS([1]raw_data!V:V,[1]raw_data!$A:$A,$B115)</f>
        <v>0.52696456086286503</v>
      </c>
      <c r="AA115" s="25">
        <f t="shared" si="1"/>
        <v>88.260048800000007</v>
      </c>
    </row>
    <row r="116" spans="1:27" x14ac:dyDescent="0.25">
      <c r="A116" s="40"/>
      <c r="B116" s="25" t="s">
        <v>319</v>
      </c>
      <c r="C116" s="25" t="s">
        <v>320</v>
      </c>
      <c r="D116" s="25" t="s">
        <v>321</v>
      </c>
      <c r="E116" s="25" t="s">
        <v>19</v>
      </c>
      <c r="F116" s="26">
        <f>IFERROR(INDEX([1]raw_data!B:B,MATCH('SAIDI excl MEDs sort (5-yr avg)'!B163,[1]raw_data!A:A,0)),0)</f>
        <v>158</v>
      </c>
      <c r="G116" s="27">
        <f>SUMIFS([1]raw_data!C:C,[1]raw_data!$A:$A,$B116)</f>
        <v>0</v>
      </c>
      <c r="H116" s="28">
        <f>SUMIFS([1]raw_data!D:D,[1]raw_data!$A:$A,$B116)</f>
        <v>0</v>
      </c>
      <c r="I116" s="27">
        <f>SUMIFS([1]raw_data!E:E,[1]raw_data!$A:$A,$B116)</f>
        <v>0</v>
      </c>
      <c r="J116" s="28">
        <f>SUMIFS([1]raw_data!F:F,[1]raw_data!$A:$A,$B116)</f>
        <v>0</v>
      </c>
      <c r="K116" s="27">
        <f>SUMIFS([1]raw_data!G:G,[1]raw_data!$A:$A,$B116)</f>
        <v>0</v>
      </c>
      <c r="L116" s="28">
        <f>SUMIFS([1]raw_data!H:H,[1]raw_data!$A:$A,$B116)</f>
        <v>0</v>
      </c>
      <c r="M116" s="27">
        <f>SUMIFS([1]raw_data!I:I,[1]raw_data!$A:$A,$B116)</f>
        <v>0</v>
      </c>
      <c r="N116" s="28">
        <f>SUMIFS([1]raw_data!J:J,[1]raw_data!$A:$A,$B116)</f>
        <v>0</v>
      </c>
      <c r="O116" s="27">
        <f>SUMIFS([1]raw_data!K:K,[1]raw_data!$A:$A,$B116)</f>
        <v>39.033098000000003</v>
      </c>
      <c r="P116" s="28">
        <f>SUMIFS([1]raw_data!L:L,[1]raw_data!$A:$A,$B116)</f>
        <v>0.23943661971830901</v>
      </c>
      <c r="Q116" s="27">
        <f>SUMIFS([1]raw_data!M:M,[1]raw_data!$A:$A,$B116)</f>
        <v>39.033098000000003</v>
      </c>
      <c r="R116" s="28">
        <f>SUMIFS([1]raw_data!N:N,[1]raw_data!$A:$A,$B116)</f>
        <v>0.23943661971830901</v>
      </c>
      <c r="S116" s="27">
        <f>SUMIFS([1]raw_data!O:O,[1]raw_data!$A:$A,$B116)</f>
        <v>399.911858</v>
      </c>
      <c r="T116" s="28">
        <f>SUMIFS([1]raw_data!P:P,[1]raw_data!$A:$A,$B116)</f>
        <v>0.80128205128205099</v>
      </c>
      <c r="U116" s="27">
        <f>SUMIFS([1]raw_data!Q:Q,[1]raw_data!$A:$A,$B116)</f>
        <v>399.911858</v>
      </c>
      <c r="V116" s="28">
        <f>SUMIFS([1]raw_data!R:R,[1]raw_data!$A:$A,$B116)</f>
        <v>0.80128205128205099</v>
      </c>
      <c r="W116" s="27">
        <f>SUMIFS([1]raw_data!S:S,[1]raw_data!$A:$A,$B116)</f>
        <v>0</v>
      </c>
      <c r="X116" s="28">
        <f>SUMIFS([1]raw_data!T:T,[1]raw_data!$A:$A,$B116)</f>
        <v>0</v>
      </c>
      <c r="Y116" s="27">
        <f>SUMIFS([1]raw_data!U:U,[1]raw_data!$A:$A,$B116)</f>
        <v>0</v>
      </c>
      <c r="Z116" s="28">
        <f>SUMIFS([1]raw_data!V:V,[1]raw_data!$A:$A,$B116)</f>
        <v>0</v>
      </c>
      <c r="AA116" s="25">
        <f t="shared" si="1"/>
        <v>87.788991199999998</v>
      </c>
    </row>
    <row r="117" spans="1:27" x14ac:dyDescent="0.25">
      <c r="A117" s="40"/>
      <c r="B117" s="25" t="s">
        <v>322</v>
      </c>
      <c r="C117" s="25" t="s">
        <v>115</v>
      </c>
      <c r="D117" s="25" t="s">
        <v>323</v>
      </c>
      <c r="E117" s="25" t="s">
        <v>15</v>
      </c>
      <c r="F117" s="26">
        <f>IFERROR(INDEX([1]raw_data!B:B,MATCH('SAIDI excl MEDs sort (5-yr avg)'!B161,[1]raw_data!A:A,0)),0)</f>
        <v>322.16666600000002</v>
      </c>
      <c r="G117" s="27">
        <f>SUMIFS([1]raw_data!C:C,[1]raw_data!$A:$A,$B117)</f>
        <v>0</v>
      </c>
      <c r="H117" s="28">
        <f>SUMIFS([1]raw_data!D:D,[1]raw_data!$A:$A,$B117)</f>
        <v>0</v>
      </c>
      <c r="I117" s="27">
        <f>SUMIFS([1]raw_data!E:E,[1]raw_data!$A:$A,$B117)</f>
        <v>0</v>
      </c>
      <c r="J117" s="28">
        <f>SUMIFS([1]raw_data!F:F,[1]raw_data!$A:$A,$B117)</f>
        <v>0</v>
      </c>
      <c r="K117" s="27">
        <f>SUMIFS([1]raw_data!G:G,[1]raw_data!$A:$A,$B117)</f>
        <v>0</v>
      </c>
      <c r="L117" s="28">
        <f>SUMIFS([1]raw_data!H:H,[1]raw_data!$A:$A,$B117)</f>
        <v>0</v>
      </c>
      <c r="M117" s="27">
        <f>SUMIFS([1]raw_data!I:I,[1]raw_data!$A:$A,$B117)</f>
        <v>0</v>
      </c>
      <c r="N117" s="28">
        <f>SUMIFS([1]raw_data!J:J,[1]raw_data!$A:$A,$B117)</f>
        <v>0</v>
      </c>
      <c r="O117" s="27">
        <f>SUMIFS([1]raw_data!K:K,[1]raw_data!$A:$A,$B117)</f>
        <v>231.346396</v>
      </c>
      <c r="P117" s="28">
        <f>SUMIFS([1]raw_data!L:L,[1]raw_data!$A:$A,$B117)</f>
        <v>1.0270270270270201</v>
      </c>
      <c r="Q117" s="27">
        <f>SUMIFS([1]raw_data!M:M,[1]raw_data!$A:$A,$B117)</f>
        <v>231.346396</v>
      </c>
      <c r="R117" s="28">
        <f>SUMIFS([1]raw_data!N:N,[1]raw_data!$A:$A,$B117)</f>
        <v>1.0270270270270201</v>
      </c>
      <c r="S117" s="27">
        <f>SUMIFS([1]raw_data!O:O,[1]raw_data!$A:$A,$B117)</f>
        <v>184.30394699999999</v>
      </c>
      <c r="T117" s="28">
        <f>SUMIFS([1]raw_data!P:P,[1]raw_data!$A:$A,$B117)</f>
        <v>1.4736842105263099</v>
      </c>
      <c r="U117" s="27">
        <f>SUMIFS([1]raw_data!Q:Q,[1]raw_data!$A:$A,$B117)</f>
        <v>136.50394700000001</v>
      </c>
      <c r="V117" s="28">
        <f>SUMIFS([1]raw_data!R:R,[1]raw_data!$A:$A,$B117)</f>
        <v>0.47368421052631499</v>
      </c>
      <c r="W117" s="27">
        <f>SUMIFS([1]raw_data!S:S,[1]raw_data!$A:$A,$B117)</f>
        <v>69.160576000000006</v>
      </c>
      <c r="X117" s="28">
        <f>SUMIFS([1]raw_data!T:T,[1]raw_data!$A:$A,$B117)</f>
        <v>0.65384615384615297</v>
      </c>
      <c r="Y117" s="27">
        <f>SUMIFS([1]raw_data!U:U,[1]raw_data!$A:$A,$B117)</f>
        <v>69.160576000000006</v>
      </c>
      <c r="Z117" s="28">
        <f>SUMIFS([1]raw_data!V:V,[1]raw_data!$A:$A,$B117)</f>
        <v>0.65384615384615297</v>
      </c>
      <c r="AA117" s="25">
        <f t="shared" si="1"/>
        <v>87.402183800000003</v>
      </c>
    </row>
    <row r="118" spans="1:27" x14ac:dyDescent="0.25">
      <c r="A118" s="40"/>
      <c r="B118" s="25" t="s">
        <v>324</v>
      </c>
      <c r="C118" s="25" t="s">
        <v>95</v>
      </c>
      <c r="D118" s="25" t="s">
        <v>325</v>
      </c>
      <c r="E118" s="25" t="s">
        <v>19</v>
      </c>
      <c r="F118" s="26">
        <f>IFERROR(INDEX([1]raw_data!B:B,MATCH('SAIDI excl MEDs sort (5-yr avg)'!B68,[1]raw_data!A:A,0)),0)</f>
        <v>1547.6666660000001</v>
      </c>
      <c r="G118" s="27">
        <f>SUMIFS([1]raw_data!C:C,[1]raw_data!$A:$A,$B118)</f>
        <v>99.294144000000003</v>
      </c>
      <c r="H118" s="28">
        <f>SUMIFS([1]raw_data!D:D,[1]raw_data!$A:$A,$B118)</f>
        <v>1.0383064516128999</v>
      </c>
      <c r="I118" s="27">
        <f>SUMIFS([1]raw_data!E:E,[1]raw_data!$A:$A,$B118)</f>
        <v>99.050192999999993</v>
      </c>
      <c r="J118" s="28">
        <f>SUMIFS([1]raw_data!F:F,[1]raw_data!$A:$A,$B118)</f>
        <v>1.03729838709677</v>
      </c>
      <c r="K118" s="27">
        <f>SUMIFS([1]raw_data!G:G,[1]raw_data!$A:$A,$B118)</f>
        <v>253.13291899999999</v>
      </c>
      <c r="L118" s="28">
        <f>SUMIFS([1]raw_data!H:H,[1]raw_data!$A:$A,$B118)</f>
        <v>1.5474747474747399</v>
      </c>
      <c r="M118" s="27">
        <f>SUMIFS([1]raw_data!I:I,[1]raw_data!$A:$A,$B118)</f>
        <v>61.289341</v>
      </c>
      <c r="N118" s="28">
        <f>SUMIFS([1]raw_data!J:J,[1]raw_data!$A:$A,$B118)</f>
        <v>0.51616161616161604</v>
      </c>
      <c r="O118" s="27">
        <f>SUMIFS([1]raw_data!K:K,[1]raw_data!$A:$A,$B118)</f>
        <v>182.60731100000001</v>
      </c>
      <c r="P118" s="28">
        <f>SUMIFS([1]raw_data!L:L,[1]raw_data!$A:$A,$B118)</f>
        <v>0.58561296859169099</v>
      </c>
      <c r="Q118" s="27">
        <f>SUMIFS([1]raw_data!M:M,[1]raw_data!$A:$A,$B118)</f>
        <v>45.464083000000002</v>
      </c>
      <c r="R118" s="28">
        <f>SUMIFS([1]raw_data!N:N,[1]raw_data!$A:$A,$B118)</f>
        <v>0.13981762917933099</v>
      </c>
      <c r="S118" s="27">
        <f>SUMIFS([1]raw_data!O:O,[1]raw_data!$A:$A,$B118)</f>
        <v>254.11151000000001</v>
      </c>
      <c r="T118" s="28">
        <f>SUMIFS([1]raw_data!P:P,[1]raw_data!$A:$A,$B118)</f>
        <v>3.3184584178498899</v>
      </c>
      <c r="U118" s="27">
        <f>SUMIFS([1]raw_data!Q:Q,[1]raw_data!$A:$A,$B118)</f>
        <v>196.262068</v>
      </c>
      <c r="V118" s="28">
        <f>SUMIFS([1]raw_data!R:R,[1]raw_data!$A:$A,$B118)</f>
        <v>3.2474645030425902</v>
      </c>
      <c r="W118" s="27">
        <f>SUMIFS([1]raw_data!S:S,[1]raw_data!$A:$A,$B118)</f>
        <v>201.12774899999999</v>
      </c>
      <c r="X118" s="28">
        <f>SUMIFS([1]raw_data!T:T,[1]raw_data!$A:$A,$B118)</f>
        <v>0.56548223350253801</v>
      </c>
      <c r="Y118" s="27">
        <f>SUMIFS([1]raw_data!U:U,[1]raw_data!$A:$A,$B118)</f>
        <v>33.342283999999999</v>
      </c>
      <c r="Z118" s="28">
        <f>SUMIFS([1]raw_data!V:V,[1]raw_data!$A:$A,$B118)</f>
        <v>0.28324873096446701</v>
      </c>
      <c r="AA118" s="25">
        <f t="shared" si="1"/>
        <v>87.081593799999993</v>
      </c>
    </row>
    <row r="119" spans="1:27" x14ac:dyDescent="0.25">
      <c r="A119" s="40"/>
      <c r="B119" s="25" t="s">
        <v>326</v>
      </c>
      <c r="C119" s="25" t="s">
        <v>288</v>
      </c>
      <c r="D119" s="25" t="s">
        <v>327</v>
      </c>
      <c r="E119" s="25" t="s">
        <v>76</v>
      </c>
      <c r="F119" s="26">
        <f>IFERROR(INDEX([1]raw_data!B:B,MATCH('SAIDI excl MEDs sort (5-yr avg)'!B117,[1]raw_data!A:A,0)),0)</f>
        <v>41.25</v>
      </c>
      <c r="G119" s="27">
        <f>SUMIFS([1]raw_data!C:C,[1]raw_data!$A:$A,$B119)</f>
        <v>2238.0801719999999</v>
      </c>
      <c r="H119" s="28">
        <f>SUMIFS([1]raw_data!D:D,[1]raw_data!$A:$A,$B119)</f>
        <v>1.0354767184035401</v>
      </c>
      <c r="I119" s="27">
        <f>SUMIFS([1]raw_data!E:E,[1]raw_data!$A:$A,$B119)</f>
        <v>23.944382000000001</v>
      </c>
      <c r="J119" s="28">
        <f>SUMIFS([1]raw_data!F:F,[1]raw_data!$A:$A,$B119)</f>
        <v>0.186252771618625</v>
      </c>
      <c r="K119" s="27">
        <f>SUMIFS([1]raw_data!G:G,[1]raw_data!$A:$A,$B119)</f>
        <v>218.11501200000001</v>
      </c>
      <c r="L119" s="28">
        <f>SUMIFS([1]raw_data!H:H,[1]raw_data!$A:$A,$B119)</f>
        <v>1.66161616161616</v>
      </c>
      <c r="M119" s="27">
        <f>SUMIFS([1]raw_data!I:I,[1]raw_data!$A:$A,$B119)</f>
        <v>147.269927</v>
      </c>
      <c r="N119" s="28">
        <f>SUMIFS([1]raw_data!J:J,[1]raw_data!$A:$A,$B119)</f>
        <v>1.4865319865319799</v>
      </c>
      <c r="O119" s="27">
        <f>SUMIFS([1]raw_data!K:K,[1]raw_data!$A:$A,$B119)</f>
        <v>296.652694</v>
      </c>
      <c r="P119" s="28">
        <f>SUMIFS([1]raw_data!L:L,[1]raw_data!$A:$A,$B119)</f>
        <v>0.39999999999999902</v>
      </c>
      <c r="Q119" s="27">
        <f>SUMIFS([1]raw_data!M:M,[1]raw_data!$A:$A,$B119)</f>
        <v>131.69347200000001</v>
      </c>
      <c r="R119" s="28">
        <f>SUMIFS([1]raw_data!N:N,[1]raw_data!$A:$A,$B119)</f>
        <v>0.37333333333333302</v>
      </c>
      <c r="S119" s="27">
        <f>SUMIFS([1]raw_data!O:O,[1]raw_data!$A:$A,$B119)</f>
        <v>106.805595</v>
      </c>
      <c r="T119" s="28">
        <f>SUMIFS([1]raw_data!P:P,[1]raw_data!$A:$A,$B119)</f>
        <v>1.11433756805807</v>
      </c>
      <c r="U119" s="27">
        <f>SUMIFS([1]raw_data!Q:Q,[1]raw_data!$A:$A,$B119)</f>
        <v>106.245977</v>
      </c>
      <c r="V119" s="28">
        <f>SUMIFS([1]raw_data!R:R,[1]raw_data!$A:$A,$B119)</f>
        <v>1.1125226860254001</v>
      </c>
      <c r="W119" s="27">
        <f>SUMIFS([1]raw_data!S:S,[1]raw_data!$A:$A,$B119)</f>
        <v>30.643073000000001</v>
      </c>
      <c r="X119" s="28">
        <f>SUMIFS([1]raw_data!T:T,[1]raw_data!$A:$A,$B119)</f>
        <v>0.25047438330170702</v>
      </c>
      <c r="Y119" s="27">
        <f>SUMIFS([1]raw_data!U:U,[1]raw_data!$A:$A,$B119)</f>
        <v>25.212333000000001</v>
      </c>
      <c r="Z119" s="28">
        <f>SUMIFS([1]raw_data!V:V,[1]raw_data!$A:$A,$B119)</f>
        <v>0.20493358633775999</v>
      </c>
      <c r="AA119" s="25">
        <f t="shared" si="1"/>
        <v>86.873218199999997</v>
      </c>
    </row>
    <row r="120" spans="1:27" x14ac:dyDescent="0.25">
      <c r="A120" s="40"/>
      <c r="B120" s="25" t="s">
        <v>328</v>
      </c>
      <c r="C120" s="25" t="s">
        <v>165</v>
      </c>
      <c r="D120" s="25" t="s">
        <v>329</v>
      </c>
      <c r="E120" s="25" t="s">
        <v>19</v>
      </c>
      <c r="F120" s="26">
        <f>IFERROR(INDEX([1]raw_data!B:B,MATCH('SAIDI excl MEDs sort (5-yr avg)'!B30,[1]raw_data!A:A,0)),0)</f>
        <v>95.714285000000004</v>
      </c>
      <c r="G120" s="27">
        <f>SUMIFS([1]raw_data!C:C,[1]raw_data!$A:$A,$B120)</f>
        <v>218.76642799999999</v>
      </c>
      <c r="H120" s="28">
        <f>SUMIFS([1]raw_data!D:D,[1]raw_data!$A:$A,$B120)</f>
        <v>1.1681075888568599</v>
      </c>
      <c r="I120" s="27">
        <f>SUMIFS([1]raw_data!E:E,[1]raw_data!$A:$A,$B120)</f>
        <v>218.44636299999999</v>
      </c>
      <c r="J120" s="28">
        <f>SUMIFS([1]raw_data!F:F,[1]raw_data!$A:$A,$B120)</f>
        <v>1.1671469740634</v>
      </c>
      <c r="K120" s="27">
        <f>SUMIFS([1]raw_data!G:G,[1]raw_data!$A:$A,$B120)</f>
        <v>123.69735799999999</v>
      </c>
      <c r="L120" s="28">
        <f>SUMIFS([1]raw_data!H:H,[1]raw_data!$A:$A,$B120)</f>
        <v>1.27333652465294</v>
      </c>
      <c r="M120" s="27">
        <f>SUMIFS([1]raw_data!I:I,[1]raw_data!$A:$A,$B120)</f>
        <v>105.433336</v>
      </c>
      <c r="N120" s="28">
        <f>SUMIFS([1]raw_data!J:J,[1]raw_data!$A:$A,$B120)</f>
        <v>1.2613690761129699</v>
      </c>
      <c r="O120" s="27">
        <f>SUMIFS([1]raw_data!K:K,[1]raw_data!$A:$A,$B120)</f>
        <v>84.431047000000007</v>
      </c>
      <c r="P120" s="28">
        <f>SUMIFS([1]raw_data!L:L,[1]raw_data!$A:$A,$B120)</f>
        <v>0.24688398849472601</v>
      </c>
      <c r="Q120" s="27">
        <f>SUMIFS([1]raw_data!M:M,[1]raw_data!$A:$A,$B120)</f>
        <v>30.716705999999999</v>
      </c>
      <c r="R120" s="28">
        <f>SUMIFS([1]raw_data!N:N,[1]raw_data!$A:$A,$B120)</f>
        <v>0.199904122722914</v>
      </c>
      <c r="S120" s="27">
        <f>SUMIFS([1]raw_data!O:O,[1]raw_data!$A:$A,$B120)</f>
        <v>174.20262399999999</v>
      </c>
      <c r="T120" s="28">
        <f>SUMIFS([1]raw_data!P:P,[1]raw_data!$A:$A,$B120)</f>
        <v>0.26151560178305999</v>
      </c>
      <c r="U120" s="27">
        <f>SUMIFS([1]raw_data!Q:Q,[1]raw_data!$A:$A,$B120)</f>
        <v>34.650652000000001</v>
      </c>
      <c r="V120" s="28">
        <f>SUMIFS([1]raw_data!R:R,[1]raw_data!$A:$A,$B120)</f>
        <v>0.171867261020307</v>
      </c>
      <c r="W120" s="27">
        <f>SUMIFS([1]raw_data!S:S,[1]raw_data!$A:$A,$B120)</f>
        <v>1298.8766450000001</v>
      </c>
      <c r="X120" s="28">
        <f>SUMIFS([1]raw_data!T:T,[1]raw_data!$A:$A,$B120)</f>
        <v>1.0051706308169499</v>
      </c>
      <c r="Y120" s="27">
        <f>SUMIFS([1]raw_data!U:U,[1]raw_data!$A:$A,$B120)</f>
        <v>42.799655000000001</v>
      </c>
      <c r="Z120" s="28">
        <f>SUMIFS([1]raw_data!V:V,[1]raw_data!$A:$A,$B120)</f>
        <v>0.32523267838676301</v>
      </c>
      <c r="AA120" s="25">
        <f t="shared" si="1"/>
        <v>86.409342399999986</v>
      </c>
    </row>
    <row r="121" spans="1:27" x14ac:dyDescent="0.25">
      <c r="A121" s="40"/>
      <c r="B121" s="25" t="s">
        <v>330</v>
      </c>
      <c r="C121" s="25" t="s">
        <v>331</v>
      </c>
      <c r="D121" s="25" t="s">
        <v>332</v>
      </c>
      <c r="E121" s="25" t="s">
        <v>23</v>
      </c>
      <c r="F121" s="26">
        <f>IFERROR(INDEX([1]raw_data!B:B,MATCH('SAIDI excl MEDs sort (5-yr avg)'!B50,[1]raw_data!A:A,0)),0)</f>
        <v>1055.5555549999999</v>
      </c>
      <c r="G121" s="27">
        <f>SUMIFS([1]raw_data!C:C,[1]raw_data!$A:$A,$B121)</f>
        <v>2574.222209</v>
      </c>
      <c r="H121" s="28">
        <f>SUMIFS([1]raw_data!D:D,[1]raw_data!$A:$A,$B121)</f>
        <v>2.4510250569476</v>
      </c>
      <c r="I121" s="27">
        <f>SUMIFS([1]raw_data!E:E,[1]raw_data!$A:$A,$B121)</f>
        <v>140.663656</v>
      </c>
      <c r="J121" s="28">
        <f>SUMIFS([1]raw_data!F:F,[1]raw_data!$A:$A,$B121)</f>
        <v>1.3883826879271</v>
      </c>
      <c r="K121" s="27">
        <f>SUMIFS([1]raw_data!G:G,[1]raw_data!$A:$A,$B121)</f>
        <v>279.71175799999997</v>
      </c>
      <c r="L121" s="28">
        <f>SUMIFS([1]raw_data!H:H,[1]raw_data!$A:$A,$B121)</f>
        <v>1.8622448979591799</v>
      </c>
      <c r="M121" s="27">
        <f>SUMIFS([1]raw_data!I:I,[1]raw_data!$A:$A,$B121)</f>
        <v>196.90589</v>
      </c>
      <c r="N121" s="28">
        <f>SUMIFS([1]raw_data!J:J,[1]raw_data!$A:$A,$B121)</f>
        <v>1.7998866213151901</v>
      </c>
      <c r="O121" s="27">
        <f>SUMIFS([1]raw_data!K:K,[1]raw_data!$A:$A,$B121)</f>
        <v>124.283995</v>
      </c>
      <c r="P121" s="28">
        <f>SUMIFS([1]raw_data!L:L,[1]raw_data!$A:$A,$B121)</f>
        <v>0.54906409529211497</v>
      </c>
      <c r="Q121" s="27">
        <f>SUMIFS([1]raw_data!M:M,[1]raw_data!$A:$A,$B121)</f>
        <v>44.254877999999998</v>
      </c>
      <c r="R121" s="28">
        <f>SUMIFS([1]raw_data!N:N,[1]raw_data!$A:$A,$B121)</f>
        <v>0.44923425978445802</v>
      </c>
      <c r="S121" s="27">
        <f>SUMIFS([1]raw_data!O:O,[1]raw_data!$A:$A,$B121)</f>
        <v>31.84592</v>
      </c>
      <c r="T121" s="28">
        <f>SUMIFS([1]raw_data!P:P,[1]raw_data!$A:$A,$B121)</f>
        <v>0.271485486624928</v>
      </c>
      <c r="U121" s="27">
        <f>SUMIFS([1]raw_data!Q:Q,[1]raw_data!$A:$A,$B121)</f>
        <v>31.575934</v>
      </c>
      <c r="V121" s="28">
        <f>SUMIFS([1]raw_data!R:R,[1]raw_data!$A:$A,$B121)</f>
        <v>0.27091633466135401</v>
      </c>
      <c r="W121" s="27">
        <f>SUMIFS([1]raw_data!S:S,[1]raw_data!$A:$A,$B121)</f>
        <v>284.78255000000001</v>
      </c>
      <c r="X121" s="28">
        <f>SUMIFS([1]raw_data!T:T,[1]raw_data!$A:$A,$B121)</f>
        <v>1.52173913043478</v>
      </c>
      <c r="Y121" s="27">
        <f>SUMIFS([1]raw_data!U:U,[1]raw_data!$A:$A,$B121)</f>
        <v>18.078565000000001</v>
      </c>
      <c r="Z121" s="28">
        <f>SUMIFS([1]raw_data!V:V,[1]raw_data!$A:$A,$B121)</f>
        <v>0.21052631578947301</v>
      </c>
      <c r="AA121" s="25">
        <f t="shared" si="1"/>
        <v>86.295784600000019</v>
      </c>
    </row>
    <row r="122" spans="1:27" ht="14.45" customHeight="1" x14ac:dyDescent="0.25">
      <c r="A122" s="40"/>
      <c r="B122" s="25" t="s">
        <v>333</v>
      </c>
      <c r="C122" s="25" t="s">
        <v>95</v>
      </c>
      <c r="D122" s="25" t="s">
        <v>334</v>
      </c>
      <c r="E122" s="25" t="s">
        <v>19</v>
      </c>
      <c r="F122" s="26">
        <f>IFERROR(INDEX([1]raw_data!B:B,MATCH('SAIDI excl MEDs sort (5-yr avg)'!B39,[1]raw_data!A:A,0)),0)</f>
        <v>70</v>
      </c>
      <c r="G122" s="27">
        <f>SUMIFS([1]raw_data!C:C,[1]raw_data!$A:$A,$B122)</f>
        <v>185.82223099999999</v>
      </c>
      <c r="H122" s="28">
        <f>SUMIFS([1]raw_data!D:D,[1]raw_data!$A:$A,$B122)</f>
        <v>0.72241294752329499</v>
      </c>
      <c r="I122" s="27">
        <f>SUMIFS([1]raw_data!E:E,[1]raw_data!$A:$A,$B122)</f>
        <v>185.00630000000001</v>
      </c>
      <c r="J122" s="28">
        <f>SUMIFS([1]raw_data!F:F,[1]raw_data!$A:$A,$B122)</f>
        <v>0.72143207454634595</v>
      </c>
      <c r="K122" s="27">
        <f>SUMIFS([1]raw_data!G:G,[1]raw_data!$A:$A,$B122)</f>
        <v>190.52236600000001</v>
      </c>
      <c r="L122" s="28">
        <f>SUMIFS([1]raw_data!H:H,[1]raw_data!$A:$A,$B122)</f>
        <v>1.2207602339181201</v>
      </c>
      <c r="M122" s="27">
        <f>SUMIFS([1]raw_data!I:I,[1]raw_data!$A:$A,$B122)</f>
        <v>31.917204000000002</v>
      </c>
      <c r="N122" s="28">
        <f>SUMIFS([1]raw_data!J:J,[1]raw_data!$A:$A,$B122)</f>
        <v>0.19980506822611999</v>
      </c>
      <c r="O122" s="27">
        <f>SUMIFS([1]raw_data!K:K,[1]raw_data!$A:$A,$B122)</f>
        <v>119.944985</v>
      </c>
      <c r="P122" s="28">
        <f>SUMIFS([1]raw_data!L:L,[1]raw_data!$A:$A,$B122)</f>
        <v>1.16869819600195</v>
      </c>
      <c r="Q122" s="27">
        <f>SUMIFS([1]raw_data!M:M,[1]raw_data!$A:$A,$B122)</f>
        <v>78.624459000000002</v>
      </c>
      <c r="R122" s="28">
        <f>SUMIFS([1]raw_data!N:N,[1]raw_data!$A:$A,$B122)</f>
        <v>1.0848366650414401</v>
      </c>
      <c r="S122" s="27">
        <f>SUMIFS([1]raw_data!O:O,[1]raw_data!$A:$A,$B122)</f>
        <v>267.78653500000001</v>
      </c>
      <c r="T122" s="28">
        <f>SUMIFS([1]raw_data!P:P,[1]raw_data!$A:$A,$B122)</f>
        <v>1.17951219512195</v>
      </c>
      <c r="U122" s="27">
        <f>SUMIFS([1]raw_data!Q:Q,[1]raw_data!$A:$A,$B122)</f>
        <v>86.893983000000006</v>
      </c>
      <c r="V122" s="28">
        <f>SUMIFS([1]raw_data!R:R,[1]raw_data!$A:$A,$B122)</f>
        <v>1.06243902439024</v>
      </c>
      <c r="W122" s="27">
        <f>SUMIFS([1]raw_data!S:S,[1]raw_data!$A:$A,$B122)</f>
        <v>90.735208</v>
      </c>
      <c r="X122" s="28">
        <f>SUMIFS([1]raw_data!T:T,[1]raw_data!$A:$A,$B122)</f>
        <v>0.20411160058737099</v>
      </c>
      <c r="Y122" s="27">
        <f>SUMIFS([1]raw_data!U:U,[1]raw_data!$A:$A,$B122)</f>
        <v>45.126340999999996</v>
      </c>
      <c r="Z122" s="28">
        <f>SUMIFS([1]raw_data!V:V,[1]raw_data!$A:$A,$B122)</f>
        <v>0.18159569260890801</v>
      </c>
      <c r="AA122" s="25">
        <f t="shared" si="1"/>
        <v>85.513657399999985</v>
      </c>
    </row>
    <row r="123" spans="1:27" x14ac:dyDescent="0.25">
      <c r="A123" s="40"/>
      <c r="B123" s="25" t="s">
        <v>335</v>
      </c>
      <c r="C123" s="25" t="s">
        <v>70</v>
      </c>
      <c r="D123" s="25" t="s">
        <v>336</v>
      </c>
      <c r="E123" s="25" t="s">
        <v>15</v>
      </c>
      <c r="F123" s="26">
        <f>IFERROR(INDEX([1]raw_data!B:B,MATCH('SAIDI excl MEDs sort (5-yr avg)'!B115,[1]raw_data!A:A,0)),0)</f>
        <v>1872.333333</v>
      </c>
      <c r="G123" s="27">
        <f>SUMIFS([1]raw_data!C:C,[1]raw_data!$A:$A,$B123)</f>
        <v>24.787828999999999</v>
      </c>
      <c r="H123" s="28">
        <f>SUMIFS([1]raw_data!D:D,[1]raw_data!$A:$A,$B123)</f>
        <v>0.15432098765432001</v>
      </c>
      <c r="I123" s="27">
        <f>SUMIFS([1]raw_data!E:E,[1]raw_data!$A:$A,$B123)</f>
        <v>24.787828999999999</v>
      </c>
      <c r="J123" s="28">
        <f>SUMIFS([1]raw_data!F:F,[1]raw_data!$A:$A,$B123)</f>
        <v>0.15432098765432001</v>
      </c>
      <c r="K123" s="27">
        <f>SUMIFS([1]raw_data!G:G,[1]raw_data!$A:$A,$B123)</f>
        <v>10.878171</v>
      </c>
      <c r="L123" s="28">
        <f>SUMIFS([1]raw_data!H:H,[1]raw_data!$A:$A,$B123)</f>
        <v>9.0909090909090898E-2</v>
      </c>
      <c r="M123" s="27">
        <f>SUMIFS([1]raw_data!I:I,[1]raw_data!$A:$A,$B123)</f>
        <v>10.878171</v>
      </c>
      <c r="N123" s="28">
        <f>SUMIFS([1]raw_data!J:J,[1]raw_data!$A:$A,$B123)</f>
        <v>9.0909090909090898E-2</v>
      </c>
      <c r="O123" s="27">
        <f>SUMIFS([1]raw_data!K:K,[1]raw_data!$A:$A,$B123)</f>
        <v>65.807647000000003</v>
      </c>
      <c r="P123" s="28">
        <f>SUMIFS([1]raw_data!L:L,[1]raw_data!$A:$A,$B123)</f>
        <v>0.25</v>
      </c>
      <c r="Q123" s="27">
        <f>SUMIFS([1]raw_data!M:M,[1]raw_data!$A:$A,$B123)</f>
        <v>65.807647000000003</v>
      </c>
      <c r="R123" s="28">
        <f>SUMIFS([1]raw_data!N:N,[1]raw_data!$A:$A,$B123)</f>
        <v>0.25</v>
      </c>
      <c r="S123" s="27">
        <f>SUMIFS([1]raw_data!O:O,[1]raw_data!$A:$A,$B123)</f>
        <v>110.972025</v>
      </c>
      <c r="T123" s="28">
        <f>SUMIFS([1]raw_data!P:P,[1]raw_data!$A:$A,$B123)</f>
        <v>0.53054662379421202</v>
      </c>
      <c r="U123" s="27">
        <f>SUMIFS([1]raw_data!Q:Q,[1]raw_data!$A:$A,$B123)</f>
        <v>105.98124300000001</v>
      </c>
      <c r="V123" s="28">
        <f>SUMIFS([1]raw_data!R:R,[1]raw_data!$A:$A,$B123)</f>
        <v>0.52733118971060999</v>
      </c>
      <c r="W123" s="27">
        <f>SUMIFS([1]raw_data!S:S,[1]raw_data!$A:$A,$B123)</f>
        <v>218.07530600000001</v>
      </c>
      <c r="X123" s="28">
        <f>SUMIFS([1]raw_data!T:T,[1]raw_data!$A:$A,$B123)</f>
        <v>0.85284280936454804</v>
      </c>
      <c r="Y123" s="27">
        <f>SUMIFS([1]raw_data!U:U,[1]raw_data!$A:$A,$B123)</f>
        <v>217.24370099999999</v>
      </c>
      <c r="Z123" s="28">
        <f>SUMIFS([1]raw_data!V:V,[1]raw_data!$A:$A,$B123)</f>
        <v>0.84949832775919698</v>
      </c>
      <c r="AA123" s="25">
        <f t="shared" si="1"/>
        <v>84.939718199999987</v>
      </c>
    </row>
    <row r="124" spans="1:27" x14ac:dyDescent="0.25">
      <c r="A124" s="40"/>
      <c r="B124" s="25" t="s">
        <v>337</v>
      </c>
      <c r="C124" s="25" t="s">
        <v>220</v>
      </c>
      <c r="D124" s="25" t="s">
        <v>338</v>
      </c>
      <c r="E124" s="25" t="s">
        <v>27</v>
      </c>
      <c r="F124" s="26">
        <f>IFERROR(INDEX([1]raw_data!B:B,MATCH('SAIDI excl MEDs sort (5-yr avg)'!B129,[1]raw_data!A:A,0)),0)</f>
        <v>301.11111099999999</v>
      </c>
      <c r="G124" s="27">
        <f>SUMIFS([1]raw_data!C:C,[1]raw_data!$A:$A,$B124)</f>
        <v>1085.6509920000001</v>
      </c>
      <c r="H124" s="28">
        <f>SUMIFS([1]raw_data!D:D,[1]raw_data!$A:$A,$B124)</f>
        <v>0.96410256410256401</v>
      </c>
      <c r="I124" s="27">
        <f>SUMIFS([1]raw_data!E:E,[1]raw_data!$A:$A,$B124)</f>
        <v>9.0368340000000007</v>
      </c>
      <c r="J124" s="28">
        <f>SUMIFS([1]raw_data!F:F,[1]raw_data!$A:$A,$B124)</f>
        <v>0.15641025641025599</v>
      </c>
      <c r="K124" s="27">
        <f>SUMIFS([1]raw_data!G:G,[1]raw_data!$A:$A,$B124)</f>
        <v>22.971827000000001</v>
      </c>
      <c r="L124" s="28">
        <f>SUMIFS([1]raw_data!H:H,[1]raw_data!$A:$A,$B124)</f>
        <v>0.2088772845953</v>
      </c>
      <c r="M124" s="27">
        <f>SUMIFS([1]raw_data!I:I,[1]raw_data!$A:$A,$B124)</f>
        <v>22.971827000000001</v>
      </c>
      <c r="N124" s="28">
        <f>SUMIFS([1]raw_data!J:J,[1]raw_data!$A:$A,$B124)</f>
        <v>0.2088772845953</v>
      </c>
      <c r="O124" s="27">
        <f>SUMIFS([1]raw_data!K:K,[1]raw_data!$A:$A,$B124)</f>
        <v>162.124392</v>
      </c>
      <c r="P124" s="28">
        <f>SUMIFS([1]raw_data!L:L,[1]raw_data!$A:$A,$B124)</f>
        <v>0.69270833333333304</v>
      </c>
      <c r="Q124" s="27">
        <f>SUMIFS([1]raw_data!M:M,[1]raw_data!$A:$A,$B124)</f>
        <v>162.124392</v>
      </c>
      <c r="R124" s="28">
        <f>SUMIFS([1]raw_data!N:N,[1]raw_data!$A:$A,$B124)</f>
        <v>0.69270833333333304</v>
      </c>
      <c r="S124" s="27">
        <f>SUMIFS([1]raw_data!O:O,[1]raw_data!$A:$A,$B124)</f>
        <v>35.544443999999999</v>
      </c>
      <c r="T124" s="28">
        <f>SUMIFS([1]raw_data!P:P,[1]raw_data!$A:$A,$B124)</f>
        <v>0.23177083333333301</v>
      </c>
      <c r="U124" s="27">
        <f>SUMIFS([1]raw_data!Q:Q,[1]raw_data!$A:$A,$B124)</f>
        <v>35.544443999999999</v>
      </c>
      <c r="V124" s="28">
        <f>SUMIFS([1]raw_data!R:R,[1]raw_data!$A:$A,$B124)</f>
        <v>0.23177083333333301</v>
      </c>
      <c r="W124" s="27">
        <f>SUMIFS([1]raw_data!S:S,[1]raw_data!$A:$A,$B124)</f>
        <v>270.36300699999998</v>
      </c>
      <c r="X124" s="28">
        <f>SUMIFS([1]raw_data!T:T,[1]raw_data!$A:$A,$B124)</f>
        <v>0.51587301587301504</v>
      </c>
      <c r="Y124" s="27">
        <f>SUMIFS([1]raw_data!U:U,[1]raw_data!$A:$A,$B124)</f>
        <v>194.94135800000001</v>
      </c>
      <c r="Z124" s="28">
        <f>SUMIFS([1]raw_data!V:V,[1]raw_data!$A:$A,$B124)</f>
        <v>0.43915343915343902</v>
      </c>
      <c r="AA124" s="25">
        <f t="shared" si="1"/>
        <v>84.923771000000016</v>
      </c>
    </row>
    <row r="125" spans="1:27" x14ac:dyDescent="0.25">
      <c r="A125" s="40"/>
      <c r="B125" s="25" t="s">
        <v>339</v>
      </c>
      <c r="C125" s="25" t="s">
        <v>271</v>
      </c>
      <c r="D125" s="25" t="s">
        <v>340</v>
      </c>
      <c r="E125" s="25" t="s">
        <v>23</v>
      </c>
      <c r="F125" s="26">
        <f>IFERROR(INDEX([1]raw_data!B:B,MATCH('SAIDI excl MEDs sort (5-yr avg)'!B42,[1]raw_data!A:A,0)),0)</f>
        <v>2147</v>
      </c>
      <c r="G125" s="27">
        <f>SUMIFS([1]raw_data!C:C,[1]raw_data!$A:$A,$B125)</f>
        <v>168.65524500000001</v>
      </c>
      <c r="H125" s="28">
        <f>SUMIFS([1]raw_data!D:D,[1]raw_data!$A:$A,$B125)</f>
        <v>0.62386511024643299</v>
      </c>
      <c r="I125" s="27">
        <f>SUMIFS([1]raw_data!E:E,[1]raw_data!$A:$A,$B125)</f>
        <v>160.49422899999999</v>
      </c>
      <c r="J125" s="28">
        <f>SUMIFS([1]raw_data!F:F,[1]raw_data!$A:$A,$B125)</f>
        <v>0.58754863813229496</v>
      </c>
      <c r="K125" s="27">
        <f>SUMIFS([1]raw_data!G:G,[1]raw_data!$A:$A,$B125)</f>
        <v>120.254999</v>
      </c>
      <c r="L125" s="28">
        <f>SUMIFS([1]raw_data!H:H,[1]raw_data!$A:$A,$B125)</f>
        <v>0.61249999999999905</v>
      </c>
      <c r="M125" s="27">
        <f>SUMIFS([1]raw_data!I:I,[1]raw_data!$A:$A,$B125)</f>
        <v>117.373418</v>
      </c>
      <c r="N125" s="28">
        <f>SUMIFS([1]raw_data!J:J,[1]raw_data!$A:$A,$B125)</f>
        <v>0.61111111111111105</v>
      </c>
      <c r="O125" s="27">
        <f>SUMIFS([1]raw_data!K:K,[1]raw_data!$A:$A,$B125)</f>
        <v>286.845438</v>
      </c>
      <c r="P125" s="28">
        <f>SUMIFS([1]raw_data!L:L,[1]raw_data!$A:$A,$B125)</f>
        <v>1.2486842105263101</v>
      </c>
      <c r="Q125" s="27">
        <f>SUMIFS([1]raw_data!M:M,[1]raw_data!$A:$A,$B125)</f>
        <v>33.01614</v>
      </c>
      <c r="R125" s="28">
        <f>SUMIFS([1]raw_data!N:N,[1]raw_data!$A:$A,$B125)</f>
        <v>0.84605263157894695</v>
      </c>
      <c r="S125" s="27">
        <f>SUMIFS([1]raw_data!O:O,[1]raw_data!$A:$A,$B125)</f>
        <v>54.687640999999999</v>
      </c>
      <c r="T125" s="28">
        <f>SUMIFS([1]raw_data!P:P,[1]raw_data!$A:$A,$B125)</f>
        <v>0.63337893296853598</v>
      </c>
      <c r="U125" s="27">
        <f>SUMIFS([1]raw_data!Q:Q,[1]raw_data!$A:$A,$B125)</f>
        <v>43.643318999999998</v>
      </c>
      <c r="V125" s="28">
        <f>SUMIFS([1]raw_data!R:R,[1]raw_data!$A:$A,$B125)</f>
        <v>0.60054719562243497</v>
      </c>
      <c r="W125" s="27">
        <f>SUMIFS([1]raw_data!S:S,[1]raw_data!$A:$A,$B125)</f>
        <v>81.047413000000006</v>
      </c>
      <c r="X125" s="28">
        <f>SUMIFS([1]raw_data!T:T,[1]raw_data!$A:$A,$B125)</f>
        <v>0.34680573663624498</v>
      </c>
      <c r="Y125" s="27">
        <f>SUMIFS([1]raw_data!U:U,[1]raw_data!$A:$A,$B125)</f>
        <v>65.136135999999993</v>
      </c>
      <c r="Z125" s="28">
        <f>SUMIFS([1]raw_data!V:V,[1]raw_data!$A:$A,$B125)</f>
        <v>0.302477183833116</v>
      </c>
      <c r="AA125" s="25">
        <f t="shared" si="1"/>
        <v>83.932648399999991</v>
      </c>
    </row>
    <row r="126" spans="1:27" x14ac:dyDescent="0.25">
      <c r="A126" s="40"/>
      <c r="B126" s="25" t="s">
        <v>341</v>
      </c>
      <c r="C126" s="25" t="s">
        <v>139</v>
      </c>
      <c r="D126" s="25" t="s">
        <v>342</v>
      </c>
      <c r="E126" s="25" t="s">
        <v>19</v>
      </c>
      <c r="F126" s="26">
        <f>IFERROR(INDEX([1]raw_data!B:B,MATCH('SAIDI excl MEDs sort (5-yr avg)'!B90,[1]raw_data!A:A,0)),0)</f>
        <v>2555</v>
      </c>
      <c r="G126" s="27">
        <f>SUMIFS([1]raw_data!C:C,[1]raw_data!$A:$A,$B126)</f>
        <v>315.4726</v>
      </c>
      <c r="H126" s="28">
        <f>SUMIFS([1]raw_data!D:D,[1]raw_data!$A:$A,$B126)</f>
        <v>0.82879146919431201</v>
      </c>
      <c r="I126" s="27">
        <f>SUMIFS([1]raw_data!E:E,[1]raw_data!$A:$A,$B126)</f>
        <v>57.907304000000003</v>
      </c>
      <c r="J126" s="28">
        <f>SUMIFS([1]raw_data!F:F,[1]raw_data!$A:$A,$B126)</f>
        <v>0.244075829383886</v>
      </c>
      <c r="K126" s="27">
        <f>SUMIFS([1]raw_data!G:G,[1]raw_data!$A:$A,$B126)</f>
        <v>749.00050199999998</v>
      </c>
      <c r="L126" s="28">
        <f>SUMIFS([1]raw_data!H:H,[1]raw_data!$A:$A,$B126)</f>
        <v>2.3219137625516799</v>
      </c>
      <c r="M126" s="27">
        <f>SUMIFS([1]raw_data!I:I,[1]raw_data!$A:$A,$B126)</f>
        <v>19.836219</v>
      </c>
      <c r="N126" s="28">
        <f>SUMIFS([1]raw_data!J:J,[1]raw_data!$A:$A,$B126)</f>
        <v>0.91376255168340204</v>
      </c>
      <c r="O126" s="27">
        <f>SUMIFS([1]raw_data!K:K,[1]raw_data!$A:$A,$B126)</f>
        <v>127.02940700000001</v>
      </c>
      <c r="P126" s="28">
        <f>SUMIFS([1]raw_data!L:L,[1]raw_data!$A:$A,$B126)</f>
        <v>0.92069171138938499</v>
      </c>
      <c r="Q126" s="27">
        <f>SUMIFS([1]raw_data!M:M,[1]raw_data!$A:$A,$B126)</f>
        <v>75.182338999999999</v>
      </c>
      <c r="R126" s="28">
        <f>SUMIFS([1]raw_data!N:N,[1]raw_data!$A:$A,$B126)</f>
        <v>0.90339892665473998</v>
      </c>
      <c r="S126" s="27">
        <f>SUMIFS([1]raw_data!O:O,[1]raw_data!$A:$A,$B126)</f>
        <v>164.81482600000001</v>
      </c>
      <c r="T126" s="28">
        <f>SUMIFS([1]raw_data!P:P,[1]raw_data!$A:$A,$B126)</f>
        <v>1.2675709001233</v>
      </c>
      <c r="U126" s="27">
        <f>SUMIFS([1]raw_data!Q:Q,[1]raw_data!$A:$A,$B126)</f>
        <v>163.38915900000001</v>
      </c>
      <c r="V126" s="28">
        <f>SUMIFS([1]raw_data!R:R,[1]raw_data!$A:$A,$B126)</f>
        <v>1.26510480887792</v>
      </c>
      <c r="W126" s="27">
        <f>SUMIFS([1]raw_data!S:S,[1]raw_data!$A:$A,$B126)</f>
        <v>329.49783500000001</v>
      </c>
      <c r="X126" s="28">
        <f>SUMIFS([1]raw_data!T:T,[1]raw_data!$A:$A,$B126)</f>
        <v>1.23747680890538</v>
      </c>
      <c r="Y126" s="27">
        <f>SUMIFS([1]raw_data!U:U,[1]raw_data!$A:$A,$B126)</f>
        <v>100.18205500000001</v>
      </c>
      <c r="Z126" s="28">
        <f>SUMIFS([1]raw_data!V:V,[1]raw_data!$A:$A,$B126)</f>
        <v>0.83858998144712404</v>
      </c>
      <c r="AA126" s="25">
        <f t="shared" si="1"/>
        <v>83.299415199999999</v>
      </c>
    </row>
    <row r="127" spans="1:27" x14ac:dyDescent="0.25">
      <c r="A127" s="40"/>
      <c r="B127" s="25" t="s">
        <v>343</v>
      </c>
      <c r="C127" s="25" t="s">
        <v>162</v>
      </c>
      <c r="D127" s="25" t="s">
        <v>344</v>
      </c>
      <c r="E127" s="25" t="s">
        <v>76</v>
      </c>
      <c r="F127" s="26">
        <f>IFERROR(INDEX([1]raw_data!B:B,MATCH('SAIDI excl MEDs sort (5-yr avg)'!B61,[1]raw_data!A:A,0)),0)</f>
        <v>410.16666600000002</v>
      </c>
      <c r="G127" s="27">
        <f>SUMIFS([1]raw_data!C:C,[1]raw_data!$A:$A,$B127)</f>
        <v>2444.77054</v>
      </c>
      <c r="H127" s="28">
        <f>SUMIFS([1]raw_data!D:D,[1]raw_data!$A:$A,$B127)</f>
        <v>0.53571428571428503</v>
      </c>
      <c r="I127" s="27">
        <f>SUMIFS([1]raw_data!E:E,[1]raw_data!$A:$A,$B127)</f>
        <v>111.517708</v>
      </c>
      <c r="J127" s="28">
        <f>SUMIFS([1]raw_data!F:F,[1]raw_data!$A:$A,$B127)</f>
        <v>0.115384615384615</v>
      </c>
      <c r="K127" s="27">
        <f>SUMIFS([1]raw_data!G:G,[1]raw_data!$A:$A,$B127)</f>
        <v>32.871737000000003</v>
      </c>
      <c r="L127" s="28">
        <f>SUMIFS([1]raw_data!H:H,[1]raw_data!$A:$A,$B127)</f>
        <v>0.13150684931506801</v>
      </c>
      <c r="M127" s="27">
        <f>SUMIFS([1]raw_data!I:I,[1]raw_data!$A:$A,$B127)</f>
        <v>32.871737000000003</v>
      </c>
      <c r="N127" s="28">
        <f>SUMIFS([1]raw_data!J:J,[1]raw_data!$A:$A,$B127)</f>
        <v>0.13150684931506801</v>
      </c>
      <c r="O127" s="27">
        <f>SUMIFS([1]raw_data!K:K,[1]raw_data!$A:$A,$B127)</f>
        <v>16.626887</v>
      </c>
      <c r="P127" s="28">
        <f>SUMIFS([1]raw_data!L:L,[1]raw_data!$A:$A,$B127)</f>
        <v>0.12983425414364599</v>
      </c>
      <c r="Q127" s="27">
        <f>SUMIFS([1]raw_data!M:M,[1]raw_data!$A:$A,$B127)</f>
        <v>16.626887</v>
      </c>
      <c r="R127" s="28">
        <f>SUMIFS([1]raw_data!N:N,[1]raw_data!$A:$A,$B127)</f>
        <v>0.12983425414364599</v>
      </c>
      <c r="S127" s="27">
        <f>SUMIFS([1]raw_data!O:O,[1]raw_data!$A:$A,$B127)</f>
        <v>241.086815</v>
      </c>
      <c r="T127" s="28">
        <f>SUMIFS([1]raw_data!P:P,[1]raw_data!$A:$A,$B127)</f>
        <v>1.0919220055710299</v>
      </c>
      <c r="U127" s="27">
        <f>SUMIFS([1]raw_data!Q:Q,[1]raw_data!$A:$A,$B127)</f>
        <v>241.086815</v>
      </c>
      <c r="V127" s="28">
        <f>SUMIFS([1]raw_data!R:R,[1]raw_data!$A:$A,$B127)</f>
        <v>1.0919220055710299</v>
      </c>
      <c r="W127" s="27">
        <f>SUMIFS([1]raw_data!S:S,[1]raw_data!$A:$A,$B127)</f>
        <v>14.389282</v>
      </c>
      <c r="X127" s="28">
        <f>SUMIFS([1]raw_data!T:T,[1]raw_data!$A:$A,$B127)</f>
        <v>0.17404129793510301</v>
      </c>
      <c r="Y127" s="27">
        <f>SUMIFS([1]raw_data!U:U,[1]raw_data!$A:$A,$B127)</f>
        <v>14.389282</v>
      </c>
      <c r="Z127" s="28">
        <f>SUMIFS([1]raw_data!V:V,[1]raw_data!$A:$A,$B127)</f>
        <v>0.17404129793510301</v>
      </c>
      <c r="AA127" s="25">
        <f t="shared" si="1"/>
        <v>83.298485800000009</v>
      </c>
    </row>
    <row r="128" spans="1:27" x14ac:dyDescent="0.25">
      <c r="A128" s="40"/>
      <c r="B128" s="25" t="s">
        <v>345</v>
      </c>
      <c r="C128" s="25" t="s">
        <v>317</v>
      </c>
      <c r="D128" s="25" t="s">
        <v>346</v>
      </c>
      <c r="E128" s="25" t="s">
        <v>23</v>
      </c>
      <c r="F128" s="26">
        <f>IFERROR(INDEX([1]raw_data!B:B,MATCH('SAIDI excl MEDs sort (5-yr avg)'!B185,[1]raw_data!A:A,0)),0)</f>
        <v>0</v>
      </c>
      <c r="G128" s="27">
        <f>SUMIFS([1]raw_data!C:C,[1]raw_data!$A:$A,$B128)</f>
        <v>38.235332</v>
      </c>
      <c r="H128" s="28">
        <f>SUMIFS([1]raw_data!D:D,[1]raw_data!$A:$A,$B128)</f>
        <v>1.6E-2</v>
      </c>
      <c r="I128" s="27">
        <f>SUMIFS([1]raw_data!E:E,[1]raw_data!$A:$A,$B128)</f>
        <v>0</v>
      </c>
      <c r="J128" s="28">
        <f>SUMIFS([1]raw_data!F:F,[1]raw_data!$A:$A,$B128)</f>
        <v>0</v>
      </c>
      <c r="K128" s="27">
        <f>SUMIFS([1]raw_data!G:G,[1]raw_data!$A:$A,$B128)</f>
        <v>56.648432</v>
      </c>
      <c r="L128" s="28">
        <f>SUMIFS([1]raw_data!H:H,[1]raw_data!$A:$A,$B128)</f>
        <v>0.26771653543307</v>
      </c>
      <c r="M128" s="27">
        <f>SUMIFS([1]raw_data!I:I,[1]raw_data!$A:$A,$B128)</f>
        <v>56.648432</v>
      </c>
      <c r="N128" s="28">
        <f>SUMIFS([1]raw_data!J:J,[1]raw_data!$A:$A,$B128)</f>
        <v>0.26771653543307</v>
      </c>
      <c r="O128" s="27">
        <f>SUMIFS([1]raw_data!K:K,[1]raw_data!$A:$A,$B128)</f>
        <v>165.77317600000001</v>
      </c>
      <c r="P128" s="28">
        <f>SUMIFS([1]raw_data!L:L,[1]raw_data!$A:$A,$B128)</f>
        <v>1.015625</v>
      </c>
      <c r="Q128" s="27">
        <f>SUMIFS([1]raw_data!M:M,[1]raw_data!$A:$A,$B128)</f>
        <v>153.50156200000001</v>
      </c>
      <c r="R128" s="28">
        <f>SUMIFS([1]raw_data!N:N,[1]raw_data!$A:$A,$B128)</f>
        <v>1.0078125</v>
      </c>
      <c r="S128" s="27">
        <f>SUMIFS([1]raw_data!O:O,[1]raw_data!$A:$A,$B128)</f>
        <v>175.81005200000001</v>
      </c>
      <c r="T128" s="28">
        <f>SUMIFS([1]raw_data!P:P,[1]raw_data!$A:$A,$B128)</f>
        <v>1.23015873015873</v>
      </c>
      <c r="U128" s="27">
        <f>SUMIFS([1]raw_data!Q:Q,[1]raw_data!$A:$A,$B128)</f>
        <v>175.81005200000001</v>
      </c>
      <c r="V128" s="28">
        <f>SUMIFS([1]raw_data!R:R,[1]raw_data!$A:$A,$B128)</f>
        <v>1.23015873015873</v>
      </c>
      <c r="W128" s="27">
        <f>SUMIFS([1]raw_data!S:S,[1]raw_data!$A:$A,$B128)</f>
        <v>56.615537000000003</v>
      </c>
      <c r="X128" s="28">
        <f>SUMIFS([1]raw_data!T:T,[1]raw_data!$A:$A,$B128)</f>
        <v>9.3749999999999903E-2</v>
      </c>
      <c r="Y128" s="27">
        <f>SUMIFS([1]raw_data!U:U,[1]raw_data!$A:$A,$B128)</f>
        <v>15.605815</v>
      </c>
      <c r="Z128" s="28">
        <f>SUMIFS([1]raw_data!V:V,[1]raw_data!$A:$A,$B128)</f>
        <v>2.6041666666666598E-2</v>
      </c>
      <c r="AA128" s="25">
        <f t="shared" si="1"/>
        <v>80.313172200000011</v>
      </c>
    </row>
    <row r="129" spans="1:27" x14ac:dyDescent="0.25">
      <c r="A129" s="40"/>
      <c r="B129" s="25" t="s">
        <v>347</v>
      </c>
      <c r="C129" s="25" t="s">
        <v>211</v>
      </c>
      <c r="D129" s="25" t="s">
        <v>348</v>
      </c>
      <c r="E129" s="25" t="s">
        <v>76</v>
      </c>
      <c r="F129" s="26">
        <f>IFERROR(INDEX([1]raw_data!B:B,MATCH('SAIDI excl MEDs sort (5-yr avg)'!B98,[1]raw_data!A:A,0)),0)</f>
        <v>1161</v>
      </c>
      <c r="G129" s="27">
        <f>SUMIFS([1]raw_data!C:C,[1]raw_data!$A:$A,$B129)</f>
        <v>208.15699799999999</v>
      </c>
      <c r="H129" s="28">
        <f>SUMIFS([1]raw_data!D:D,[1]raw_data!$A:$A,$B129)</f>
        <v>0.32781456953642302</v>
      </c>
      <c r="I129" s="27">
        <f>SUMIFS([1]raw_data!E:E,[1]raw_data!$A:$A,$B129)</f>
        <v>45.901795</v>
      </c>
      <c r="J129" s="28">
        <f>SUMIFS([1]raw_data!F:F,[1]raw_data!$A:$A,$B129)</f>
        <v>0.26821192052980097</v>
      </c>
      <c r="K129" s="27">
        <f>SUMIFS([1]raw_data!G:G,[1]raw_data!$A:$A,$B129)</f>
        <v>22.235533</v>
      </c>
      <c r="L129" s="28">
        <f>SUMIFS([1]raw_data!H:H,[1]raw_data!$A:$A,$B129)</f>
        <v>6.3333333333333297E-2</v>
      </c>
      <c r="M129" s="27">
        <f>SUMIFS([1]raw_data!I:I,[1]raw_data!$A:$A,$B129)</f>
        <v>22.235533</v>
      </c>
      <c r="N129" s="28">
        <f>SUMIFS([1]raw_data!J:J,[1]raw_data!$A:$A,$B129)</f>
        <v>6.3333333333333297E-2</v>
      </c>
      <c r="O129" s="27">
        <f>SUMIFS([1]raw_data!K:K,[1]raw_data!$A:$A,$B129)</f>
        <v>299.79972099999998</v>
      </c>
      <c r="P129" s="28">
        <f>SUMIFS([1]raw_data!L:L,[1]raw_data!$A:$A,$B129)</f>
        <v>2.0299999999999998</v>
      </c>
      <c r="Q129" s="27">
        <f>SUMIFS([1]raw_data!M:M,[1]raw_data!$A:$A,$B129)</f>
        <v>294.83905499999997</v>
      </c>
      <c r="R129" s="28">
        <f>SUMIFS([1]raw_data!N:N,[1]raw_data!$A:$A,$B129)</f>
        <v>1.99</v>
      </c>
      <c r="S129" s="27">
        <f>SUMIFS([1]raw_data!O:O,[1]raw_data!$A:$A,$B129)</f>
        <v>85.105553999999998</v>
      </c>
      <c r="T129" s="28">
        <f>SUMIFS([1]raw_data!P:P,[1]raw_data!$A:$A,$B129)</f>
        <v>0.198019801980198</v>
      </c>
      <c r="U129" s="27">
        <f>SUMIFS([1]raw_data!Q:Q,[1]raw_data!$A:$A,$B129)</f>
        <v>19.719525999999998</v>
      </c>
      <c r="V129" s="28">
        <f>SUMIFS([1]raw_data!R:R,[1]raw_data!$A:$A,$B129)</f>
        <v>0.16171617161716101</v>
      </c>
      <c r="W129" s="27">
        <f>SUMIFS([1]raw_data!S:S,[1]raw_data!$A:$A,$B129)</f>
        <v>391.40355399999999</v>
      </c>
      <c r="X129" s="28">
        <f>SUMIFS([1]raw_data!T:T,[1]raw_data!$A:$A,$B129)</f>
        <v>0.40333333333333299</v>
      </c>
      <c r="Y129" s="27">
        <f>SUMIFS([1]raw_data!U:U,[1]raw_data!$A:$A,$B129)</f>
        <v>10.427777000000001</v>
      </c>
      <c r="Z129" s="28">
        <f>SUMIFS([1]raw_data!V:V,[1]raw_data!$A:$A,$B129)</f>
        <v>0.05</v>
      </c>
      <c r="AA129" s="25">
        <f t="shared" si="1"/>
        <v>78.624737199999984</v>
      </c>
    </row>
    <row r="130" spans="1:27" x14ac:dyDescent="0.25">
      <c r="A130" s="40"/>
      <c r="B130" s="25" t="s">
        <v>349</v>
      </c>
      <c r="C130" s="25" t="s">
        <v>350</v>
      </c>
      <c r="D130" s="25" t="s">
        <v>351</v>
      </c>
      <c r="E130" s="25" t="s">
        <v>15</v>
      </c>
      <c r="F130" s="26">
        <f>IFERROR(INDEX([1]raw_data!B:B,MATCH('SAIDI excl MEDs sort (5-yr avg)'!B108,[1]raw_data!A:A,0)),0)</f>
        <v>2000.375</v>
      </c>
      <c r="G130" s="27">
        <f>SUMIFS([1]raw_data!C:C,[1]raw_data!$A:$A,$B130)</f>
        <v>67.066113000000001</v>
      </c>
      <c r="H130" s="28">
        <f>SUMIFS([1]raw_data!D:D,[1]raw_data!$A:$A,$B130)</f>
        <v>0.29568788501026599</v>
      </c>
      <c r="I130" s="27">
        <f>SUMIFS([1]raw_data!E:E,[1]raw_data!$A:$A,$B130)</f>
        <v>30.899640999999999</v>
      </c>
      <c r="J130" s="28">
        <f>SUMIFS([1]raw_data!F:F,[1]raw_data!$A:$A,$B130)</f>
        <v>0.27412731006160101</v>
      </c>
      <c r="K130" s="27">
        <f>SUMIFS([1]raw_data!G:G,[1]raw_data!$A:$A,$B130)</f>
        <v>103.91823100000001</v>
      </c>
      <c r="L130" s="28">
        <f>SUMIFS([1]raw_data!H:H,[1]raw_data!$A:$A,$B130)</f>
        <v>0.67214799588900298</v>
      </c>
      <c r="M130" s="27">
        <f>SUMIFS([1]raw_data!I:I,[1]raw_data!$A:$A,$B130)</f>
        <v>101.954038</v>
      </c>
      <c r="N130" s="28">
        <f>SUMIFS([1]raw_data!J:J,[1]raw_data!$A:$A,$B130)</f>
        <v>0.66803699897225</v>
      </c>
      <c r="O130" s="27">
        <f>SUMIFS([1]raw_data!K:K,[1]raw_data!$A:$A,$B130)</f>
        <v>219.99953600000001</v>
      </c>
      <c r="P130" s="28">
        <f>SUMIFS([1]raw_data!L:L,[1]raw_data!$A:$A,$B130)</f>
        <v>1.56937307297019</v>
      </c>
      <c r="Q130" s="27">
        <f>SUMIFS([1]raw_data!M:M,[1]raw_data!$A:$A,$B130)</f>
        <v>212.09837200000001</v>
      </c>
      <c r="R130" s="28">
        <f>SUMIFS([1]raw_data!N:N,[1]raw_data!$A:$A,$B130)</f>
        <v>1.5601233299074999</v>
      </c>
      <c r="S130" s="27">
        <f>SUMIFS([1]raw_data!O:O,[1]raw_data!$A:$A,$B130)</f>
        <v>10.510277</v>
      </c>
      <c r="T130" s="28">
        <f>SUMIFS([1]raw_data!P:P,[1]raw_data!$A:$A,$B130)</f>
        <v>7.5025693730729703E-2</v>
      </c>
      <c r="U130" s="27">
        <f>SUMIFS([1]raw_data!Q:Q,[1]raw_data!$A:$A,$B130)</f>
        <v>10.510277</v>
      </c>
      <c r="V130" s="28">
        <f>SUMIFS([1]raw_data!R:R,[1]raw_data!$A:$A,$B130)</f>
        <v>7.5025693730729703E-2</v>
      </c>
      <c r="W130" s="27">
        <f>SUMIFS([1]raw_data!S:S,[1]raw_data!$A:$A,$B130)</f>
        <v>39.170879999999997</v>
      </c>
      <c r="X130" s="28">
        <f>SUMIFS([1]raw_data!T:T,[1]raw_data!$A:$A,$B130)</f>
        <v>0.14093264248704601</v>
      </c>
      <c r="Y130" s="27">
        <f>SUMIFS([1]raw_data!U:U,[1]raw_data!$A:$A,$B130)</f>
        <v>32.323729999999998</v>
      </c>
      <c r="Z130" s="28">
        <f>SUMIFS([1]raw_data!V:V,[1]raw_data!$A:$A,$B130)</f>
        <v>0.13471502590673501</v>
      </c>
      <c r="AA130" s="25">
        <f t="shared" si="1"/>
        <v>77.557211599999988</v>
      </c>
    </row>
    <row r="131" spans="1:27" x14ac:dyDescent="0.25">
      <c r="A131" s="40"/>
      <c r="B131" s="25" t="s">
        <v>352</v>
      </c>
      <c r="C131" s="25" t="s">
        <v>353</v>
      </c>
      <c r="D131" s="25" t="s">
        <v>354</v>
      </c>
      <c r="E131" s="25" t="s">
        <v>27</v>
      </c>
      <c r="F131" s="26">
        <f>IFERROR(INDEX([1]raw_data!B:B,MATCH('SAIDI excl MEDs sort (5-yr avg)'!B54,[1]raw_data!A:A,0)),0)</f>
        <v>3716.4</v>
      </c>
      <c r="G131" s="27">
        <f>SUMIFS([1]raw_data!C:C,[1]raw_data!$A:$A,$B131)</f>
        <v>1263.712681</v>
      </c>
      <c r="H131" s="28">
        <f>SUMIFS([1]raw_data!D:D,[1]raw_data!$A:$A,$B131)</f>
        <v>4.5738461538461497</v>
      </c>
      <c r="I131" s="27">
        <f>SUMIFS([1]raw_data!E:E,[1]raw_data!$A:$A,$B131)</f>
        <v>134.59377499999999</v>
      </c>
      <c r="J131" s="28">
        <f>SUMIFS([1]raw_data!F:F,[1]raw_data!$A:$A,$B131)</f>
        <v>1.7234615384615299</v>
      </c>
      <c r="K131" s="27">
        <f>SUMIFS([1]raw_data!G:G,[1]raw_data!$A:$A,$B131)</f>
        <v>109.77131900000001</v>
      </c>
      <c r="L131" s="28">
        <f>SUMIFS([1]raw_data!H:H,[1]raw_data!$A:$A,$B131)</f>
        <v>0.45275742383339701</v>
      </c>
      <c r="M131" s="27">
        <f>SUMIFS([1]raw_data!I:I,[1]raw_data!$A:$A,$B131)</f>
        <v>28.331063</v>
      </c>
      <c r="N131" s="28">
        <f>SUMIFS([1]raw_data!J:J,[1]raw_data!$A:$A,$B131)</f>
        <v>0.29926725800231302</v>
      </c>
      <c r="O131" s="27">
        <f>SUMIFS([1]raw_data!K:K,[1]raw_data!$A:$A,$B131)</f>
        <v>238.393055</v>
      </c>
      <c r="P131" s="28">
        <f>SUMIFS([1]raw_data!L:L,[1]raw_data!$A:$A,$B131)</f>
        <v>1.65084876543209</v>
      </c>
      <c r="Q131" s="27">
        <f>SUMIFS([1]raw_data!M:M,[1]raw_data!$A:$A,$B131)</f>
        <v>74.873849000000007</v>
      </c>
      <c r="R131" s="28">
        <f>SUMIFS([1]raw_data!N:N,[1]raw_data!$A:$A,$B131)</f>
        <v>0.57214506172839497</v>
      </c>
      <c r="S131" s="27">
        <f>SUMIFS([1]raw_data!O:O,[1]raw_data!$A:$A,$B131)</f>
        <v>72.689003999999997</v>
      </c>
      <c r="T131" s="28">
        <f>SUMIFS([1]raw_data!P:P,[1]raw_data!$A:$A,$B131)</f>
        <v>1.3275462962962901</v>
      </c>
      <c r="U131" s="27">
        <f>SUMIFS([1]raw_data!Q:Q,[1]raw_data!$A:$A,$B131)</f>
        <v>68.663683000000006</v>
      </c>
      <c r="V131" s="28">
        <f>SUMIFS([1]raw_data!R:R,[1]raw_data!$A:$A,$B131)</f>
        <v>1.3152006172839501</v>
      </c>
      <c r="W131" s="27">
        <f>SUMIFS([1]raw_data!S:S,[1]raw_data!$A:$A,$B131)</f>
        <v>130.015165</v>
      </c>
      <c r="X131" s="28">
        <f>SUMIFS([1]raw_data!T:T,[1]raw_data!$A:$A,$B131)</f>
        <v>0.3652950310559</v>
      </c>
      <c r="Y131" s="27">
        <f>SUMIFS([1]raw_data!U:U,[1]raw_data!$A:$A,$B131)</f>
        <v>77.551591000000002</v>
      </c>
      <c r="Z131" s="28">
        <f>SUMIFS([1]raw_data!V:V,[1]raw_data!$A:$A,$B131)</f>
        <v>0.256987577639751</v>
      </c>
      <c r="AA131" s="25">
        <f t="shared" si="1"/>
        <v>76.802792199999999</v>
      </c>
    </row>
    <row r="132" spans="1:27" x14ac:dyDescent="0.25">
      <c r="A132" s="40"/>
      <c r="B132" s="25" t="s">
        <v>355</v>
      </c>
      <c r="C132" s="25" t="s">
        <v>356</v>
      </c>
      <c r="D132" s="25" t="s">
        <v>357</v>
      </c>
      <c r="E132" s="25" t="s">
        <v>76</v>
      </c>
      <c r="F132" s="26">
        <f>IFERROR(INDEX([1]raw_data!B:B,MATCH('SAIDI excl MEDs sort (5-yr avg)'!B55,[1]raw_data!A:A,0)),0)</f>
        <v>2453.6</v>
      </c>
      <c r="G132" s="27">
        <f>SUMIFS([1]raw_data!C:C,[1]raw_data!$A:$A,$B132)</f>
        <v>366.784516</v>
      </c>
      <c r="H132" s="28">
        <f>SUMIFS([1]raw_data!D:D,[1]raw_data!$A:$A,$B132)</f>
        <v>1.3941176470588199</v>
      </c>
      <c r="I132" s="27">
        <f>SUMIFS([1]raw_data!E:E,[1]raw_data!$A:$A,$B132)</f>
        <v>129.050218</v>
      </c>
      <c r="J132" s="28">
        <f>SUMIFS([1]raw_data!F:F,[1]raw_data!$A:$A,$B132)</f>
        <v>1.1176470588235199</v>
      </c>
      <c r="K132" s="27">
        <f>SUMIFS([1]raw_data!G:G,[1]raw_data!$A:$A,$B132)</f>
        <v>127.05324400000001</v>
      </c>
      <c r="L132" s="28">
        <f>SUMIFS([1]raw_data!H:H,[1]raw_data!$A:$A,$B132)</f>
        <v>1.0643274853801099</v>
      </c>
      <c r="M132" s="27">
        <f>SUMIFS([1]raw_data!I:I,[1]raw_data!$A:$A,$B132)</f>
        <v>111.44621100000001</v>
      </c>
      <c r="N132" s="28">
        <f>SUMIFS([1]raw_data!J:J,[1]raw_data!$A:$A,$B132)</f>
        <v>1.0409356725146099</v>
      </c>
      <c r="O132" s="27">
        <f>SUMIFS([1]raw_data!K:K,[1]raw_data!$A:$A,$B132)</f>
        <v>226.699703</v>
      </c>
      <c r="P132" s="28">
        <f>SUMIFS([1]raw_data!L:L,[1]raw_data!$A:$A,$B132)</f>
        <v>0.585798816568047</v>
      </c>
      <c r="Q132" s="27">
        <f>SUMIFS([1]raw_data!M:M,[1]raw_data!$A:$A,$B132)</f>
        <v>116.90946700000001</v>
      </c>
      <c r="R132" s="28">
        <f>SUMIFS([1]raw_data!N:N,[1]raw_data!$A:$A,$B132)</f>
        <v>0.53254437869822402</v>
      </c>
      <c r="S132" s="27">
        <f>SUMIFS([1]raw_data!O:O,[1]raw_data!$A:$A,$B132)</f>
        <v>14.600997</v>
      </c>
      <c r="T132" s="28">
        <f>SUMIFS([1]raw_data!P:P,[1]raw_data!$A:$A,$B132)</f>
        <v>8.9820359281437098E-2</v>
      </c>
      <c r="U132" s="27">
        <f>SUMIFS([1]raw_data!Q:Q,[1]raw_data!$A:$A,$B132)</f>
        <v>14.600997</v>
      </c>
      <c r="V132" s="28">
        <f>SUMIFS([1]raw_data!R:R,[1]raw_data!$A:$A,$B132)</f>
        <v>8.9820359281437098E-2</v>
      </c>
      <c r="W132" s="27">
        <f>SUMIFS([1]raw_data!S:S,[1]raw_data!$A:$A,$B132)</f>
        <v>4.755522</v>
      </c>
      <c r="X132" s="28">
        <f>SUMIFS([1]raw_data!T:T,[1]raw_data!$A:$A,$B132)</f>
        <v>3.5502958579881602E-2</v>
      </c>
      <c r="Y132" s="27">
        <f>SUMIFS([1]raw_data!U:U,[1]raw_data!$A:$A,$B132)</f>
        <v>4.5209070000000002</v>
      </c>
      <c r="Z132" s="28">
        <f>SUMIFS([1]raw_data!V:V,[1]raw_data!$A:$A,$B132)</f>
        <v>1.7751479289940801E-2</v>
      </c>
      <c r="AA132" s="25">
        <f t="shared" ref="AA132:AA193" si="2">(I132+M132+Q132+U132+Y132)/5</f>
        <v>75.30556</v>
      </c>
    </row>
    <row r="133" spans="1:27" x14ac:dyDescent="0.25">
      <c r="A133" s="40"/>
      <c r="B133" s="25" t="s">
        <v>358</v>
      </c>
      <c r="C133" s="25" t="s">
        <v>220</v>
      </c>
      <c r="D133" s="25" t="s">
        <v>359</v>
      </c>
      <c r="E133" s="25" t="s">
        <v>27</v>
      </c>
      <c r="F133" s="26">
        <f>IFERROR(INDEX([1]raw_data!B:B,MATCH('SAIDI excl MEDs sort (5-yr avg)'!B96,[1]raw_data!A:A,0)),0)</f>
        <v>463.8</v>
      </c>
      <c r="G133" s="27">
        <f>SUMIFS([1]raw_data!C:C,[1]raw_data!$A:$A,$B133)</f>
        <v>1624.441607</v>
      </c>
      <c r="H133" s="28">
        <f>SUMIFS([1]raw_data!D:D,[1]raw_data!$A:$A,$B133)</f>
        <v>1.6024691358024601</v>
      </c>
      <c r="I133" s="27">
        <f>SUMIFS([1]raw_data!E:E,[1]raw_data!$A:$A,$B133)</f>
        <v>52.958053</v>
      </c>
      <c r="J133" s="28">
        <f>SUMIFS([1]raw_data!F:F,[1]raw_data!$A:$A,$B133)</f>
        <v>0.52592592592592502</v>
      </c>
      <c r="K133" s="27">
        <f>SUMIFS([1]raw_data!G:G,[1]raw_data!$A:$A,$B133)</f>
        <v>55.021016000000003</v>
      </c>
      <c r="L133" s="28">
        <f>SUMIFS([1]raw_data!H:H,[1]raw_data!$A:$A,$B133)</f>
        <v>0.44812680115273701</v>
      </c>
      <c r="M133" s="27">
        <f>SUMIFS([1]raw_data!I:I,[1]raw_data!$A:$A,$B133)</f>
        <v>40.325161000000001</v>
      </c>
      <c r="N133" s="28">
        <f>SUMIFS([1]raw_data!J:J,[1]raw_data!$A:$A,$B133)</f>
        <v>0.33285302593659899</v>
      </c>
      <c r="O133" s="27">
        <f>SUMIFS([1]raw_data!K:K,[1]raw_data!$A:$A,$B133)</f>
        <v>489.304078</v>
      </c>
      <c r="P133" s="28">
        <f>SUMIFS([1]raw_data!L:L,[1]raw_data!$A:$A,$B133)</f>
        <v>1.38888888888888</v>
      </c>
      <c r="Q133" s="27">
        <f>SUMIFS([1]raw_data!M:M,[1]raw_data!$A:$A,$B133)</f>
        <v>62.016866</v>
      </c>
      <c r="R133" s="28">
        <f>SUMIFS([1]raw_data!N:N,[1]raw_data!$A:$A,$B133)</f>
        <v>0.38738738738738698</v>
      </c>
      <c r="S133" s="27">
        <f>SUMIFS([1]raw_data!O:O,[1]raw_data!$A:$A,$B133)</f>
        <v>219.499719</v>
      </c>
      <c r="T133" s="28">
        <f>SUMIFS([1]raw_data!P:P,[1]raw_data!$A:$A,$B133)</f>
        <v>1.4237804878048701</v>
      </c>
      <c r="U133" s="27">
        <f>SUMIFS([1]raw_data!Q:Q,[1]raw_data!$A:$A,$B133)</f>
        <v>139.49923699999999</v>
      </c>
      <c r="V133" s="28">
        <f>SUMIFS([1]raw_data!R:R,[1]raw_data!$A:$A,$B133)</f>
        <v>1.33079268292682</v>
      </c>
      <c r="W133" s="27">
        <f>SUMIFS([1]raw_data!S:S,[1]raw_data!$A:$A,$B133)</f>
        <v>277.331233</v>
      </c>
      <c r="X133" s="28">
        <f>SUMIFS([1]raw_data!T:T,[1]raw_data!$A:$A,$B133)</f>
        <v>0.73579109062979997</v>
      </c>
      <c r="Y133" s="27">
        <f>SUMIFS([1]raw_data!U:U,[1]raw_data!$A:$A,$B133)</f>
        <v>79.423091999999997</v>
      </c>
      <c r="Z133" s="28">
        <f>SUMIFS([1]raw_data!V:V,[1]raw_data!$A:$A,$B133)</f>
        <v>0.62365591397849396</v>
      </c>
      <c r="AA133" s="25">
        <f t="shared" si="2"/>
        <v>74.844481799999997</v>
      </c>
    </row>
    <row r="134" spans="1:27" x14ac:dyDescent="0.25">
      <c r="A134" s="40"/>
      <c r="B134" s="25" t="s">
        <v>360</v>
      </c>
      <c r="C134" s="25" t="s">
        <v>361</v>
      </c>
      <c r="D134" s="25" t="s">
        <v>362</v>
      </c>
      <c r="E134" s="25" t="s">
        <v>15</v>
      </c>
      <c r="F134" s="26">
        <f>IFERROR(INDEX([1]raw_data!B:B,MATCH('SAIDI excl MEDs sort (5-yr avg)'!B109,[1]raw_data!A:A,0)),0)</f>
        <v>1365.2</v>
      </c>
      <c r="G134" s="27">
        <f>SUMIFS([1]raw_data!C:C,[1]raw_data!$A:$A,$B134)</f>
        <v>30.686368000000002</v>
      </c>
      <c r="H134" s="28">
        <f>SUMIFS([1]raw_data!D:D,[1]raw_data!$A:$A,$B134)</f>
        <v>0.120724346076458</v>
      </c>
      <c r="I134" s="27">
        <f>SUMIFS([1]raw_data!E:E,[1]raw_data!$A:$A,$B134)</f>
        <v>30.686368000000002</v>
      </c>
      <c r="J134" s="28">
        <f>SUMIFS([1]raw_data!F:F,[1]raw_data!$A:$A,$B134)</f>
        <v>0.120724346076458</v>
      </c>
      <c r="K134" s="27">
        <f>SUMIFS([1]raw_data!G:G,[1]raw_data!$A:$A,$B134)</f>
        <v>138.501757</v>
      </c>
      <c r="L134" s="28">
        <f>SUMIFS([1]raw_data!H:H,[1]raw_data!$A:$A,$B134)</f>
        <v>0.22682445759368799</v>
      </c>
      <c r="M134" s="27">
        <f>SUMIFS([1]raw_data!I:I,[1]raw_data!$A:$A,$B134)</f>
        <v>48.627727</v>
      </c>
      <c r="N134" s="28">
        <f>SUMIFS([1]raw_data!J:J,[1]raw_data!$A:$A,$B134)</f>
        <v>0.19921104536489101</v>
      </c>
      <c r="O134" s="27">
        <f>SUMIFS([1]raw_data!K:K,[1]raw_data!$A:$A,$B134)</f>
        <v>120.48102900000001</v>
      </c>
      <c r="P134" s="28">
        <f>SUMIFS([1]raw_data!L:L,[1]raw_data!$A:$A,$B134)</f>
        <v>0.57773512476007605</v>
      </c>
      <c r="Q134" s="27">
        <f>SUMIFS([1]raw_data!M:M,[1]raw_data!$A:$A,$B134)</f>
        <v>5.7182659999999998</v>
      </c>
      <c r="R134" s="28">
        <f>SUMIFS([1]raw_data!N:N,[1]raw_data!$A:$A,$B134)</f>
        <v>7.2936660268713996E-2</v>
      </c>
      <c r="S134" s="27">
        <f>SUMIFS([1]raw_data!O:O,[1]raw_data!$A:$A,$B134)</f>
        <v>111.09732200000001</v>
      </c>
      <c r="T134" s="28">
        <f>SUMIFS([1]raw_data!P:P,[1]raw_data!$A:$A,$B134)</f>
        <v>1.17973231357552</v>
      </c>
      <c r="U134" s="27">
        <f>SUMIFS([1]raw_data!Q:Q,[1]raw_data!$A:$A,$B134)</f>
        <v>100.555003</v>
      </c>
      <c r="V134" s="28">
        <f>SUMIFS([1]raw_data!R:R,[1]raw_data!$A:$A,$B134)</f>
        <v>1.17782026768642</v>
      </c>
      <c r="W134" s="27">
        <f>SUMIFS([1]raw_data!S:S,[1]raw_data!$A:$A,$B134)</f>
        <v>182.17662200000001</v>
      </c>
      <c r="X134" s="28">
        <f>SUMIFS([1]raw_data!T:T,[1]raw_data!$A:$A,$B134)</f>
        <v>1.11048689138576</v>
      </c>
      <c r="Y134" s="27">
        <f>SUMIFS([1]raw_data!U:U,[1]raw_data!$A:$A,$B134)</f>
        <v>182.17662200000001</v>
      </c>
      <c r="Z134" s="28">
        <f>SUMIFS([1]raw_data!V:V,[1]raw_data!$A:$A,$B134)</f>
        <v>1.11048689138576</v>
      </c>
      <c r="AA134" s="25">
        <f t="shared" si="2"/>
        <v>73.552797200000015</v>
      </c>
    </row>
    <row r="135" spans="1:27" x14ac:dyDescent="0.25">
      <c r="A135" s="40"/>
      <c r="B135" s="25" t="s">
        <v>363</v>
      </c>
      <c r="C135" s="25" t="s">
        <v>317</v>
      </c>
      <c r="D135" s="25" t="s">
        <v>364</v>
      </c>
      <c r="E135" s="25" t="s">
        <v>23</v>
      </c>
      <c r="F135" s="26">
        <f>IFERROR(INDEX([1]raw_data!B:B,MATCH('SAIDI excl MEDs sort (5-yr avg)'!B57,[1]raw_data!A:A,0)),0)</f>
        <v>403</v>
      </c>
      <c r="G135" s="27">
        <f>SUMIFS([1]raw_data!C:C,[1]raw_data!$A:$A,$B135)</f>
        <v>450.36922600000003</v>
      </c>
      <c r="H135" s="28">
        <f>SUMIFS([1]raw_data!D:D,[1]raw_data!$A:$A,$B135)</f>
        <v>0.31986899563318699</v>
      </c>
      <c r="I135" s="27">
        <f>SUMIFS([1]raw_data!E:E,[1]raw_data!$A:$A,$B135)</f>
        <v>119.47690799999999</v>
      </c>
      <c r="J135" s="28">
        <f>SUMIFS([1]raw_data!F:F,[1]raw_data!$A:$A,$B135)</f>
        <v>0.18013100436681201</v>
      </c>
      <c r="K135" s="27">
        <f>SUMIFS([1]raw_data!G:G,[1]raw_data!$A:$A,$B135)</f>
        <v>143.599424</v>
      </c>
      <c r="L135" s="28">
        <f>SUMIFS([1]raw_data!H:H,[1]raw_data!$A:$A,$B135)</f>
        <v>1.2788671023965099</v>
      </c>
      <c r="M135" s="27">
        <f>SUMIFS([1]raw_data!I:I,[1]raw_data!$A:$A,$B135)</f>
        <v>132.297248</v>
      </c>
      <c r="N135" s="28">
        <f>SUMIFS([1]raw_data!J:J,[1]raw_data!$A:$A,$B135)</f>
        <v>1.2745098039215601</v>
      </c>
      <c r="O135" s="27">
        <f>SUMIFS([1]raw_data!K:K,[1]raw_data!$A:$A,$B135)</f>
        <v>33.655864000000001</v>
      </c>
      <c r="P135" s="28">
        <f>SUMIFS([1]raw_data!L:L,[1]raw_data!$A:$A,$B135)</f>
        <v>0.202185792349726</v>
      </c>
      <c r="Q135" s="27">
        <f>SUMIFS([1]raw_data!M:M,[1]raw_data!$A:$A,$B135)</f>
        <v>22.035336000000001</v>
      </c>
      <c r="R135" s="28">
        <f>SUMIFS([1]raw_data!N:N,[1]raw_data!$A:$A,$B135)</f>
        <v>0.196721311475409</v>
      </c>
      <c r="S135" s="27">
        <f>SUMIFS([1]raw_data!O:O,[1]raw_data!$A:$A,$B135)</f>
        <v>32.822426999999998</v>
      </c>
      <c r="T135" s="28">
        <f>SUMIFS([1]raw_data!P:P,[1]raw_data!$A:$A,$B135)</f>
        <v>0.30303030303030298</v>
      </c>
      <c r="U135" s="27">
        <f>SUMIFS([1]raw_data!Q:Q,[1]raw_data!$A:$A,$B135)</f>
        <v>15.372989</v>
      </c>
      <c r="V135" s="28">
        <f>SUMIFS([1]raw_data!R:R,[1]raw_data!$A:$A,$B135)</f>
        <v>0.27946127946127902</v>
      </c>
      <c r="W135" s="27">
        <f>SUMIFS([1]raw_data!S:S,[1]raw_data!$A:$A,$B135)</f>
        <v>76.493951999999993</v>
      </c>
      <c r="X135" s="28">
        <f>SUMIFS([1]raw_data!T:T,[1]raw_data!$A:$A,$B135)</f>
        <v>1.1044776119402899</v>
      </c>
      <c r="Y135" s="27">
        <f>SUMIFS([1]raw_data!U:U,[1]raw_data!$A:$A,$B135)</f>
        <v>75.346995000000007</v>
      </c>
      <c r="Z135" s="28">
        <f>SUMIFS([1]raw_data!V:V,[1]raw_data!$A:$A,$B135)</f>
        <v>1.0907003444316801</v>
      </c>
      <c r="AA135" s="25">
        <f t="shared" si="2"/>
        <v>72.905895200000003</v>
      </c>
    </row>
    <row r="136" spans="1:27" x14ac:dyDescent="0.25">
      <c r="A136" s="40"/>
      <c r="B136" s="25" t="s">
        <v>365</v>
      </c>
      <c r="C136" s="25" t="s">
        <v>366</v>
      </c>
      <c r="D136" s="25" t="s">
        <v>367</v>
      </c>
      <c r="E136" s="25" t="s">
        <v>19</v>
      </c>
      <c r="F136" s="26">
        <f>IFERROR(INDEX([1]raw_data!B:B,MATCH('SAIDI excl MEDs sort (5-yr avg)'!B71,[1]raw_data!A:A,0)),0)</f>
        <v>1161.8</v>
      </c>
      <c r="G136" s="27">
        <f>SUMIFS([1]raw_data!C:C,[1]raw_data!$A:$A,$B136)</f>
        <v>91.442949999999996</v>
      </c>
      <c r="H136" s="28">
        <f>SUMIFS([1]raw_data!D:D,[1]raw_data!$A:$A,$B136)</f>
        <v>0.58625525946704005</v>
      </c>
      <c r="I136" s="27">
        <f>SUMIFS([1]raw_data!E:E,[1]raw_data!$A:$A,$B136)</f>
        <v>91.442949999999996</v>
      </c>
      <c r="J136" s="28">
        <f>SUMIFS([1]raw_data!F:F,[1]raw_data!$A:$A,$B136)</f>
        <v>0.58625525946704005</v>
      </c>
      <c r="K136" s="27">
        <f>SUMIFS([1]raw_data!G:G,[1]raw_data!$A:$A,$B136)</f>
        <v>31.754055999999999</v>
      </c>
      <c r="L136" s="28">
        <f>SUMIFS([1]raw_data!H:H,[1]raw_data!$A:$A,$B136)</f>
        <v>0.18117977528089799</v>
      </c>
      <c r="M136" s="27">
        <f>SUMIFS([1]raw_data!I:I,[1]raw_data!$A:$A,$B136)</f>
        <v>27.348182000000001</v>
      </c>
      <c r="N136" s="28">
        <f>SUMIFS([1]raw_data!J:J,[1]raw_data!$A:$A,$B136)</f>
        <v>0.17837078651685301</v>
      </c>
      <c r="O136" s="27">
        <f>SUMIFS([1]raw_data!K:K,[1]raw_data!$A:$A,$B136)</f>
        <v>1179.4082739999999</v>
      </c>
      <c r="P136" s="28">
        <f>SUMIFS([1]raw_data!L:L,[1]raw_data!$A:$A,$B136)</f>
        <v>0.69790209790209701</v>
      </c>
      <c r="Q136" s="27">
        <f>SUMIFS([1]raw_data!M:M,[1]raw_data!$A:$A,$B136)</f>
        <v>25.649417</v>
      </c>
      <c r="R136" s="28">
        <f>SUMIFS([1]raw_data!N:N,[1]raw_data!$A:$A,$B136)</f>
        <v>0.16643356643356599</v>
      </c>
      <c r="S136" s="27">
        <f>SUMIFS([1]raw_data!O:O,[1]raw_data!$A:$A,$B136)</f>
        <v>35.006962999999999</v>
      </c>
      <c r="T136" s="28">
        <f>SUMIFS([1]raw_data!P:P,[1]raw_data!$A:$A,$B136)</f>
        <v>0.15580736543909299</v>
      </c>
      <c r="U136" s="27">
        <f>SUMIFS([1]raw_data!Q:Q,[1]raw_data!$A:$A,$B136)</f>
        <v>34.074337999999997</v>
      </c>
      <c r="V136" s="28">
        <f>SUMIFS([1]raw_data!R:R,[1]raw_data!$A:$A,$B136)</f>
        <v>0.154390934844192</v>
      </c>
      <c r="W136" s="27">
        <f>SUMIFS([1]raw_data!S:S,[1]raw_data!$A:$A,$B136)</f>
        <v>419.00187499999998</v>
      </c>
      <c r="X136" s="28">
        <f>SUMIFS([1]raw_data!T:T,[1]raw_data!$A:$A,$B136)</f>
        <v>2.3650793650793598</v>
      </c>
      <c r="Y136" s="27">
        <f>SUMIFS([1]raw_data!U:U,[1]raw_data!$A:$A,$B136)</f>
        <v>184.57166900000001</v>
      </c>
      <c r="Z136" s="28">
        <f>SUMIFS([1]raw_data!V:V,[1]raw_data!$A:$A,$B136)</f>
        <v>2.1933621933621898</v>
      </c>
      <c r="AA136" s="25">
        <f t="shared" si="2"/>
        <v>72.617311199999989</v>
      </c>
    </row>
    <row r="137" spans="1:27" x14ac:dyDescent="0.25">
      <c r="A137" s="40"/>
      <c r="B137" s="25" t="s">
        <v>368</v>
      </c>
      <c r="C137" s="25" t="s">
        <v>356</v>
      </c>
      <c r="D137" s="25" t="s">
        <v>369</v>
      </c>
      <c r="E137" s="25" t="s">
        <v>76</v>
      </c>
      <c r="F137" s="26">
        <f>IFERROR(INDEX([1]raw_data!B:B,MATCH('SAIDI excl MEDs sort (5-yr avg)'!B127,[1]raw_data!A:A,0)),0)</f>
        <v>358.83333299999998</v>
      </c>
      <c r="G137" s="27">
        <f>SUMIFS([1]raw_data!C:C,[1]raw_data!$A:$A,$B137)</f>
        <v>9234.2663250000005</v>
      </c>
      <c r="H137" s="28">
        <f>SUMIFS([1]raw_data!D:D,[1]raw_data!$A:$A,$B137)</f>
        <v>2.8911704312114899</v>
      </c>
      <c r="I137" s="27">
        <f>SUMIFS([1]raw_data!E:E,[1]raw_data!$A:$A,$B137)</f>
        <v>15.287682</v>
      </c>
      <c r="J137" s="28">
        <f>SUMIFS([1]raw_data!F:F,[1]raw_data!$A:$A,$B137)</f>
        <v>9.6509240246406502E-2</v>
      </c>
      <c r="K137" s="27">
        <f>SUMIFS([1]raw_data!G:G,[1]raw_data!$A:$A,$B137)</f>
        <v>217.22283300000001</v>
      </c>
      <c r="L137" s="28">
        <f>SUMIFS([1]raw_data!H:H,[1]raw_data!$A:$A,$B137)</f>
        <v>1.0252808988763999</v>
      </c>
      <c r="M137" s="27">
        <f>SUMIFS([1]raw_data!I:I,[1]raw_data!$A:$A,$B137)</f>
        <v>217.22283300000001</v>
      </c>
      <c r="N137" s="28">
        <f>SUMIFS([1]raw_data!J:J,[1]raw_data!$A:$A,$B137)</f>
        <v>1.0252808988763999</v>
      </c>
      <c r="O137" s="27">
        <f>SUMIFS([1]raw_data!K:K,[1]raw_data!$A:$A,$B137)</f>
        <v>42.070092000000002</v>
      </c>
      <c r="P137" s="28">
        <f>SUMIFS([1]raw_data!L:L,[1]raw_data!$A:$A,$B137)</f>
        <v>0.13611111111111099</v>
      </c>
      <c r="Q137" s="27">
        <f>SUMIFS([1]raw_data!M:M,[1]raw_data!$A:$A,$B137)</f>
        <v>3.5395370000000002</v>
      </c>
      <c r="R137" s="28">
        <f>SUMIFS([1]raw_data!N:N,[1]raw_data!$A:$A,$B137)</f>
        <v>1.38888888888888E-2</v>
      </c>
      <c r="S137" s="27">
        <f>SUMIFS([1]raw_data!O:O,[1]raw_data!$A:$A,$B137)</f>
        <v>10.869237</v>
      </c>
      <c r="T137" s="28">
        <f>SUMIFS([1]raw_data!P:P,[1]raw_data!$A:$A,$B137)</f>
        <v>0.15702479338842901</v>
      </c>
      <c r="U137" s="27">
        <f>SUMIFS([1]raw_data!Q:Q,[1]raw_data!$A:$A,$B137)</f>
        <v>10.869237</v>
      </c>
      <c r="V137" s="28">
        <f>SUMIFS([1]raw_data!R:R,[1]raw_data!$A:$A,$B137)</f>
        <v>0.15702479338842901</v>
      </c>
      <c r="W137" s="27">
        <f>SUMIFS([1]raw_data!S:S,[1]raw_data!$A:$A,$B137)</f>
        <v>114.696956</v>
      </c>
      <c r="X137" s="28">
        <f>SUMIFS([1]raw_data!T:T,[1]raw_data!$A:$A,$B137)</f>
        <v>1.0983146067415701</v>
      </c>
      <c r="Y137" s="27">
        <f>SUMIFS([1]raw_data!U:U,[1]raw_data!$A:$A,$B137)</f>
        <v>114.696956</v>
      </c>
      <c r="Z137" s="28">
        <f>SUMIFS([1]raw_data!V:V,[1]raw_data!$A:$A,$B137)</f>
        <v>1.0983146067415701</v>
      </c>
      <c r="AA137" s="25">
        <f t="shared" si="2"/>
        <v>72.323249000000004</v>
      </c>
    </row>
    <row r="138" spans="1:27" x14ac:dyDescent="0.25">
      <c r="A138" s="40"/>
      <c r="B138" s="25" t="s">
        <v>370</v>
      </c>
      <c r="C138" s="25" t="s">
        <v>83</v>
      </c>
      <c r="D138" s="25" t="s">
        <v>371</v>
      </c>
      <c r="E138" s="25" t="s">
        <v>19</v>
      </c>
      <c r="F138" s="26">
        <f>IFERROR(INDEX([1]raw_data!B:B,MATCH('SAIDI excl MEDs sort (5-yr avg)'!B75,[1]raw_data!A:A,0)),0)</f>
        <v>1657.777777</v>
      </c>
      <c r="G138" s="27">
        <f>SUMIFS([1]raw_data!C:C,[1]raw_data!$A:$A,$B138)</f>
        <v>297.42408899999998</v>
      </c>
      <c r="H138" s="28">
        <f>SUMIFS([1]raw_data!D:D,[1]raw_data!$A:$A,$B138)</f>
        <v>1.7424557752341301</v>
      </c>
      <c r="I138" s="27">
        <f>SUMIFS([1]raw_data!E:E,[1]raw_data!$A:$A,$B138)</f>
        <v>79.928263000000001</v>
      </c>
      <c r="J138" s="28">
        <f>SUMIFS([1]raw_data!F:F,[1]raw_data!$A:$A,$B138)</f>
        <v>1.57440166493236</v>
      </c>
      <c r="K138" s="27">
        <f>SUMIFS([1]raw_data!G:G,[1]raw_data!$A:$A,$B138)</f>
        <v>835.24831500000005</v>
      </c>
      <c r="L138" s="28">
        <f>SUMIFS([1]raw_data!H:H,[1]raw_data!$A:$A,$B138)</f>
        <v>6.5531363400725704</v>
      </c>
      <c r="M138" s="27">
        <f>SUMIFS([1]raw_data!I:I,[1]raw_data!$A:$A,$B138)</f>
        <v>93.569027000000006</v>
      </c>
      <c r="N138" s="28">
        <f>SUMIFS([1]raw_data!J:J,[1]raw_data!$A:$A,$B138)</f>
        <v>1.10575427682737</v>
      </c>
      <c r="O138" s="27">
        <f>SUMIFS([1]raw_data!K:K,[1]raw_data!$A:$A,$B138)</f>
        <v>175.744325</v>
      </c>
      <c r="P138" s="28">
        <f>SUMIFS([1]raw_data!L:L,[1]raw_data!$A:$A,$B138)</f>
        <v>0.793980280228334</v>
      </c>
      <c r="Q138" s="27">
        <f>SUMIFS([1]raw_data!M:M,[1]raw_data!$A:$A,$B138)</f>
        <v>110.87780600000001</v>
      </c>
      <c r="R138" s="28">
        <f>SUMIFS([1]raw_data!N:N,[1]raw_data!$A:$A,$B138)</f>
        <v>0.69590036325895099</v>
      </c>
      <c r="S138" s="27">
        <f>SUMIFS([1]raw_data!O:O,[1]raw_data!$A:$A,$B138)</f>
        <v>47.041010999999997</v>
      </c>
      <c r="T138" s="28">
        <f>SUMIFS([1]raw_data!P:P,[1]raw_data!$A:$A,$B138)</f>
        <v>0.17490890161374201</v>
      </c>
      <c r="U138" s="27">
        <f>SUMIFS([1]raw_data!Q:Q,[1]raw_data!$A:$A,$B138)</f>
        <v>39.314714000000002</v>
      </c>
      <c r="V138" s="28">
        <f>SUMIFS([1]raw_data!R:R,[1]raw_data!$A:$A,$B138)</f>
        <v>0.14731910463300299</v>
      </c>
      <c r="W138" s="27">
        <f>SUMIFS([1]raw_data!S:S,[1]raw_data!$A:$A,$B138)</f>
        <v>901.67078400000003</v>
      </c>
      <c r="X138" s="28">
        <f>SUMIFS([1]raw_data!T:T,[1]raw_data!$A:$A,$B138)</f>
        <v>0.56453305351521499</v>
      </c>
      <c r="Y138" s="27">
        <f>SUMIFS([1]raw_data!U:U,[1]raw_data!$A:$A,$B138)</f>
        <v>36.580061999999998</v>
      </c>
      <c r="Z138" s="28">
        <f>SUMIFS([1]raw_data!V:V,[1]raw_data!$A:$A,$B138)</f>
        <v>0.147953830010493</v>
      </c>
      <c r="AA138" s="25">
        <f t="shared" si="2"/>
        <v>72.053974400000001</v>
      </c>
    </row>
    <row r="139" spans="1:27" x14ac:dyDescent="0.25">
      <c r="A139" s="40"/>
      <c r="B139" s="25" t="s">
        <v>372</v>
      </c>
      <c r="C139" s="25" t="s">
        <v>373</v>
      </c>
      <c r="D139" s="25" t="s">
        <v>374</v>
      </c>
      <c r="E139" s="25" t="s">
        <v>15</v>
      </c>
      <c r="F139" s="26">
        <f>IFERROR(INDEX([1]raw_data!B:B,MATCH('SAIDI excl MEDs sort (5-yr avg)'!B101,[1]raw_data!A:A,0)),0)</f>
        <v>300</v>
      </c>
      <c r="G139" s="27">
        <f>SUMIFS([1]raw_data!C:C,[1]raw_data!$A:$A,$B139)</f>
        <v>101.178765</v>
      </c>
      <c r="H139" s="28">
        <f>SUMIFS([1]raw_data!D:D,[1]raw_data!$A:$A,$B139)</f>
        <v>0.29468177855274602</v>
      </c>
      <c r="I139" s="27">
        <f>SUMIFS([1]raw_data!E:E,[1]raw_data!$A:$A,$B139)</f>
        <v>41.304096999999999</v>
      </c>
      <c r="J139" s="28">
        <f>SUMIFS([1]raw_data!F:F,[1]raw_data!$A:$A,$B139)</f>
        <v>0.24673060156931101</v>
      </c>
      <c r="K139" s="27">
        <f>SUMIFS([1]raw_data!G:G,[1]raw_data!$A:$A,$B139)</f>
        <v>263.19712500000003</v>
      </c>
      <c r="L139" s="28">
        <f>SUMIFS([1]raw_data!H:H,[1]raw_data!$A:$A,$B139)</f>
        <v>0.52886247877758896</v>
      </c>
      <c r="M139" s="27">
        <f>SUMIFS([1]raw_data!I:I,[1]raw_data!$A:$A,$B139)</f>
        <v>136.176547</v>
      </c>
      <c r="N139" s="28">
        <f>SUMIFS([1]raw_data!J:J,[1]raw_data!$A:$A,$B139)</f>
        <v>0.46349745331069597</v>
      </c>
      <c r="O139" s="27">
        <f>SUMIFS([1]raw_data!K:K,[1]raw_data!$A:$A,$B139)</f>
        <v>258.57865500000003</v>
      </c>
      <c r="P139" s="28">
        <f>SUMIFS([1]raw_data!L:L,[1]raw_data!$A:$A,$B139)</f>
        <v>1.12764158918005</v>
      </c>
      <c r="Q139" s="27">
        <f>SUMIFS([1]raw_data!M:M,[1]raw_data!$A:$A,$B139)</f>
        <v>101.866117</v>
      </c>
      <c r="R139" s="28">
        <f>SUMIFS([1]raw_data!N:N,[1]raw_data!$A:$A,$B139)</f>
        <v>0.83178360101436999</v>
      </c>
      <c r="S139" s="27">
        <f>SUMIFS([1]raw_data!O:O,[1]raw_data!$A:$A,$B139)</f>
        <v>111.64608699999999</v>
      </c>
      <c r="T139" s="28">
        <f>SUMIFS([1]raw_data!P:P,[1]raw_data!$A:$A,$B139)</f>
        <v>1.38389830508474</v>
      </c>
      <c r="U139" s="27">
        <f>SUMIFS([1]raw_data!Q:Q,[1]raw_data!$A:$A,$B139)</f>
        <v>63.204703000000002</v>
      </c>
      <c r="V139" s="28">
        <f>SUMIFS([1]raw_data!R:R,[1]raw_data!$A:$A,$B139)</f>
        <v>0.37118644067796602</v>
      </c>
      <c r="W139" s="27">
        <f>SUMIFS([1]raw_data!S:S,[1]raw_data!$A:$A,$B139)</f>
        <v>707.44360900000004</v>
      </c>
      <c r="X139" s="28">
        <f>SUMIFS([1]raw_data!T:T,[1]raw_data!$A:$A,$B139)</f>
        <v>1.01587301587301</v>
      </c>
      <c r="Y139" s="27">
        <f>SUMIFS([1]raw_data!U:U,[1]raw_data!$A:$A,$B139)</f>
        <v>16.343427999999999</v>
      </c>
      <c r="Z139" s="28">
        <f>SUMIFS([1]raw_data!V:V,[1]raw_data!$A:$A,$B139)</f>
        <v>0.14202172096908899</v>
      </c>
      <c r="AA139" s="25">
        <f t="shared" si="2"/>
        <v>71.7789784</v>
      </c>
    </row>
    <row r="140" spans="1:27" x14ac:dyDescent="0.25">
      <c r="A140" s="40"/>
      <c r="B140" s="25" t="s">
        <v>375</v>
      </c>
      <c r="C140" s="25" t="s">
        <v>274</v>
      </c>
      <c r="D140" s="25" t="s">
        <v>376</v>
      </c>
      <c r="E140" s="25" t="s">
        <v>76</v>
      </c>
      <c r="F140" s="26">
        <f>IFERROR(INDEX([1]raw_data!B:B,MATCH('SAIDI excl MEDs sort (5-yr avg)'!B124,[1]raw_data!A:A,0)),0)</f>
        <v>383.85714200000001</v>
      </c>
      <c r="G140" s="27">
        <f>SUMIFS([1]raw_data!C:C,[1]raw_data!$A:$A,$B140)</f>
        <v>2201.1256709999998</v>
      </c>
      <c r="H140" s="28">
        <f>SUMIFS([1]raw_data!D:D,[1]raw_data!$A:$A,$B140)</f>
        <v>2.0716666666666601</v>
      </c>
      <c r="I140" s="27">
        <f>SUMIFS([1]raw_data!E:E,[1]raw_data!$A:$A,$B140)</f>
        <v>17.510266000000001</v>
      </c>
      <c r="J140" s="28">
        <f>SUMIFS([1]raw_data!F:F,[1]raw_data!$A:$A,$B140)</f>
        <v>0.29666666666666602</v>
      </c>
      <c r="K140" s="27">
        <f>SUMIFS([1]raw_data!G:G,[1]raw_data!$A:$A,$B140)</f>
        <v>271.84444999999999</v>
      </c>
      <c r="L140" s="28">
        <f>SUMIFS([1]raw_data!H:H,[1]raw_data!$A:$A,$B140)</f>
        <v>0.12709030100334401</v>
      </c>
      <c r="M140" s="27">
        <f>SUMIFS([1]raw_data!I:I,[1]raw_data!$A:$A,$B140)</f>
        <v>14.733521</v>
      </c>
      <c r="N140" s="28">
        <f>SUMIFS([1]raw_data!J:J,[1]raw_data!$A:$A,$B140)</f>
        <v>5.0167224080267497E-2</v>
      </c>
      <c r="O140" s="27">
        <f>SUMIFS([1]raw_data!K:K,[1]raw_data!$A:$A,$B140)</f>
        <v>216.21785600000001</v>
      </c>
      <c r="P140" s="28">
        <f>SUMIFS([1]raw_data!L:L,[1]raw_data!$A:$A,$B140)</f>
        <v>1.13636363636363</v>
      </c>
      <c r="Q140" s="27">
        <f>SUMIFS([1]raw_data!M:M,[1]raw_data!$A:$A,$B140)</f>
        <v>196.245454</v>
      </c>
      <c r="R140" s="28">
        <f>SUMIFS([1]raw_data!N:N,[1]raw_data!$A:$A,$B140)</f>
        <v>1.1071428571428501</v>
      </c>
      <c r="S140" s="27">
        <f>SUMIFS([1]raw_data!O:O,[1]raw_data!$A:$A,$B140)</f>
        <v>94.14864</v>
      </c>
      <c r="T140" s="28">
        <f>SUMIFS([1]raw_data!P:P,[1]raw_data!$A:$A,$B140)</f>
        <v>0.56769983686786196</v>
      </c>
      <c r="U140" s="27">
        <f>SUMIFS([1]raw_data!Q:Q,[1]raw_data!$A:$A,$B140)</f>
        <v>93.175366999999994</v>
      </c>
      <c r="V140" s="28">
        <f>SUMIFS([1]raw_data!R:R,[1]raw_data!$A:$A,$B140)</f>
        <v>0.55301794453507302</v>
      </c>
      <c r="W140" s="27">
        <f>SUMIFS([1]raw_data!S:S,[1]raw_data!$A:$A,$B140)</f>
        <v>33.072085000000001</v>
      </c>
      <c r="X140" s="28">
        <f>SUMIFS([1]raw_data!T:T,[1]raw_data!$A:$A,$B140)</f>
        <v>0.25834797891036898</v>
      </c>
      <c r="Y140" s="27">
        <f>SUMIFS([1]raw_data!U:U,[1]raw_data!$A:$A,$B140)</f>
        <v>33.072085000000001</v>
      </c>
      <c r="Z140" s="28">
        <f>SUMIFS([1]raw_data!V:V,[1]raw_data!$A:$A,$B140)</f>
        <v>0.25834797891036898</v>
      </c>
      <c r="AA140" s="25">
        <f t="shared" si="2"/>
        <v>70.947338599999995</v>
      </c>
    </row>
    <row r="141" spans="1:27" x14ac:dyDescent="0.25">
      <c r="A141" s="40"/>
      <c r="B141" s="25" t="s">
        <v>377</v>
      </c>
      <c r="C141" s="25" t="s">
        <v>159</v>
      </c>
      <c r="D141" s="25" t="s">
        <v>378</v>
      </c>
      <c r="E141" s="25" t="s">
        <v>23</v>
      </c>
      <c r="F141" s="26">
        <f>IFERROR(INDEX([1]raw_data!B:B,MATCH('SAIDI excl MEDs sort (5-yr avg)'!B67,[1]raw_data!A:A,0)),0)</f>
        <v>99.142857000000006</v>
      </c>
      <c r="G141" s="27">
        <f>SUMIFS([1]raw_data!C:C,[1]raw_data!$A:$A,$B141)</f>
        <v>1378.0400179999999</v>
      </c>
      <c r="H141" s="28">
        <f>SUMIFS([1]raw_data!D:D,[1]raw_data!$A:$A,$B141)</f>
        <v>1.8583180987202901</v>
      </c>
      <c r="I141" s="27">
        <f>SUMIFS([1]raw_data!E:E,[1]raw_data!$A:$A,$B141)</f>
        <v>99.112757999999999</v>
      </c>
      <c r="J141" s="28">
        <f>SUMIFS([1]raw_data!F:F,[1]raw_data!$A:$A,$B141)</f>
        <v>1.13254113345521</v>
      </c>
      <c r="K141" s="27">
        <f>SUMIFS([1]raw_data!G:G,[1]raw_data!$A:$A,$B141)</f>
        <v>414.001284</v>
      </c>
      <c r="L141" s="28">
        <f>SUMIFS([1]raw_data!H:H,[1]raw_data!$A:$A,$B141)</f>
        <v>1.50592525068368</v>
      </c>
      <c r="M141" s="27">
        <f>SUMIFS([1]raw_data!I:I,[1]raw_data!$A:$A,$B141)</f>
        <v>59.317360000000001</v>
      </c>
      <c r="N141" s="28">
        <f>SUMIFS([1]raw_data!J:J,[1]raw_data!$A:$A,$B141)</f>
        <v>0.92069279854147601</v>
      </c>
      <c r="O141" s="27">
        <f>SUMIFS([1]raw_data!K:K,[1]raw_data!$A:$A,$B141)</f>
        <v>462.18520100000001</v>
      </c>
      <c r="P141" s="28">
        <f>SUMIFS([1]raw_data!L:L,[1]raw_data!$A:$A,$B141)</f>
        <v>1.83318140382862</v>
      </c>
      <c r="Q141" s="27">
        <f>SUMIFS([1]raw_data!M:M,[1]raw_data!$A:$A,$B141)</f>
        <v>79.960604000000004</v>
      </c>
      <c r="R141" s="28">
        <f>SUMIFS([1]raw_data!N:N,[1]raw_data!$A:$A,$B141)</f>
        <v>0.77666362807657197</v>
      </c>
      <c r="S141" s="27">
        <f>SUMIFS([1]raw_data!O:O,[1]raw_data!$A:$A,$B141)</f>
        <v>54.056004000000001</v>
      </c>
      <c r="T141" s="28">
        <f>SUMIFS([1]raw_data!P:P,[1]raw_data!$A:$A,$B141)</f>
        <v>0.21783088235294101</v>
      </c>
      <c r="U141" s="27">
        <f>SUMIFS([1]raw_data!Q:Q,[1]raw_data!$A:$A,$B141)</f>
        <v>53.701317000000003</v>
      </c>
      <c r="V141" s="28">
        <f>SUMIFS([1]raw_data!R:R,[1]raw_data!$A:$A,$B141)</f>
        <v>0.20863970588235201</v>
      </c>
      <c r="W141" s="27">
        <f>SUMIFS([1]raw_data!S:S,[1]raw_data!$A:$A,$B141)</f>
        <v>73.445794000000006</v>
      </c>
      <c r="X141" s="28">
        <f>SUMIFS([1]raw_data!T:T,[1]raw_data!$A:$A,$B141)</f>
        <v>0.67837338262476798</v>
      </c>
      <c r="Y141" s="27">
        <f>SUMIFS([1]raw_data!U:U,[1]raw_data!$A:$A,$B141)</f>
        <v>49.832486000000003</v>
      </c>
      <c r="Z141" s="28">
        <f>SUMIFS([1]raw_data!V:V,[1]raw_data!$A:$A,$B141)</f>
        <v>0.65619223659889003</v>
      </c>
      <c r="AA141" s="25">
        <f t="shared" si="2"/>
        <v>68.384905000000003</v>
      </c>
    </row>
    <row r="142" spans="1:27" x14ac:dyDescent="0.25">
      <c r="A142" s="40"/>
      <c r="B142" s="25" t="s">
        <v>379</v>
      </c>
      <c r="C142" s="25" t="s">
        <v>380</v>
      </c>
      <c r="D142" s="25" t="s">
        <v>381</v>
      </c>
      <c r="E142" s="25" t="s">
        <v>19</v>
      </c>
      <c r="F142" s="26">
        <f>IFERROR(INDEX([1]raw_data!B:B,MATCH('SAIDI excl MEDs sort (5-yr avg)'!B48,[1]raw_data!A:A,0)),0)</f>
        <v>562.42857100000003</v>
      </c>
      <c r="G142" s="27">
        <f>SUMIFS([1]raw_data!C:C,[1]raw_data!$A:$A,$B142)</f>
        <v>142.24473900000001</v>
      </c>
      <c r="H142" s="28">
        <f>SUMIFS([1]raw_data!D:D,[1]raw_data!$A:$A,$B142)</f>
        <v>1.2429245283018799</v>
      </c>
      <c r="I142" s="27">
        <f>SUMIFS([1]raw_data!E:E,[1]raw_data!$A:$A,$B142)</f>
        <v>142.24473900000001</v>
      </c>
      <c r="J142" s="28">
        <f>SUMIFS([1]raw_data!F:F,[1]raw_data!$A:$A,$B142)</f>
        <v>1.2429245283018799</v>
      </c>
      <c r="K142" s="27">
        <f>SUMIFS([1]raw_data!G:G,[1]raw_data!$A:$A,$B142)</f>
        <v>61.511440999999998</v>
      </c>
      <c r="L142" s="28">
        <f>SUMIFS([1]raw_data!H:H,[1]raw_data!$A:$A,$B142)</f>
        <v>0.34805653710247297</v>
      </c>
      <c r="M142" s="27">
        <f>SUMIFS([1]raw_data!I:I,[1]raw_data!$A:$A,$B142)</f>
        <v>59.682250000000003</v>
      </c>
      <c r="N142" s="28">
        <f>SUMIFS([1]raw_data!J:J,[1]raw_data!$A:$A,$B142)</f>
        <v>0.34687868080094197</v>
      </c>
      <c r="O142" s="27">
        <f>SUMIFS([1]raw_data!K:K,[1]raw_data!$A:$A,$B142)</f>
        <v>107.423496</v>
      </c>
      <c r="P142" s="28">
        <f>SUMIFS([1]raw_data!L:L,[1]raw_data!$A:$A,$B142)</f>
        <v>0.403321470937129</v>
      </c>
      <c r="Q142" s="27">
        <f>SUMIFS([1]raw_data!M:M,[1]raw_data!$A:$A,$B142)</f>
        <v>104.02406000000001</v>
      </c>
      <c r="R142" s="28">
        <f>SUMIFS([1]raw_data!N:N,[1]raw_data!$A:$A,$B142)</f>
        <v>0.40154211150652402</v>
      </c>
      <c r="S142" s="27">
        <f>SUMIFS([1]raw_data!O:O,[1]raw_data!$A:$A,$B142)</f>
        <v>13.595487</v>
      </c>
      <c r="T142" s="28">
        <f>SUMIFS([1]raw_data!P:P,[1]raw_data!$A:$A,$B142)</f>
        <v>0.15623136553369099</v>
      </c>
      <c r="U142" s="27">
        <f>SUMIFS([1]raw_data!Q:Q,[1]raw_data!$A:$A,$B142)</f>
        <v>13.595487</v>
      </c>
      <c r="V142" s="28">
        <f>SUMIFS([1]raw_data!R:R,[1]raw_data!$A:$A,$B142)</f>
        <v>0.15623136553369099</v>
      </c>
      <c r="W142" s="27">
        <f>SUMIFS([1]raw_data!S:S,[1]raw_data!$A:$A,$B142)</f>
        <v>495.15842700000002</v>
      </c>
      <c r="X142" s="28">
        <f>SUMIFS([1]raw_data!T:T,[1]raw_data!$A:$A,$B142)</f>
        <v>2.0715447154471498</v>
      </c>
      <c r="Y142" s="27">
        <f>SUMIFS([1]raw_data!U:U,[1]raw_data!$A:$A,$B142)</f>
        <v>19.950284</v>
      </c>
      <c r="Z142" s="28">
        <f>SUMIFS([1]raw_data!V:V,[1]raw_data!$A:$A,$B142)</f>
        <v>0.21869918699186899</v>
      </c>
      <c r="AA142" s="25">
        <f t="shared" si="2"/>
        <v>67.899364000000006</v>
      </c>
    </row>
    <row r="143" spans="1:27" x14ac:dyDescent="0.25">
      <c r="A143" s="40"/>
      <c r="B143" s="25" t="s">
        <v>382</v>
      </c>
      <c r="C143" s="25" t="s">
        <v>35</v>
      </c>
      <c r="D143" s="25" t="s">
        <v>383</v>
      </c>
      <c r="E143" s="25" t="s">
        <v>15</v>
      </c>
      <c r="F143" s="26">
        <f>IFERROR(INDEX([1]raw_data!B:B,MATCH('SAIDI excl MEDs sort (5-yr avg)'!B148,[1]raw_data!A:A,0)),0)</f>
        <v>554.20000000000005</v>
      </c>
      <c r="G143" s="27">
        <f>SUMIFS([1]raw_data!C:C,[1]raw_data!$A:$A,$B143)</f>
        <v>3.4794619999999998</v>
      </c>
      <c r="H143" s="28">
        <f>SUMIFS([1]raw_data!D:D,[1]raw_data!$A:$A,$B143)</f>
        <v>1.1627906976744099E-2</v>
      </c>
      <c r="I143" s="27">
        <f>SUMIFS([1]raw_data!E:E,[1]raw_data!$A:$A,$B143)</f>
        <v>3.4794619999999998</v>
      </c>
      <c r="J143" s="28">
        <f>SUMIFS([1]raw_data!F:F,[1]raw_data!$A:$A,$B143)</f>
        <v>1.1627906976744099E-2</v>
      </c>
      <c r="K143" s="27">
        <f>SUMIFS([1]raw_data!G:G,[1]raw_data!$A:$A,$B143)</f>
        <v>0</v>
      </c>
      <c r="L143" s="28">
        <f>SUMIFS([1]raw_data!H:H,[1]raw_data!$A:$A,$B143)</f>
        <v>0</v>
      </c>
      <c r="M143" s="27">
        <f>SUMIFS([1]raw_data!I:I,[1]raw_data!$A:$A,$B143)</f>
        <v>0</v>
      </c>
      <c r="N143" s="28">
        <f>SUMIFS([1]raw_data!J:J,[1]raw_data!$A:$A,$B143)</f>
        <v>0</v>
      </c>
      <c r="O143" s="27">
        <f>SUMIFS([1]raw_data!K:K,[1]raw_data!$A:$A,$B143)</f>
        <v>588.61204999999995</v>
      </c>
      <c r="P143" s="28">
        <f>SUMIFS([1]raw_data!L:L,[1]raw_data!$A:$A,$B143)</f>
        <v>2.6087912087912</v>
      </c>
      <c r="Q143" s="27">
        <f>SUMIFS([1]raw_data!M:M,[1]raw_data!$A:$A,$B143)</f>
        <v>156.064908</v>
      </c>
      <c r="R143" s="28">
        <f>SUMIFS([1]raw_data!N:N,[1]raw_data!$A:$A,$B143)</f>
        <v>1.21318681318681</v>
      </c>
      <c r="S143" s="27">
        <f>SUMIFS([1]raw_data!O:O,[1]raw_data!$A:$A,$B143)</f>
        <v>108.523449</v>
      </c>
      <c r="T143" s="28">
        <f>SUMIFS([1]raw_data!P:P,[1]raw_data!$A:$A,$B143)</f>
        <v>0.18968692449355401</v>
      </c>
      <c r="U143" s="27">
        <f>SUMIFS([1]raw_data!Q:Q,[1]raw_data!$A:$A,$B143)</f>
        <v>26.060773000000001</v>
      </c>
      <c r="V143" s="28">
        <f>SUMIFS([1]raw_data!R:R,[1]raw_data!$A:$A,$B143)</f>
        <v>0.13259668508287201</v>
      </c>
      <c r="W143" s="27">
        <f>SUMIFS([1]raw_data!S:S,[1]raw_data!$A:$A,$B143)</f>
        <v>150.91484500000001</v>
      </c>
      <c r="X143" s="28">
        <f>SUMIFS([1]raw_data!T:T,[1]raw_data!$A:$A,$B143)</f>
        <v>1.6539162112932599</v>
      </c>
      <c r="Y143" s="27">
        <f>SUMIFS([1]raw_data!U:U,[1]raw_data!$A:$A,$B143)</f>
        <v>150.91484500000001</v>
      </c>
      <c r="Z143" s="28">
        <f>SUMIFS([1]raw_data!V:V,[1]raw_data!$A:$A,$B143)</f>
        <v>1.6539162112932599</v>
      </c>
      <c r="AA143" s="25">
        <f t="shared" si="2"/>
        <v>67.303997600000002</v>
      </c>
    </row>
    <row r="144" spans="1:27" x14ac:dyDescent="0.25">
      <c r="A144" s="40"/>
      <c r="B144" s="25" t="s">
        <v>384</v>
      </c>
      <c r="C144" s="25" t="s">
        <v>306</v>
      </c>
      <c r="D144" s="25" t="s">
        <v>385</v>
      </c>
      <c r="E144" s="25" t="s">
        <v>27</v>
      </c>
      <c r="F144" s="26">
        <f>IFERROR(INDEX([1]raw_data!B:B,MATCH('SAIDI excl MEDs sort (5-yr avg)'!B149,[1]raw_data!A:A,0)),0)</f>
        <v>1665.4</v>
      </c>
      <c r="G144" s="27">
        <f>SUMIFS([1]raw_data!C:C,[1]raw_data!$A:$A,$B144)</f>
        <v>588.83929000000001</v>
      </c>
      <c r="H144" s="28">
        <f>SUMIFS([1]raw_data!D:D,[1]raw_data!$A:$A,$B144)</f>
        <v>2.63552833078101</v>
      </c>
      <c r="I144" s="27">
        <f>SUMIFS([1]raw_data!E:E,[1]raw_data!$A:$A,$B144)</f>
        <v>69.268190000000004</v>
      </c>
      <c r="J144" s="28">
        <f>SUMIFS([1]raw_data!F:F,[1]raw_data!$A:$A,$B144)</f>
        <v>1.4869831546707499</v>
      </c>
      <c r="K144" s="27">
        <f>SUMIFS([1]raw_data!G:G,[1]raw_data!$A:$A,$B144)</f>
        <v>9.0311939999999993</v>
      </c>
      <c r="L144" s="28">
        <f>SUMIFS([1]raw_data!H:H,[1]raw_data!$A:$A,$B144)</f>
        <v>6.5727699530516395E-2</v>
      </c>
      <c r="M144" s="27">
        <f>SUMIFS([1]raw_data!I:I,[1]raw_data!$A:$A,$B144)</f>
        <v>4.3189190000000002</v>
      </c>
      <c r="N144" s="28">
        <f>SUMIFS([1]raw_data!J:J,[1]raw_data!$A:$A,$B144)</f>
        <v>4.22535211267605E-2</v>
      </c>
      <c r="O144" s="27">
        <f>SUMIFS([1]raw_data!K:K,[1]raw_data!$A:$A,$B144)</f>
        <v>56.317554000000001</v>
      </c>
      <c r="P144" s="28">
        <f>SUMIFS([1]raw_data!L:L,[1]raw_data!$A:$A,$B144)</f>
        <v>0.25235109717868298</v>
      </c>
      <c r="Q144" s="27">
        <f>SUMIFS([1]raw_data!M:M,[1]raw_data!$A:$A,$B144)</f>
        <v>13.854911</v>
      </c>
      <c r="R144" s="28">
        <f>SUMIFS([1]raw_data!N:N,[1]raw_data!$A:$A,$B144)</f>
        <v>0.21786833855799301</v>
      </c>
      <c r="S144" s="27">
        <f>SUMIFS([1]raw_data!O:O,[1]raw_data!$A:$A,$B144)</f>
        <v>157.70102299999999</v>
      </c>
      <c r="T144" s="28">
        <f>SUMIFS([1]raw_data!P:P,[1]raw_data!$A:$A,$B144)</f>
        <v>1.1133858267716501</v>
      </c>
      <c r="U144" s="27">
        <f>SUMIFS([1]raw_data!Q:Q,[1]raw_data!$A:$A,$B144)</f>
        <v>157.70102299999999</v>
      </c>
      <c r="V144" s="28">
        <f>SUMIFS([1]raw_data!R:R,[1]raw_data!$A:$A,$B144)</f>
        <v>1.1133858267716501</v>
      </c>
      <c r="W144" s="27">
        <f>SUMIFS([1]raw_data!S:S,[1]raw_data!$A:$A,$B144)</f>
        <v>171.20580000000001</v>
      </c>
      <c r="X144" s="28">
        <f>SUMIFS([1]raw_data!T:T,[1]raw_data!$A:$A,$B144)</f>
        <v>1.0571895424836599</v>
      </c>
      <c r="Y144" s="27">
        <f>SUMIFS([1]raw_data!U:U,[1]raw_data!$A:$A,$B144)</f>
        <v>90.874590999999995</v>
      </c>
      <c r="Z144" s="28">
        <f>SUMIFS([1]raw_data!V:V,[1]raw_data!$A:$A,$B144)</f>
        <v>1.02614379084967</v>
      </c>
      <c r="AA144" s="25">
        <f t="shared" si="2"/>
        <v>67.203526799999992</v>
      </c>
    </row>
    <row r="145" spans="1:27" x14ac:dyDescent="0.25">
      <c r="A145" s="40"/>
      <c r="B145" s="25" t="s">
        <v>386</v>
      </c>
      <c r="C145" s="25" t="s">
        <v>200</v>
      </c>
      <c r="D145" s="25" t="s">
        <v>387</v>
      </c>
      <c r="E145" s="25" t="s">
        <v>15</v>
      </c>
      <c r="F145" s="26">
        <f>IFERROR(INDEX([1]raw_data!B:B,MATCH('SAIDI excl MEDs sort (5-yr avg)'!B94,[1]raw_data!A:A,0)),0)</f>
        <v>1312.2</v>
      </c>
      <c r="G145" s="27">
        <f>SUMIFS([1]raw_data!C:C,[1]raw_data!$A:$A,$B145)</f>
        <v>73.632633999999996</v>
      </c>
      <c r="H145" s="28">
        <f>SUMIFS([1]raw_data!D:D,[1]raw_data!$A:$A,$B145)</f>
        <v>0.28301886792452802</v>
      </c>
      <c r="I145" s="27">
        <f>SUMIFS([1]raw_data!E:E,[1]raw_data!$A:$A,$B145)</f>
        <v>70.586792000000003</v>
      </c>
      <c r="J145" s="28">
        <f>SUMIFS([1]raw_data!F:F,[1]raw_data!$A:$A,$B145)</f>
        <v>0.27568134171907699</v>
      </c>
      <c r="K145" s="27">
        <f>SUMIFS([1]raw_data!G:G,[1]raw_data!$A:$A,$B145)</f>
        <v>84.796969000000004</v>
      </c>
      <c r="L145" s="28">
        <f>SUMIFS([1]raw_data!H:H,[1]raw_data!$A:$A,$B145)</f>
        <v>0.237402597402597</v>
      </c>
      <c r="M145" s="27">
        <f>SUMIFS([1]raw_data!I:I,[1]raw_data!$A:$A,$B145)</f>
        <v>27.375238</v>
      </c>
      <c r="N145" s="28">
        <f>SUMIFS([1]raw_data!J:J,[1]raw_data!$A:$A,$B145)</f>
        <v>0.17714285714285699</v>
      </c>
      <c r="O145" s="27">
        <f>SUMIFS([1]raw_data!K:K,[1]raw_data!$A:$A,$B145)</f>
        <v>125.346813</v>
      </c>
      <c r="P145" s="28">
        <f>SUMIFS([1]raw_data!L:L,[1]raw_data!$A:$A,$B145)</f>
        <v>0.41822916666666599</v>
      </c>
      <c r="Q145" s="27">
        <f>SUMIFS([1]raw_data!M:M,[1]raw_data!$A:$A,$B145)</f>
        <v>66.081648999999999</v>
      </c>
      <c r="R145" s="28">
        <f>SUMIFS([1]raw_data!N:N,[1]raw_data!$A:$A,$B145)</f>
        <v>0.36354166666666599</v>
      </c>
      <c r="S145" s="27">
        <f>SUMIFS([1]raw_data!O:O,[1]raw_data!$A:$A,$B145)</f>
        <v>227.852925</v>
      </c>
      <c r="T145" s="28">
        <f>SUMIFS([1]raw_data!P:P,[1]raw_data!$A:$A,$B145)</f>
        <v>0.49684542586750702</v>
      </c>
      <c r="U145" s="27">
        <f>SUMIFS([1]raw_data!Q:Q,[1]raw_data!$A:$A,$B145)</f>
        <v>133.55388099999999</v>
      </c>
      <c r="V145" s="28">
        <f>SUMIFS([1]raw_data!R:R,[1]raw_data!$A:$A,$B145)</f>
        <v>0.41377497371188199</v>
      </c>
      <c r="W145" s="27">
        <f>SUMIFS([1]raw_data!S:S,[1]raw_data!$A:$A,$B145)</f>
        <v>38.539836999999999</v>
      </c>
      <c r="X145" s="28">
        <f>SUMIFS([1]raw_data!T:T,[1]raw_data!$A:$A,$B145)</f>
        <v>0.21525600835945599</v>
      </c>
      <c r="Y145" s="27">
        <f>SUMIFS([1]raw_data!U:U,[1]raw_data!$A:$A,$B145)</f>
        <v>35.918120000000002</v>
      </c>
      <c r="Z145" s="28">
        <f>SUMIFS([1]raw_data!V:V,[1]raw_data!$A:$A,$B145)</f>
        <v>0.205329153605015</v>
      </c>
      <c r="AA145" s="25">
        <f t="shared" si="2"/>
        <v>66.703136000000001</v>
      </c>
    </row>
    <row r="146" spans="1:27" x14ac:dyDescent="0.25">
      <c r="A146" s="40"/>
      <c r="B146" s="25" t="s">
        <v>388</v>
      </c>
      <c r="C146" s="25" t="s">
        <v>217</v>
      </c>
      <c r="D146" s="25" t="s">
        <v>389</v>
      </c>
      <c r="E146" s="25" t="s">
        <v>65</v>
      </c>
      <c r="F146" s="26">
        <f>IFERROR(INDEX([1]raw_data!B:B,MATCH('SAIDI excl MEDs sort (5-yr avg)'!B144,[1]raw_data!A:A,0)),0)</f>
        <v>635.44444399999998</v>
      </c>
      <c r="G146" s="27">
        <f>SUMIFS([1]raw_data!C:C,[1]raw_data!$A:$A,$B146)</f>
        <v>733.007925</v>
      </c>
      <c r="H146" s="28">
        <f>SUMIFS([1]raw_data!D:D,[1]raw_data!$A:$A,$B146)</f>
        <v>0.43062926459438899</v>
      </c>
      <c r="I146" s="27">
        <f>SUMIFS([1]raw_data!E:E,[1]raw_data!$A:$A,$B146)</f>
        <v>5.7287730000000003</v>
      </c>
      <c r="J146" s="28">
        <f>SUMIFS([1]raw_data!F:F,[1]raw_data!$A:$A,$B146)</f>
        <v>3.0326004548900599E-2</v>
      </c>
      <c r="K146" s="27">
        <f>SUMIFS([1]raw_data!G:G,[1]raw_data!$A:$A,$B146)</f>
        <v>127.704762</v>
      </c>
      <c r="L146" s="28">
        <f>SUMIFS([1]raw_data!H:H,[1]raw_data!$A:$A,$B146)</f>
        <v>0.15769522365428301</v>
      </c>
      <c r="M146" s="27">
        <f>SUMIFS([1]raw_data!I:I,[1]raw_data!$A:$A,$B146)</f>
        <v>8.3831030000000002</v>
      </c>
      <c r="N146" s="28">
        <f>SUMIFS([1]raw_data!J:J,[1]raw_data!$A:$A,$B146)</f>
        <v>6.5959059893858904E-2</v>
      </c>
      <c r="O146" s="27">
        <f>SUMIFS([1]raw_data!K:K,[1]raw_data!$A:$A,$B146)</f>
        <v>43.272317999999999</v>
      </c>
      <c r="P146" s="28">
        <f>SUMIFS([1]raw_data!L:L,[1]raw_data!$A:$A,$B146)</f>
        <v>0.16312594840667599</v>
      </c>
      <c r="Q146" s="27">
        <f>SUMIFS([1]raw_data!M:M,[1]raw_data!$A:$A,$B146)</f>
        <v>17.443031999999999</v>
      </c>
      <c r="R146" s="28">
        <f>SUMIFS([1]raw_data!N:N,[1]raw_data!$A:$A,$B146)</f>
        <v>0.13125948406676699</v>
      </c>
      <c r="S146" s="27">
        <f>SUMIFS([1]raw_data!O:O,[1]raw_data!$A:$A,$B146)</f>
        <v>722.14689199999998</v>
      </c>
      <c r="T146" s="28">
        <f>SUMIFS([1]raw_data!P:P,[1]raw_data!$A:$A,$B146)</f>
        <v>0.67608861726508696</v>
      </c>
      <c r="U146" s="27">
        <f>SUMIFS([1]raw_data!Q:Q,[1]raw_data!$A:$A,$B146)</f>
        <v>47.337088999999999</v>
      </c>
      <c r="V146" s="28">
        <f>SUMIFS([1]raw_data!R:R,[1]raw_data!$A:$A,$B146)</f>
        <v>0.53934300993124495</v>
      </c>
      <c r="W146" s="27">
        <f>SUMIFS([1]raw_data!S:S,[1]raw_data!$A:$A,$B146)</f>
        <v>242.481685</v>
      </c>
      <c r="X146" s="28">
        <f>SUMIFS([1]raw_data!T:T,[1]raw_data!$A:$A,$B146)</f>
        <v>1.10029069767441</v>
      </c>
      <c r="Y146" s="27">
        <f>SUMIFS([1]raw_data!U:U,[1]raw_data!$A:$A,$B146)</f>
        <v>241.794791</v>
      </c>
      <c r="Z146" s="28">
        <f>SUMIFS([1]raw_data!V:V,[1]raw_data!$A:$A,$B146)</f>
        <v>1.0995639534883701</v>
      </c>
      <c r="AA146" s="25">
        <f t="shared" si="2"/>
        <v>64.137357600000001</v>
      </c>
    </row>
    <row r="147" spans="1:27" x14ac:dyDescent="0.25">
      <c r="A147" s="40"/>
      <c r="B147" s="25" t="s">
        <v>390</v>
      </c>
      <c r="C147" s="25" t="s">
        <v>214</v>
      </c>
      <c r="D147" s="25" t="s">
        <v>391</v>
      </c>
      <c r="E147" s="25" t="s">
        <v>23</v>
      </c>
      <c r="F147" s="26">
        <f>IFERROR(INDEX([1]raw_data!B:B,MATCH('SAIDI excl MEDs sort (5-yr avg)'!B119,[1]raw_data!A:A,0)),0)</f>
        <v>544.6</v>
      </c>
      <c r="G147" s="27">
        <f>SUMIFS([1]raw_data!C:C,[1]raw_data!$A:$A,$B147)</f>
        <v>21.548161</v>
      </c>
      <c r="H147" s="28">
        <f>SUMIFS([1]raw_data!D:D,[1]raw_data!$A:$A,$B147)</f>
        <v>0.16582914572864299</v>
      </c>
      <c r="I147" s="27">
        <f>SUMIFS([1]raw_data!E:E,[1]raw_data!$A:$A,$B147)</f>
        <v>21.548161</v>
      </c>
      <c r="J147" s="28">
        <f>SUMIFS([1]raw_data!F:F,[1]raw_data!$A:$A,$B147)</f>
        <v>0.16582914572864299</v>
      </c>
      <c r="K147" s="27">
        <f>SUMIFS([1]raw_data!G:G,[1]raw_data!$A:$A,$B147)</f>
        <v>0</v>
      </c>
      <c r="L147" s="28">
        <f>SUMIFS([1]raw_data!H:H,[1]raw_data!$A:$A,$B147)</f>
        <v>0</v>
      </c>
      <c r="M147" s="27">
        <f>SUMIFS([1]raw_data!I:I,[1]raw_data!$A:$A,$B147)</f>
        <v>0</v>
      </c>
      <c r="N147" s="28">
        <f>SUMIFS([1]raw_data!J:J,[1]raw_data!$A:$A,$B147)</f>
        <v>0</v>
      </c>
      <c r="O147" s="27">
        <f>SUMIFS([1]raw_data!K:K,[1]raw_data!$A:$A,$B147)</f>
        <v>0</v>
      </c>
      <c r="P147" s="28">
        <f>SUMIFS([1]raw_data!L:L,[1]raw_data!$A:$A,$B147)</f>
        <v>0</v>
      </c>
      <c r="Q147" s="27">
        <f>SUMIFS([1]raw_data!M:M,[1]raw_data!$A:$A,$B147)</f>
        <v>0</v>
      </c>
      <c r="R147" s="28">
        <f>SUMIFS([1]raw_data!N:N,[1]raw_data!$A:$A,$B147)</f>
        <v>0</v>
      </c>
      <c r="S147" s="27">
        <f>SUMIFS([1]raw_data!O:O,[1]raw_data!$A:$A,$B147)</f>
        <v>0</v>
      </c>
      <c r="T147" s="28">
        <f>SUMIFS([1]raw_data!P:P,[1]raw_data!$A:$A,$B147)</f>
        <v>0</v>
      </c>
      <c r="U147" s="27">
        <f>SUMIFS([1]raw_data!Q:Q,[1]raw_data!$A:$A,$B147)</f>
        <v>0</v>
      </c>
      <c r="V147" s="28">
        <f>SUMIFS([1]raw_data!R:R,[1]raw_data!$A:$A,$B147)</f>
        <v>0</v>
      </c>
      <c r="W147" s="27">
        <f>SUMIFS([1]raw_data!S:S,[1]raw_data!$A:$A,$B147)</f>
        <v>298.35981700000002</v>
      </c>
      <c r="X147" s="28">
        <f>SUMIFS([1]raw_data!T:T,[1]raw_data!$A:$A,$B147)</f>
        <v>0.87671232876712302</v>
      </c>
      <c r="Y147" s="27">
        <f>SUMIFS([1]raw_data!U:U,[1]raw_data!$A:$A,$B147)</f>
        <v>298.35981700000002</v>
      </c>
      <c r="Z147" s="28">
        <f>SUMIFS([1]raw_data!V:V,[1]raw_data!$A:$A,$B147)</f>
        <v>0.87671232876712302</v>
      </c>
      <c r="AA147" s="25">
        <f t="shared" si="2"/>
        <v>63.981595600000006</v>
      </c>
    </row>
    <row r="148" spans="1:27" x14ac:dyDescent="0.25">
      <c r="A148" s="40"/>
      <c r="B148" s="25" t="s">
        <v>392</v>
      </c>
      <c r="C148" s="25" t="s">
        <v>128</v>
      </c>
      <c r="D148" s="25" t="s">
        <v>393</v>
      </c>
      <c r="E148" s="25" t="s">
        <v>15</v>
      </c>
      <c r="F148" s="26">
        <f>IFERROR(INDEX([1]raw_data!B:B,MATCH('SAIDI excl MEDs sort (5-yr avg)'!B136,[1]raw_data!A:A,0)),0)</f>
        <v>707.22222199999999</v>
      </c>
      <c r="G148" s="27">
        <f>SUMIFS([1]raw_data!C:C,[1]raw_data!$A:$A,$B148)</f>
        <v>16.134229999999999</v>
      </c>
      <c r="H148" s="28">
        <f>SUMIFS([1]raw_data!D:D,[1]raw_data!$A:$A,$B148)</f>
        <v>3.5514018691588697E-2</v>
      </c>
      <c r="I148" s="27">
        <f>SUMIFS([1]raw_data!E:E,[1]raw_data!$A:$A,$B148)</f>
        <v>10.659521</v>
      </c>
      <c r="J148" s="28">
        <f>SUMIFS([1]raw_data!F:F,[1]raw_data!$A:$A,$B148)</f>
        <v>3.3644859813084099E-2</v>
      </c>
      <c r="K148" s="27">
        <f>SUMIFS([1]raw_data!G:G,[1]raw_data!$A:$A,$B148)</f>
        <v>348.60878100000002</v>
      </c>
      <c r="L148" s="28">
        <f>SUMIFS([1]raw_data!H:H,[1]raw_data!$A:$A,$B148)</f>
        <v>1.3314606741573001</v>
      </c>
      <c r="M148" s="27">
        <f>SUMIFS([1]raw_data!I:I,[1]raw_data!$A:$A,$B148)</f>
        <v>166.76711</v>
      </c>
      <c r="N148" s="28">
        <f>SUMIFS([1]raw_data!J:J,[1]raw_data!$A:$A,$B148)</f>
        <v>1.2378277153557999</v>
      </c>
      <c r="O148" s="27">
        <f>SUMIFS([1]raw_data!K:K,[1]raw_data!$A:$A,$B148)</f>
        <v>54.497926999999997</v>
      </c>
      <c r="P148" s="28">
        <f>SUMIFS([1]raw_data!L:L,[1]raw_data!$A:$A,$B148)</f>
        <v>0.170172084130019</v>
      </c>
      <c r="Q148" s="27">
        <f>SUMIFS([1]raw_data!M:M,[1]raw_data!$A:$A,$B148)</f>
        <v>47.01708</v>
      </c>
      <c r="R148" s="28">
        <f>SUMIFS([1]raw_data!N:N,[1]raw_data!$A:$A,$B148)</f>
        <v>0.164435946462715</v>
      </c>
      <c r="S148" s="27">
        <f>SUMIFS([1]raw_data!O:O,[1]raw_data!$A:$A,$B148)</f>
        <v>134.37495200000001</v>
      </c>
      <c r="T148" s="28">
        <f>SUMIFS([1]raw_data!P:P,[1]raw_data!$A:$A,$B148)</f>
        <v>0.15238095238095201</v>
      </c>
      <c r="U148" s="27">
        <f>SUMIFS([1]raw_data!Q:Q,[1]raw_data!$A:$A,$B148)</f>
        <v>13.885586999999999</v>
      </c>
      <c r="V148" s="28">
        <f>SUMIFS([1]raw_data!R:R,[1]raw_data!$A:$A,$B148)</f>
        <v>0.12761904761904699</v>
      </c>
      <c r="W148" s="27">
        <f>SUMIFS([1]raw_data!S:S,[1]raw_data!$A:$A,$B148)</f>
        <v>65.790952000000004</v>
      </c>
      <c r="X148" s="28">
        <f>SUMIFS([1]raw_data!T:T,[1]raw_data!$A:$A,$B148)</f>
        <v>0.13302752293577899</v>
      </c>
      <c r="Y148" s="27">
        <f>SUMIFS([1]raw_data!U:U,[1]raw_data!$A:$A,$B148)</f>
        <v>65.615009999999998</v>
      </c>
      <c r="Z148" s="28">
        <f>SUMIFS([1]raw_data!V:V,[1]raw_data!$A:$A,$B148)</f>
        <v>0.13149847094801201</v>
      </c>
      <c r="AA148" s="25">
        <f t="shared" si="2"/>
        <v>60.788861599999997</v>
      </c>
    </row>
    <row r="149" spans="1:27" x14ac:dyDescent="0.25">
      <c r="A149" s="40"/>
      <c r="B149" s="25" t="s">
        <v>394</v>
      </c>
      <c r="C149" s="25" t="s">
        <v>395</v>
      </c>
      <c r="D149" s="25" t="s">
        <v>396</v>
      </c>
      <c r="E149" s="25" t="s">
        <v>31</v>
      </c>
      <c r="F149" s="26">
        <f>IFERROR(INDEX([1]raw_data!B:B,MATCH('SAIDI excl MEDs sort (5-yr avg)'!B37,[1]raw_data!A:A,0)),0)</f>
        <v>1080.5555549999999</v>
      </c>
      <c r="G149" s="27">
        <f>SUMIFS([1]raw_data!C:C,[1]raw_data!$A:$A,$B149)</f>
        <v>3957.1273930000002</v>
      </c>
      <c r="H149" s="28">
        <f>SUMIFS([1]raw_data!D:D,[1]raw_data!$A:$A,$B149)</f>
        <v>2.79638752052545</v>
      </c>
      <c r="I149" s="27">
        <f>SUMIFS([1]raw_data!E:E,[1]raw_data!$A:$A,$B149)</f>
        <v>183.21883399999999</v>
      </c>
      <c r="J149" s="28">
        <f>SUMIFS([1]raw_data!F:F,[1]raw_data!$A:$A,$B149)</f>
        <v>1.4822112753147201</v>
      </c>
      <c r="K149" s="27">
        <f>SUMIFS([1]raw_data!G:G,[1]raw_data!$A:$A,$B149)</f>
        <v>210.718771</v>
      </c>
      <c r="L149" s="28">
        <f>SUMIFS([1]raw_data!H:H,[1]raw_data!$A:$A,$B149)</f>
        <v>0.476780185758513</v>
      </c>
      <c r="M149" s="27">
        <f>SUMIFS([1]raw_data!I:I,[1]raw_data!$A:$A,$B149)</f>
        <v>21.000278999999999</v>
      </c>
      <c r="N149" s="28">
        <f>SUMIFS([1]raw_data!J:J,[1]raw_data!$A:$A,$B149)</f>
        <v>0.18988648090815199</v>
      </c>
      <c r="O149" s="27">
        <f>SUMIFS([1]raw_data!K:K,[1]raw_data!$A:$A,$B149)</f>
        <v>58.141278999999997</v>
      </c>
      <c r="P149" s="28">
        <f>SUMIFS([1]raw_data!L:L,[1]raw_data!$A:$A,$B149)</f>
        <v>1.00646678424456</v>
      </c>
      <c r="Q149" s="27">
        <f>SUMIFS([1]raw_data!M:M,[1]raw_data!$A:$A,$B149)</f>
        <v>42.457318999999998</v>
      </c>
      <c r="R149" s="28">
        <f>SUMIFS([1]raw_data!N:N,[1]raw_data!$A:$A,$B149)</f>
        <v>0.92475014697236901</v>
      </c>
      <c r="S149" s="27">
        <f>SUMIFS([1]raw_data!O:O,[1]raw_data!$A:$A,$B149)</f>
        <v>15.954567000000001</v>
      </c>
      <c r="T149" s="28">
        <f>SUMIFS([1]raw_data!P:P,[1]raw_data!$A:$A,$B149)</f>
        <v>0.116152450090744</v>
      </c>
      <c r="U149" s="27">
        <f>SUMIFS([1]raw_data!Q:Q,[1]raw_data!$A:$A,$B149)</f>
        <v>7.714912</v>
      </c>
      <c r="V149" s="28">
        <f>SUMIFS([1]raw_data!R:R,[1]raw_data!$A:$A,$B149)</f>
        <v>9.9818511796733206E-2</v>
      </c>
      <c r="W149" s="27">
        <f>SUMIFS([1]raw_data!S:S,[1]raw_data!$A:$A,$B149)</f>
        <v>35.988684999999997</v>
      </c>
      <c r="X149" s="28">
        <f>SUMIFS([1]raw_data!T:T,[1]raw_data!$A:$A,$B149)</f>
        <v>0.40079590676520699</v>
      </c>
      <c r="Y149" s="27">
        <f>SUMIFS([1]raw_data!U:U,[1]raw_data!$A:$A,$B149)</f>
        <v>34.664695000000002</v>
      </c>
      <c r="Z149" s="28">
        <f>SUMIFS([1]raw_data!V:V,[1]raw_data!$A:$A,$B149)</f>
        <v>0.39340534394542298</v>
      </c>
      <c r="AA149" s="25">
        <f t="shared" si="2"/>
        <v>57.811207799999998</v>
      </c>
    </row>
    <row r="150" spans="1:27" x14ac:dyDescent="0.25">
      <c r="A150" s="40"/>
      <c r="B150" s="25" t="s">
        <v>397</v>
      </c>
      <c r="C150" s="25" t="s">
        <v>214</v>
      </c>
      <c r="D150" s="25" t="s">
        <v>398</v>
      </c>
      <c r="E150" s="25" t="s">
        <v>23</v>
      </c>
      <c r="F150" s="26">
        <f>IFERROR(INDEX([1]raw_data!B:B,MATCH('SAIDI excl MEDs sort (5-yr avg)'!B174,[1]raw_data!A:A,0)),0)</f>
        <v>115</v>
      </c>
      <c r="G150" s="27">
        <f>SUMIFS([1]raw_data!C:C,[1]raw_data!$A:$A,$B150)</f>
        <v>0</v>
      </c>
      <c r="H150" s="28">
        <f>SUMIFS([1]raw_data!D:D,[1]raw_data!$A:$A,$B150)</f>
        <v>0</v>
      </c>
      <c r="I150" s="27">
        <f>SUMIFS([1]raw_data!E:E,[1]raw_data!$A:$A,$B150)</f>
        <v>0</v>
      </c>
      <c r="J150" s="28">
        <f>SUMIFS([1]raw_data!F:F,[1]raw_data!$A:$A,$B150)</f>
        <v>0</v>
      </c>
      <c r="K150" s="27">
        <f>SUMIFS([1]raw_data!G:G,[1]raw_data!$A:$A,$B150)</f>
        <v>0</v>
      </c>
      <c r="L150" s="28">
        <f>SUMIFS([1]raw_data!H:H,[1]raw_data!$A:$A,$B150)</f>
        <v>0</v>
      </c>
      <c r="M150" s="27">
        <f>SUMIFS([1]raw_data!I:I,[1]raw_data!$A:$A,$B150)</f>
        <v>0</v>
      </c>
      <c r="N150" s="28">
        <f>SUMIFS([1]raw_data!J:J,[1]raw_data!$A:$A,$B150)</f>
        <v>0</v>
      </c>
      <c r="O150" s="27">
        <f>SUMIFS([1]raw_data!K:K,[1]raw_data!$A:$A,$B150)</f>
        <v>129.01828900000001</v>
      </c>
      <c r="P150" s="28">
        <f>SUMIFS([1]raw_data!L:L,[1]raw_data!$A:$A,$B150)</f>
        <v>1.01769911504424</v>
      </c>
      <c r="Q150" s="27">
        <f>SUMIFS([1]raw_data!M:M,[1]raw_data!$A:$A,$B150)</f>
        <v>129.01828900000001</v>
      </c>
      <c r="R150" s="28">
        <f>SUMIFS([1]raw_data!N:N,[1]raw_data!$A:$A,$B150)</f>
        <v>1.01769911504424</v>
      </c>
      <c r="S150" s="27">
        <f>SUMIFS([1]raw_data!O:O,[1]raw_data!$A:$A,$B150)</f>
        <v>102.919062</v>
      </c>
      <c r="T150" s="28">
        <f>SUMIFS([1]raw_data!P:P,[1]raw_data!$A:$A,$B150)</f>
        <v>1.125</v>
      </c>
      <c r="U150" s="27">
        <f>SUMIFS([1]raw_data!Q:Q,[1]raw_data!$A:$A,$B150)</f>
        <v>102.919062</v>
      </c>
      <c r="V150" s="28">
        <f>SUMIFS([1]raw_data!R:R,[1]raw_data!$A:$A,$B150)</f>
        <v>1.125</v>
      </c>
      <c r="W150" s="27">
        <f>SUMIFS([1]raw_data!S:S,[1]raw_data!$A:$A,$B150)</f>
        <v>52.696013999999998</v>
      </c>
      <c r="X150" s="28">
        <f>SUMIFS([1]raw_data!T:T,[1]raw_data!$A:$A,$B150)</f>
        <v>0.25362318840579701</v>
      </c>
      <c r="Y150" s="27">
        <f>SUMIFS([1]raw_data!U:U,[1]raw_data!$A:$A,$B150)</f>
        <v>52.696013999999998</v>
      </c>
      <c r="Z150" s="28">
        <f>SUMIFS([1]raw_data!V:V,[1]raw_data!$A:$A,$B150)</f>
        <v>0.25362318840579701</v>
      </c>
      <c r="AA150" s="25">
        <f t="shared" si="2"/>
        <v>56.926673000000008</v>
      </c>
    </row>
    <row r="151" spans="1:27" x14ac:dyDescent="0.25">
      <c r="A151" s="40"/>
      <c r="B151" s="25" t="s">
        <v>399</v>
      </c>
      <c r="C151" s="25" t="s">
        <v>200</v>
      </c>
      <c r="D151" s="25" t="s">
        <v>400</v>
      </c>
      <c r="E151" s="25" t="s">
        <v>15</v>
      </c>
      <c r="F151" s="26">
        <f>IFERROR(INDEX([1]raw_data!B:B,MATCH('SAIDI excl MEDs sort (5-yr avg)'!B193,[1]raw_data!A:A,0)),0)</f>
        <v>0</v>
      </c>
      <c r="G151" s="27">
        <f>SUMIFS([1]raw_data!C:C,[1]raw_data!$A:$A,$B151)</f>
        <v>0</v>
      </c>
      <c r="H151" s="28">
        <f>SUMIFS([1]raw_data!D:D,[1]raw_data!$A:$A,$B151)</f>
        <v>0</v>
      </c>
      <c r="I151" s="27">
        <f>SUMIFS([1]raw_data!E:E,[1]raw_data!$A:$A,$B151)</f>
        <v>0</v>
      </c>
      <c r="J151" s="28">
        <f>SUMIFS([1]raw_data!F:F,[1]raw_data!$A:$A,$B151)</f>
        <v>0</v>
      </c>
      <c r="K151" s="27">
        <f>SUMIFS([1]raw_data!G:G,[1]raw_data!$A:$A,$B151)</f>
        <v>53.860880000000002</v>
      </c>
      <c r="L151" s="28">
        <f>SUMIFS([1]raw_data!H:H,[1]raw_data!$A:$A,$B151)</f>
        <v>0.19148936170212699</v>
      </c>
      <c r="M151" s="27">
        <f>SUMIFS([1]raw_data!I:I,[1]raw_data!$A:$A,$B151)</f>
        <v>0</v>
      </c>
      <c r="N151" s="28">
        <f>SUMIFS([1]raw_data!J:J,[1]raw_data!$A:$A,$B151)</f>
        <v>0</v>
      </c>
      <c r="O151" s="27">
        <f>SUMIFS([1]raw_data!K:K,[1]raw_data!$A:$A,$B151)</f>
        <v>52.584443999999998</v>
      </c>
      <c r="P151" s="28">
        <f>SUMIFS([1]raw_data!L:L,[1]raw_data!$A:$A,$B151)</f>
        <v>0.97777777777777697</v>
      </c>
      <c r="Q151" s="27">
        <f>SUMIFS([1]raw_data!M:M,[1]raw_data!$A:$A,$B151)</f>
        <v>52.584443999999998</v>
      </c>
      <c r="R151" s="28">
        <f>SUMIFS([1]raw_data!N:N,[1]raw_data!$A:$A,$B151)</f>
        <v>0.97777777777777697</v>
      </c>
      <c r="S151" s="27">
        <f>SUMIFS([1]raw_data!O:O,[1]raw_data!$A:$A,$B151)</f>
        <v>209.23742100000001</v>
      </c>
      <c r="T151" s="28">
        <f>SUMIFS([1]raw_data!P:P,[1]raw_data!$A:$A,$B151)</f>
        <v>1.5471698113207499</v>
      </c>
      <c r="U151" s="27">
        <f>SUMIFS([1]raw_data!Q:Q,[1]raw_data!$A:$A,$B151)</f>
        <v>209.23742100000001</v>
      </c>
      <c r="V151" s="28">
        <f>SUMIFS([1]raw_data!R:R,[1]raw_data!$A:$A,$B151)</f>
        <v>1.5471698113207499</v>
      </c>
      <c r="W151" s="27">
        <f>SUMIFS([1]raw_data!S:S,[1]raw_data!$A:$A,$B151)</f>
        <v>1.2451380000000001</v>
      </c>
      <c r="X151" s="28">
        <f>SUMIFS([1]raw_data!T:T,[1]raw_data!$A:$A,$B151)</f>
        <v>2.0833333333333301E-2</v>
      </c>
      <c r="Y151" s="27">
        <f>SUMIFS([1]raw_data!U:U,[1]raw_data!$A:$A,$B151)</f>
        <v>1.2451380000000001</v>
      </c>
      <c r="Z151" s="28">
        <f>SUMIFS([1]raw_data!V:V,[1]raw_data!$A:$A,$B151)</f>
        <v>2.0833333333333301E-2</v>
      </c>
      <c r="AA151" s="25">
        <f t="shared" si="2"/>
        <v>52.613400599999999</v>
      </c>
    </row>
    <row r="152" spans="1:27" ht="65.45" customHeight="1" x14ac:dyDescent="0.25">
      <c r="A152" s="40"/>
      <c r="B152" s="25" t="s">
        <v>401</v>
      </c>
      <c r="C152" s="25" t="s">
        <v>35</v>
      </c>
      <c r="D152" s="25" t="s">
        <v>402</v>
      </c>
      <c r="E152" s="25" t="s">
        <v>15</v>
      </c>
      <c r="F152" s="26">
        <f>IFERROR(INDEX([1]raw_data!B:B,MATCH('SAIDI excl MEDs sort (5-yr avg)'!B73,[1]raw_data!A:A,0)),0)</f>
        <v>400.33333299999998</v>
      </c>
      <c r="G152" s="27">
        <f>SUMIFS([1]raw_data!C:C,[1]raw_data!$A:$A,$B152)</f>
        <v>142.65076400000001</v>
      </c>
      <c r="H152" s="28">
        <f>SUMIFS([1]raw_data!D:D,[1]raw_data!$A:$A,$B152)</f>
        <v>0.28237585199610499</v>
      </c>
      <c r="I152" s="27">
        <f>SUMIFS([1]raw_data!E:E,[1]raw_data!$A:$A,$B152)</f>
        <v>83.926181</v>
      </c>
      <c r="J152" s="28">
        <f>SUMIFS([1]raw_data!F:F,[1]raw_data!$A:$A,$B152)</f>
        <v>0.25121713729308598</v>
      </c>
      <c r="K152" s="27">
        <f>SUMIFS([1]raw_data!G:G,[1]raw_data!$A:$A,$B152)</f>
        <v>143.527275</v>
      </c>
      <c r="L152" s="28">
        <f>SUMIFS([1]raw_data!H:H,[1]raw_data!$A:$A,$B152)</f>
        <v>0.236548715462918</v>
      </c>
      <c r="M152" s="27">
        <f>SUMIFS([1]raw_data!I:I,[1]raw_data!$A:$A,$B152)</f>
        <v>59.153781000000002</v>
      </c>
      <c r="N152" s="28">
        <f>SUMIFS([1]raw_data!J:J,[1]raw_data!$A:$A,$B152)</f>
        <v>0.170140571982549</v>
      </c>
      <c r="O152" s="27">
        <f>SUMIFS([1]raw_data!K:K,[1]raw_data!$A:$A,$B152)</f>
        <v>80.719560000000001</v>
      </c>
      <c r="P152" s="28">
        <f>SUMIFS([1]raw_data!L:L,[1]raw_data!$A:$A,$B152)</f>
        <v>0.179942693409742</v>
      </c>
      <c r="Q152" s="27">
        <f>SUMIFS([1]raw_data!M:M,[1]raw_data!$A:$A,$B152)</f>
        <v>39.607630999999998</v>
      </c>
      <c r="R152" s="28">
        <f>SUMIFS([1]raw_data!N:N,[1]raw_data!$A:$A,$B152)</f>
        <v>0.15014326647564399</v>
      </c>
      <c r="S152" s="27">
        <f>SUMIFS([1]raw_data!O:O,[1]raw_data!$A:$A,$B152)</f>
        <v>48.465052</v>
      </c>
      <c r="T152" s="28">
        <f>SUMIFS([1]raw_data!P:P,[1]raw_data!$A:$A,$B152)</f>
        <v>0.160332541567695</v>
      </c>
      <c r="U152" s="27">
        <f>SUMIFS([1]raw_data!Q:Q,[1]raw_data!$A:$A,$B152)</f>
        <v>33.496831999999998</v>
      </c>
      <c r="V152" s="28">
        <f>SUMIFS([1]raw_data!R:R,[1]raw_data!$A:$A,$B152)</f>
        <v>0.13895486935866899</v>
      </c>
      <c r="W152" s="27">
        <f>SUMIFS([1]raw_data!S:S,[1]raw_data!$A:$A,$B152)</f>
        <v>111.206092</v>
      </c>
      <c r="X152" s="28">
        <f>SUMIFS([1]raw_data!T:T,[1]raw_data!$A:$A,$B152)</f>
        <v>0.15582893966022199</v>
      </c>
      <c r="Y152" s="27">
        <f>SUMIFS([1]raw_data!U:U,[1]raw_data!$A:$A,$B152)</f>
        <v>33.345058999999999</v>
      </c>
      <c r="Z152" s="28">
        <f>SUMIFS([1]raw_data!V:V,[1]raw_data!$A:$A,$B152)</f>
        <v>0.10193321616871701</v>
      </c>
      <c r="AA152" s="25">
        <f t="shared" si="2"/>
        <v>49.905896799999994</v>
      </c>
    </row>
    <row r="153" spans="1:27" x14ac:dyDescent="0.25">
      <c r="A153" s="40"/>
      <c r="B153" s="25" t="s">
        <v>403</v>
      </c>
      <c r="C153" s="25" t="s">
        <v>404</v>
      </c>
      <c r="D153" s="25" t="s">
        <v>405</v>
      </c>
      <c r="E153" s="25" t="s">
        <v>65</v>
      </c>
      <c r="F153" s="26">
        <f>IFERROR(INDEX([1]raw_data!B:B,MATCH('SAIDI excl MEDs sort (5-yr avg)'!B133,[1]raw_data!A:A,0)),0)</f>
        <v>695.4</v>
      </c>
      <c r="G153" s="27">
        <f>SUMIFS([1]raw_data!C:C,[1]raw_data!$A:$A,$B153)</f>
        <v>37.731288999999997</v>
      </c>
      <c r="H153" s="28">
        <f>SUMIFS([1]raw_data!D:D,[1]raw_data!$A:$A,$B153)</f>
        <v>0.15893470790378</v>
      </c>
      <c r="I153" s="27">
        <f>SUMIFS([1]raw_data!E:E,[1]raw_data!$A:$A,$B153)</f>
        <v>12.554207999999999</v>
      </c>
      <c r="J153" s="28">
        <f>SUMIFS([1]raw_data!F:F,[1]raw_data!$A:$A,$B153)</f>
        <v>0.131443298969072</v>
      </c>
      <c r="K153" s="27">
        <f>SUMIFS([1]raw_data!G:G,[1]raw_data!$A:$A,$B153)</f>
        <v>180.49183099999999</v>
      </c>
      <c r="L153" s="28">
        <f>SUMIFS([1]raw_data!H:H,[1]raw_data!$A:$A,$B153)</f>
        <v>1.1828231292517</v>
      </c>
      <c r="M153" s="27">
        <f>SUMIFS([1]raw_data!I:I,[1]raw_data!$A:$A,$B153)</f>
        <v>162.13663099999999</v>
      </c>
      <c r="N153" s="28">
        <f>SUMIFS([1]raw_data!J:J,[1]raw_data!$A:$A,$B153)</f>
        <v>1.06377551020408</v>
      </c>
      <c r="O153" s="27">
        <f>SUMIFS([1]raw_data!K:K,[1]raw_data!$A:$A,$B153)</f>
        <v>18.454775999999999</v>
      </c>
      <c r="P153" s="28">
        <f>SUMIFS([1]raw_data!L:L,[1]raw_data!$A:$A,$B153)</f>
        <v>0.167517006802721</v>
      </c>
      <c r="Q153" s="27">
        <f>SUMIFS([1]raw_data!M:M,[1]raw_data!$A:$A,$B153)</f>
        <v>18.454775999999999</v>
      </c>
      <c r="R153" s="28">
        <f>SUMIFS([1]raw_data!N:N,[1]raw_data!$A:$A,$B153)</f>
        <v>0.167517006802721</v>
      </c>
      <c r="S153" s="27">
        <f>SUMIFS([1]raw_data!O:O,[1]raw_data!$A:$A,$B153)</f>
        <v>1219.3193679999999</v>
      </c>
      <c r="T153" s="28">
        <f>SUMIFS([1]raw_data!P:P,[1]raw_data!$A:$A,$B153)</f>
        <v>0.57300509337860706</v>
      </c>
      <c r="U153" s="27">
        <f>SUMIFS([1]raw_data!Q:Q,[1]raw_data!$A:$A,$B153)</f>
        <v>27.978847999999999</v>
      </c>
      <c r="V153" s="28">
        <f>SUMIFS([1]raw_data!R:R,[1]raw_data!$A:$A,$B153)</f>
        <v>0.194397283531409</v>
      </c>
      <c r="W153" s="27">
        <f>SUMIFS([1]raw_data!S:S,[1]raw_data!$A:$A,$B153)</f>
        <v>54.828643</v>
      </c>
      <c r="X153" s="28">
        <f>SUMIFS([1]raw_data!T:T,[1]raw_data!$A:$A,$B153)</f>
        <v>0.192668371696504</v>
      </c>
      <c r="Y153" s="27">
        <f>SUMIFS([1]raw_data!U:U,[1]raw_data!$A:$A,$B153)</f>
        <v>14.328118</v>
      </c>
      <c r="Z153" s="28">
        <f>SUMIFS([1]raw_data!V:V,[1]raw_data!$A:$A,$B153)</f>
        <v>0.15601023017902799</v>
      </c>
      <c r="AA153" s="25">
        <f t="shared" si="2"/>
        <v>47.090516199999996</v>
      </c>
    </row>
    <row r="154" spans="1:27" x14ac:dyDescent="0.25">
      <c r="A154" s="40"/>
      <c r="B154" s="25" t="s">
        <v>406</v>
      </c>
      <c r="C154" s="25" t="s">
        <v>106</v>
      </c>
      <c r="D154" s="25" t="s">
        <v>407</v>
      </c>
      <c r="E154" s="25" t="s">
        <v>19</v>
      </c>
      <c r="F154" s="26">
        <f>IFERROR(INDEX([1]raw_data!B:B,MATCH('SAIDI excl MEDs sort (5-yr avg)'!B157,[1]raw_data!A:A,0)),0)</f>
        <v>54.333333000000003</v>
      </c>
      <c r="G154" s="27">
        <f>SUMIFS([1]raw_data!C:C,[1]raw_data!$A:$A,$B154)</f>
        <v>0.59336800000000001</v>
      </c>
      <c r="H154" s="28">
        <f>SUMIFS([1]raw_data!D:D,[1]raw_data!$A:$A,$B154)</f>
        <v>2.2988505747126402E-3</v>
      </c>
      <c r="I154" s="27">
        <f>SUMIFS([1]raw_data!E:E,[1]raw_data!$A:$A,$B154)</f>
        <v>0.59336800000000001</v>
      </c>
      <c r="J154" s="28">
        <f>SUMIFS([1]raw_data!F:F,[1]raw_data!$A:$A,$B154)</f>
        <v>2.2988505747126402E-3</v>
      </c>
      <c r="K154" s="27">
        <f>SUMIFS([1]raw_data!G:G,[1]raw_data!$A:$A,$B154)</f>
        <v>1290.819289</v>
      </c>
      <c r="L154" s="28">
        <f>SUMIFS([1]raw_data!H:H,[1]raw_data!$A:$A,$B154)</f>
        <v>0.999999999999999</v>
      </c>
      <c r="M154" s="27">
        <f>SUMIFS([1]raw_data!I:I,[1]raw_data!$A:$A,$B154)</f>
        <v>0.61386300000000005</v>
      </c>
      <c r="N154" s="28">
        <f>SUMIFS([1]raw_data!J:J,[1]raw_data!$A:$A,$B154)</f>
        <v>4.60829493087557E-3</v>
      </c>
      <c r="O154" s="27">
        <f>SUMIFS([1]raw_data!K:K,[1]raw_data!$A:$A,$B154)</f>
        <v>174.943701</v>
      </c>
      <c r="P154" s="28">
        <f>SUMIFS([1]raw_data!L:L,[1]raw_data!$A:$A,$B154)</f>
        <v>1.8386411889596599</v>
      </c>
      <c r="Q154" s="27">
        <f>SUMIFS([1]raw_data!M:M,[1]raw_data!$A:$A,$B154)</f>
        <v>174.943701</v>
      </c>
      <c r="R154" s="28">
        <f>SUMIFS([1]raw_data!N:N,[1]raw_data!$A:$A,$B154)</f>
        <v>1.8386411889596599</v>
      </c>
      <c r="S154" s="27">
        <f>SUMIFS([1]raw_data!O:O,[1]raw_data!$A:$A,$B154)</f>
        <v>52.983893000000002</v>
      </c>
      <c r="T154" s="28">
        <f>SUMIFS([1]raw_data!P:P,[1]raw_data!$A:$A,$B154)</f>
        <v>0.47899159663865498</v>
      </c>
      <c r="U154" s="27">
        <f>SUMIFS([1]raw_data!Q:Q,[1]raw_data!$A:$A,$B154)</f>
        <v>52.983893000000002</v>
      </c>
      <c r="V154" s="28">
        <f>SUMIFS([1]raw_data!R:R,[1]raw_data!$A:$A,$B154)</f>
        <v>0.47899159663865498</v>
      </c>
      <c r="W154" s="27">
        <f>SUMIFS([1]raw_data!S:S,[1]raw_data!$A:$A,$B154)</f>
        <v>8.5267160000000004</v>
      </c>
      <c r="X154" s="28">
        <f>SUMIFS([1]raw_data!T:T,[1]raw_data!$A:$A,$B154)</f>
        <v>2.4809160305343501E-2</v>
      </c>
      <c r="Y154" s="27">
        <f>SUMIFS([1]raw_data!U:U,[1]raw_data!$A:$A,$B154)</f>
        <v>3.4368629999999998</v>
      </c>
      <c r="Z154" s="28">
        <f>SUMIFS([1]raw_data!V:V,[1]raw_data!$A:$A,$B154)</f>
        <v>2.0992366412213699E-2</v>
      </c>
      <c r="AA154" s="25">
        <f t="shared" si="2"/>
        <v>46.514337599999998</v>
      </c>
    </row>
    <row r="155" spans="1:27" x14ac:dyDescent="0.25">
      <c r="A155" s="40"/>
      <c r="B155" s="25" t="s">
        <v>408</v>
      </c>
      <c r="C155" s="25" t="s">
        <v>46</v>
      </c>
      <c r="D155" s="25" t="s">
        <v>409</v>
      </c>
      <c r="E155" s="25" t="s">
        <v>19</v>
      </c>
      <c r="F155" s="26">
        <f>IFERROR(INDEX([1]raw_data!B:B,MATCH('SAIDI excl MEDs sort (5-yr avg)'!B182,[1]raw_data!A:A,0)),0)</f>
        <v>22</v>
      </c>
      <c r="G155" s="27">
        <f>SUMIFS([1]raw_data!C:C,[1]raw_data!$A:$A,$B155)</f>
        <v>0</v>
      </c>
      <c r="H155" s="28">
        <f>SUMIFS([1]raw_data!D:D,[1]raw_data!$A:$A,$B155)</f>
        <v>0</v>
      </c>
      <c r="I155" s="27">
        <f>SUMIFS([1]raw_data!E:E,[1]raw_data!$A:$A,$B155)</f>
        <v>0</v>
      </c>
      <c r="J155" s="28">
        <f>SUMIFS([1]raw_data!F:F,[1]raw_data!$A:$A,$B155)</f>
        <v>0</v>
      </c>
      <c r="K155" s="27">
        <f>SUMIFS([1]raw_data!G:G,[1]raw_data!$A:$A,$B155)</f>
        <v>0</v>
      </c>
      <c r="L155" s="28">
        <f>SUMIFS([1]raw_data!H:H,[1]raw_data!$A:$A,$B155)</f>
        <v>0</v>
      </c>
      <c r="M155" s="27">
        <f>SUMIFS([1]raw_data!I:I,[1]raw_data!$A:$A,$B155)</f>
        <v>0</v>
      </c>
      <c r="N155" s="28">
        <f>SUMIFS([1]raw_data!J:J,[1]raw_data!$A:$A,$B155)</f>
        <v>0</v>
      </c>
      <c r="O155" s="27">
        <f>SUMIFS([1]raw_data!K:K,[1]raw_data!$A:$A,$B155)</f>
        <v>232.14107799999999</v>
      </c>
      <c r="P155" s="28">
        <f>SUMIFS([1]raw_data!L:L,[1]raw_data!$A:$A,$B155)</f>
        <v>1.21176470588235</v>
      </c>
      <c r="Q155" s="27">
        <f>SUMIFS([1]raw_data!M:M,[1]raw_data!$A:$A,$B155)</f>
        <v>232.14107799999999</v>
      </c>
      <c r="R155" s="28">
        <f>SUMIFS([1]raw_data!N:N,[1]raw_data!$A:$A,$B155)</f>
        <v>1.21176470588235</v>
      </c>
      <c r="S155" s="27">
        <f>SUMIFS([1]raw_data!O:O,[1]raw_data!$A:$A,$B155)</f>
        <v>0</v>
      </c>
      <c r="T155" s="28">
        <f>SUMIFS([1]raw_data!P:P,[1]raw_data!$A:$A,$B155)</f>
        <v>0</v>
      </c>
      <c r="U155" s="27">
        <f>SUMIFS([1]raw_data!Q:Q,[1]raw_data!$A:$A,$B155)</f>
        <v>0</v>
      </c>
      <c r="V155" s="28">
        <f>SUMIFS([1]raw_data!R:R,[1]raw_data!$A:$A,$B155)</f>
        <v>0</v>
      </c>
      <c r="W155" s="27">
        <f>SUMIFS([1]raw_data!S:S,[1]raw_data!$A:$A,$B155)</f>
        <v>0</v>
      </c>
      <c r="X155" s="28">
        <f>SUMIFS([1]raw_data!T:T,[1]raw_data!$A:$A,$B155)</f>
        <v>0</v>
      </c>
      <c r="Y155" s="27">
        <f>SUMIFS([1]raw_data!U:U,[1]raw_data!$A:$A,$B155)</f>
        <v>0</v>
      </c>
      <c r="Z155" s="28">
        <f>SUMIFS([1]raw_data!V:V,[1]raw_data!$A:$A,$B155)</f>
        <v>0</v>
      </c>
      <c r="AA155" s="25">
        <f t="shared" si="2"/>
        <v>46.428215600000001</v>
      </c>
    </row>
    <row r="156" spans="1:27" x14ac:dyDescent="0.25">
      <c r="A156" s="40"/>
      <c r="B156" s="25" t="s">
        <v>410</v>
      </c>
      <c r="C156" s="25" t="s">
        <v>214</v>
      </c>
      <c r="D156" s="25" t="s">
        <v>411</v>
      </c>
      <c r="E156" s="25" t="s">
        <v>23</v>
      </c>
      <c r="F156" s="26">
        <f>IFERROR(INDEX([1]raw_data!B:B,MATCH('SAIDI excl MEDs sort (5-yr avg)'!B176,[1]raw_data!A:A,0)),0)</f>
        <v>194.33333300000001</v>
      </c>
      <c r="G156" s="27">
        <f>SUMIFS([1]raw_data!C:C,[1]raw_data!$A:$A,$B156)</f>
        <v>0</v>
      </c>
      <c r="H156" s="28">
        <f>SUMIFS([1]raw_data!D:D,[1]raw_data!$A:$A,$B156)</f>
        <v>0</v>
      </c>
      <c r="I156" s="27">
        <f>SUMIFS([1]raw_data!E:E,[1]raw_data!$A:$A,$B156)</f>
        <v>0</v>
      </c>
      <c r="J156" s="28">
        <f>SUMIFS([1]raw_data!F:F,[1]raw_data!$A:$A,$B156)</f>
        <v>0</v>
      </c>
      <c r="K156" s="27">
        <f>SUMIFS([1]raw_data!G:G,[1]raw_data!$A:$A,$B156)</f>
        <v>0</v>
      </c>
      <c r="L156" s="28">
        <f>SUMIFS([1]raw_data!H:H,[1]raw_data!$A:$A,$B156)</f>
        <v>0</v>
      </c>
      <c r="M156" s="27">
        <f>SUMIFS([1]raw_data!I:I,[1]raw_data!$A:$A,$B156)</f>
        <v>0</v>
      </c>
      <c r="N156" s="28">
        <f>SUMIFS([1]raw_data!J:J,[1]raw_data!$A:$A,$B156)</f>
        <v>0</v>
      </c>
      <c r="O156" s="27">
        <f>SUMIFS([1]raw_data!K:K,[1]raw_data!$A:$A,$B156)</f>
        <v>0</v>
      </c>
      <c r="P156" s="28">
        <f>SUMIFS([1]raw_data!L:L,[1]raw_data!$A:$A,$B156)</f>
        <v>0</v>
      </c>
      <c r="Q156" s="27">
        <f>SUMIFS([1]raw_data!M:M,[1]raw_data!$A:$A,$B156)</f>
        <v>0</v>
      </c>
      <c r="R156" s="28">
        <f>SUMIFS([1]raw_data!N:N,[1]raw_data!$A:$A,$B156)</f>
        <v>0</v>
      </c>
      <c r="S156" s="27">
        <f>SUMIFS([1]raw_data!O:O,[1]raw_data!$A:$A,$B156)</f>
        <v>47.838003999999998</v>
      </c>
      <c r="T156" s="28">
        <f>SUMIFS([1]raw_data!P:P,[1]raw_data!$A:$A,$B156)</f>
        <v>6.8181818181818094E-2</v>
      </c>
      <c r="U156" s="27">
        <f>SUMIFS([1]raw_data!Q:Q,[1]raw_data!$A:$A,$B156)</f>
        <v>43.054544999999997</v>
      </c>
      <c r="V156" s="28">
        <f>SUMIFS([1]raw_data!R:R,[1]raw_data!$A:$A,$B156)</f>
        <v>6.0606060606060601E-2</v>
      </c>
      <c r="W156" s="27">
        <f>SUMIFS([1]raw_data!S:S,[1]raw_data!$A:$A,$B156)</f>
        <v>186.31504899999999</v>
      </c>
      <c r="X156" s="28">
        <f>SUMIFS([1]raw_data!T:T,[1]raw_data!$A:$A,$B156)</f>
        <v>1.0597014925373101</v>
      </c>
      <c r="Y156" s="27">
        <f>SUMIFS([1]raw_data!U:U,[1]raw_data!$A:$A,$B156)</f>
        <v>186.31504899999999</v>
      </c>
      <c r="Z156" s="28">
        <f>SUMIFS([1]raw_data!V:V,[1]raw_data!$A:$A,$B156)</f>
        <v>1.0597014925373101</v>
      </c>
      <c r="AA156" s="25">
        <f t="shared" si="2"/>
        <v>45.873918799999998</v>
      </c>
    </row>
    <row r="157" spans="1:27" x14ac:dyDescent="0.25">
      <c r="A157" s="40"/>
      <c r="B157" s="25" t="s">
        <v>412</v>
      </c>
      <c r="C157" s="25" t="s">
        <v>179</v>
      </c>
      <c r="D157" s="25" t="s">
        <v>413</v>
      </c>
      <c r="E157" s="25" t="s">
        <v>23</v>
      </c>
      <c r="F157" s="26">
        <f>IFERROR(INDEX([1]raw_data!B:B,MATCH('SAIDI excl MEDs sort (5-yr avg)'!B153,[1]raw_data!A:A,0)),0)</f>
        <v>1173.1111109999999</v>
      </c>
      <c r="G157" s="27">
        <f>SUMIFS([1]raw_data!C:C,[1]raw_data!$A:$A,$B157)</f>
        <v>1.8020240000000001</v>
      </c>
      <c r="H157" s="28">
        <f>SUMIFS([1]raw_data!D:D,[1]raw_data!$A:$A,$B157)</f>
        <v>1.4925373134328301E-2</v>
      </c>
      <c r="I157" s="27">
        <f>SUMIFS([1]raw_data!E:E,[1]raw_data!$A:$A,$B157)</f>
        <v>1.8020240000000001</v>
      </c>
      <c r="J157" s="28">
        <f>SUMIFS([1]raw_data!F:F,[1]raw_data!$A:$A,$B157)</f>
        <v>1.4925373134328301E-2</v>
      </c>
      <c r="K157" s="27">
        <f>SUMIFS([1]raw_data!G:G,[1]raw_data!$A:$A,$B157)</f>
        <v>30.347342000000001</v>
      </c>
      <c r="L157" s="28">
        <f>SUMIFS([1]raw_data!H:H,[1]raw_data!$A:$A,$B157)</f>
        <v>0.15942028985507201</v>
      </c>
      <c r="M157" s="27">
        <f>SUMIFS([1]raw_data!I:I,[1]raw_data!$A:$A,$B157)</f>
        <v>30.347342000000001</v>
      </c>
      <c r="N157" s="28">
        <f>SUMIFS([1]raw_data!J:J,[1]raw_data!$A:$A,$B157)</f>
        <v>0.15942028985507201</v>
      </c>
      <c r="O157" s="27">
        <f>SUMIFS([1]raw_data!K:K,[1]raw_data!$A:$A,$B157)</f>
        <v>0</v>
      </c>
      <c r="P157" s="28">
        <f>SUMIFS([1]raw_data!L:L,[1]raw_data!$A:$A,$B157)</f>
        <v>0</v>
      </c>
      <c r="Q157" s="27">
        <f>SUMIFS([1]raw_data!M:M,[1]raw_data!$A:$A,$B157)</f>
        <v>0</v>
      </c>
      <c r="R157" s="28">
        <f>SUMIFS([1]raw_data!N:N,[1]raw_data!$A:$A,$B157)</f>
        <v>0</v>
      </c>
      <c r="S157" s="27">
        <f>SUMIFS([1]raw_data!O:O,[1]raw_data!$A:$A,$B157)</f>
        <v>0</v>
      </c>
      <c r="T157" s="28">
        <f>SUMIFS([1]raw_data!P:P,[1]raw_data!$A:$A,$B157)</f>
        <v>0</v>
      </c>
      <c r="U157" s="27">
        <f>SUMIFS([1]raw_data!Q:Q,[1]raw_data!$A:$A,$B157)</f>
        <v>0</v>
      </c>
      <c r="V157" s="28">
        <f>SUMIFS([1]raw_data!R:R,[1]raw_data!$A:$A,$B157)</f>
        <v>0</v>
      </c>
      <c r="W157" s="27">
        <f>SUMIFS([1]raw_data!S:S,[1]raw_data!$A:$A,$B157)</f>
        <v>190.981481</v>
      </c>
      <c r="X157" s="28">
        <f>SUMIFS([1]raw_data!T:T,[1]raw_data!$A:$A,$B157)</f>
        <v>0.55555555555555503</v>
      </c>
      <c r="Y157" s="27">
        <f>SUMIFS([1]raw_data!U:U,[1]raw_data!$A:$A,$B157)</f>
        <v>190.981481</v>
      </c>
      <c r="Z157" s="28">
        <f>SUMIFS([1]raw_data!V:V,[1]raw_data!$A:$A,$B157)</f>
        <v>0.55555555555555503</v>
      </c>
      <c r="AA157" s="25">
        <f t="shared" si="2"/>
        <v>44.626169400000002</v>
      </c>
    </row>
    <row r="158" spans="1:27" x14ac:dyDescent="0.25">
      <c r="A158" s="40"/>
      <c r="B158" s="25" t="s">
        <v>414</v>
      </c>
      <c r="C158" s="25" t="s">
        <v>277</v>
      </c>
      <c r="D158" s="25" t="s">
        <v>415</v>
      </c>
      <c r="E158" s="25" t="s">
        <v>19</v>
      </c>
      <c r="F158" s="26">
        <f>IFERROR(INDEX([1]raw_data!B:B,MATCH('SAIDI excl MEDs sort (5-yr avg)'!B146,[1]raw_data!A:A,0)),0)</f>
        <v>1328.2</v>
      </c>
      <c r="G158" s="27">
        <f>SUMIFS([1]raw_data!C:C,[1]raw_data!$A:$A,$B158)</f>
        <v>4.9020809999999999</v>
      </c>
      <c r="H158" s="28">
        <f>SUMIFS([1]raw_data!D:D,[1]raw_data!$A:$A,$B158)</f>
        <v>4.0507564665690499E-2</v>
      </c>
      <c r="I158" s="27">
        <f>SUMIFS([1]raw_data!E:E,[1]raw_data!$A:$A,$B158)</f>
        <v>4.9020809999999999</v>
      </c>
      <c r="J158" s="28">
        <f>SUMIFS([1]raw_data!F:F,[1]raw_data!$A:$A,$B158)</f>
        <v>4.0507564665690499E-2</v>
      </c>
      <c r="K158" s="27">
        <f>SUMIFS([1]raw_data!G:G,[1]raw_data!$A:$A,$B158)</f>
        <v>112.6602</v>
      </c>
      <c r="L158" s="28">
        <f>SUMIFS([1]raw_data!H:H,[1]raw_data!$A:$A,$B158)</f>
        <v>0.56481481481481399</v>
      </c>
      <c r="M158" s="27">
        <f>SUMIFS([1]raw_data!I:I,[1]raw_data!$A:$A,$B158)</f>
        <v>67.458219</v>
      </c>
      <c r="N158" s="28">
        <f>SUMIFS([1]raw_data!J:J,[1]raw_data!$A:$A,$B158)</f>
        <v>0.53167641325535997</v>
      </c>
      <c r="O158" s="27">
        <f>SUMIFS([1]raw_data!K:K,[1]raw_data!$A:$A,$B158)</f>
        <v>99.585459</v>
      </c>
      <c r="P158" s="28">
        <f>SUMIFS([1]raw_data!L:L,[1]raw_data!$A:$A,$B158)</f>
        <v>1.46468582562104</v>
      </c>
      <c r="Q158" s="27">
        <f>SUMIFS([1]raw_data!M:M,[1]raw_data!$A:$A,$B158)</f>
        <v>98.793926999999996</v>
      </c>
      <c r="R158" s="28">
        <f>SUMIFS([1]raw_data!N:N,[1]raw_data!$A:$A,$B158)</f>
        <v>1.4641987335606399</v>
      </c>
      <c r="S158" s="27">
        <f>SUMIFS([1]raw_data!O:O,[1]raw_data!$A:$A,$B158)</f>
        <v>9.6821269999999995</v>
      </c>
      <c r="T158" s="28">
        <f>SUMIFS([1]raw_data!P:P,[1]raw_data!$A:$A,$B158)</f>
        <v>8.4555229716520006E-2</v>
      </c>
      <c r="U158" s="27">
        <f>SUMIFS([1]raw_data!Q:Q,[1]raw_data!$A:$A,$B158)</f>
        <v>9.1766529999999999</v>
      </c>
      <c r="V158" s="28">
        <f>SUMIFS([1]raw_data!R:R,[1]raw_data!$A:$A,$B158)</f>
        <v>7.9667644183773201E-2</v>
      </c>
      <c r="W158" s="27">
        <f>SUMIFS([1]raw_data!S:S,[1]raw_data!$A:$A,$B158)</f>
        <v>39.982114000000003</v>
      </c>
      <c r="X158" s="28">
        <f>SUMIFS([1]raw_data!T:T,[1]raw_data!$A:$A,$B158)</f>
        <v>1.0961727183513199</v>
      </c>
      <c r="Y158" s="27">
        <f>SUMIFS([1]raw_data!U:U,[1]raw_data!$A:$A,$B158)</f>
        <v>39.611587999999998</v>
      </c>
      <c r="Z158" s="28">
        <f>SUMIFS([1]raw_data!V:V,[1]raw_data!$A:$A,$B158)</f>
        <v>1.09568204121687</v>
      </c>
      <c r="AA158" s="25">
        <f t="shared" si="2"/>
        <v>43.988493599999991</v>
      </c>
    </row>
    <row r="159" spans="1:27" x14ac:dyDescent="0.25">
      <c r="A159" s="40"/>
      <c r="B159" s="25" t="s">
        <v>416</v>
      </c>
      <c r="C159" s="25" t="s">
        <v>404</v>
      </c>
      <c r="D159" s="25" t="s">
        <v>417</v>
      </c>
      <c r="E159" s="25" t="s">
        <v>65</v>
      </c>
      <c r="F159" s="26">
        <f>IFERROR(INDEX([1]raw_data!B:B,MATCH('SAIDI excl MEDs sort (5-yr avg)'!B162,[1]raw_data!A:A,0)),0)</f>
        <v>877.44444399999998</v>
      </c>
      <c r="G159" s="27">
        <f>SUMIFS([1]raw_data!C:C,[1]raw_data!$A:$A,$B159)</f>
        <v>47.739463999999998</v>
      </c>
      <c r="H159" s="28">
        <f>SUMIFS([1]raw_data!D:D,[1]raw_data!$A:$A,$B159)</f>
        <v>1.47058823529411E-2</v>
      </c>
      <c r="I159" s="27">
        <f>SUMIFS([1]raw_data!E:E,[1]raw_data!$A:$A,$B159)</f>
        <v>0</v>
      </c>
      <c r="J159" s="28">
        <f>SUMIFS([1]raw_data!F:F,[1]raw_data!$A:$A,$B159)</f>
        <v>0</v>
      </c>
      <c r="K159" s="27">
        <f>SUMIFS([1]raw_data!G:G,[1]raw_data!$A:$A,$B159)</f>
        <v>133.92506399999999</v>
      </c>
      <c r="L159" s="28">
        <f>SUMIFS([1]raw_data!H:H,[1]raw_data!$A:$A,$B159)</f>
        <v>0.97058823529411697</v>
      </c>
      <c r="M159" s="27">
        <f>SUMIFS([1]raw_data!I:I,[1]raw_data!$A:$A,$B159)</f>
        <v>133.92506399999999</v>
      </c>
      <c r="N159" s="28">
        <f>SUMIFS([1]raw_data!J:J,[1]raw_data!$A:$A,$B159)</f>
        <v>0.97058823529411697</v>
      </c>
      <c r="O159" s="27">
        <f>SUMIFS([1]raw_data!K:K,[1]raw_data!$A:$A,$B159)</f>
        <v>0</v>
      </c>
      <c r="P159" s="28">
        <f>SUMIFS([1]raw_data!L:L,[1]raw_data!$A:$A,$B159)</f>
        <v>0</v>
      </c>
      <c r="Q159" s="27">
        <f>SUMIFS([1]raw_data!M:M,[1]raw_data!$A:$A,$B159)</f>
        <v>0</v>
      </c>
      <c r="R159" s="28">
        <f>SUMIFS([1]raw_data!N:N,[1]raw_data!$A:$A,$B159)</f>
        <v>0</v>
      </c>
      <c r="S159" s="27">
        <f>SUMIFS([1]raw_data!O:O,[1]raw_data!$A:$A,$B159)</f>
        <v>84.679531999999995</v>
      </c>
      <c r="T159" s="28">
        <f>SUMIFS([1]raw_data!P:P,[1]raw_data!$A:$A,$B159)</f>
        <v>1.9298245614034999</v>
      </c>
      <c r="U159" s="27">
        <f>SUMIFS([1]raw_data!Q:Q,[1]raw_data!$A:$A,$B159)</f>
        <v>84.679531999999995</v>
      </c>
      <c r="V159" s="28">
        <f>SUMIFS([1]raw_data!R:R,[1]raw_data!$A:$A,$B159)</f>
        <v>1.9298245614034999</v>
      </c>
      <c r="W159" s="27">
        <f>SUMIFS([1]raw_data!S:S,[1]raw_data!$A:$A,$B159)</f>
        <v>0</v>
      </c>
      <c r="X159" s="28">
        <f>SUMIFS([1]raw_data!T:T,[1]raw_data!$A:$A,$B159)</f>
        <v>0</v>
      </c>
      <c r="Y159" s="27">
        <f>SUMIFS([1]raw_data!U:U,[1]raw_data!$A:$A,$B159)</f>
        <v>0</v>
      </c>
      <c r="Z159" s="28">
        <f>SUMIFS([1]raw_data!V:V,[1]raw_data!$A:$A,$B159)</f>
        <v>0</v>
      </c>
      <c r="AA159" s="25">
        <f t="shared" si="2"/>
        <v>43.720919199999997</v>
      </c>
    </row>
    <row r="160" spans="1:27" x14ac:dyDescent="0.25">
      <c r="A160" s="40"/>
      <c r="B160" s="25" t="s">
        <v>418</v>
      </c>
      <c r="C160" s="25" t="s">
        <v>133</v>
      </c>
      <c r="D160" s="25" t="s">
        <v>419</v>
      </c>
      <c r="E160" s="25" t="s">
        <v>19</v>
      </c>
      <c r="F160" s="26">
        <f>IFERROR(INDEX([1]raw_data!B:B,MATCH('SAIDI excl MEDs sort (5-yr avg)'!B116,[1]raw_data!A:A,0)),0)</f>
        <v>149</v>
      </c>
      <c r="G160" s="27">
        <f>SUMIFS([1]raw_data!C:C,[1]raw_data!$A:$A,$B160)</f>
        <v>25.365469000000001</v>
      </c>
      <c r="H160" s="28">
        <f>SUMIFS([1]raw_data!D:D,[1]raw_data!$A:$A,$B160)</f>
        <v>0.18621700879765299</v>
      </c>
      <c r="I160" s="27">
        <f>SUMIFS([1]raw_data!E:E,[1]raw_data!$A:$A,$B160)</f>
        <v>24.187404999999998</v>
      </c>
      <c r="J160" s="28">
        <f>SUMIFS([1]raw_data!F:F,[1]raw_data!$A:$A,$B160)</f>
        <v>0.174120234604105</v>
      </c>
      <c r="K160" s="27">
        <f>SUMIFS([1]raw_data!G:G,[1]raw_data!$A:$A,$B160)</f>
        <v>138.79827700000001</v>
      </c>
      <c r="L160" s="28">
        <f>SUMIFS([1]raw_data!H:H,[1]raw_data!$A:$A,$B160)</f>
        <v>0.70413767850604103</v>
      </c>
      <c r="M160" s="27">
        <f>SUMIFS([1]raw_data!I:I,[1]raw_data!$A:$A,$B160)</f>
        <v>50.64743</v>
      </c>
      <c r="N160" s="28">
        <f>SUMIFS([1]raw_data!J:J,[1]raw_data!$A:$A,$B160)</f>
        <v>0.53423654339069904</v>
      </c>
      <c r="O160" s="27">
        <f>SUMIFS([1]raw_data!K:K,[1]raw_data!$A:$A,$B160)</f>
        <v>147.78222299999999</v>
      </c>
      <c r="P160" s="28">
        <f>SUMIFS([1]raw_data!L:L,[1]raw_data!$A:$A,$B160)</f>
        <v>0.98024149286498297</v>
      </c>
      <c r="Q160" s="27">
        <f>SUMIFS([1]raw_data!M:M,[1]raw_data!$A:$A,$B160)</f>
        <v>34.509129000000001</v>
      </c>
      <c r="R160" s="28">
        <f>SUMIFS([1]raw_data!N:N,[1]raw_data!$A:$A,$B160)</f>
        <v>0.28027808269301102</v>
      </c>
      <c r="S160" s="27">
        <f>SUMIFS([1]raw_data!O:O,[1]raw_data!$A:$A,$B160)</f>
        <v>56.527299999999997</v>
      </c>
      <c r="T160" s="28">
        <f>SUMIFS([1]raw_data!P:P,[1]raw_data!$A:$A,$B160)</f>
        <v>0.37586837294332698</v>
      </c>
      <c r="U160" s="27">
        <f>SUMIFS([1]raw_data!Q:Q,[1]raw_data!$A:$A,$B160)</f>
        <v>54.858378999999999</v>
      </c>
      <c r="V160" s="28">
        <f>SUMIFS([1]raw_data!R:R,[1]raw_data!$A:$A,$B160)</f>
        <v>0.36416819012797003</v>
      </c>
      <c r="W160" s="27">
        <f>SUMIFS([1]raw_data!S:S,[1]raw_data!$A:$A,$B160)</f>
        <v>895.26131999999996</v>
      </c>
      <c r="X160" s="28">
        <f>SUMIFS([1]raw_data!T:T,[1]raw_data!$A:$A,$B160)</f>
        <v>0.853049228508449</v>
      </c>
      <c r="Y160" s="27">
        <f>SUMIFS([1]raw_data!U:U,[1]raw_data!$A:$A,$B160)</f>
        <v>48.578831999999998</v>
      </c>
      <c r="Z160" s="28">
        <f>SUMIFS([1]raw_data!V:V,[1]raw_data!$A:$A,$B160)</f>
        <v>0.16605437178545099</v>
      </c>
      <c r="AA160" s="25">
        <f t="shared" si="2"/>
        <v>42.556235000000001</v>
      </c>
    </row>
    <row r="161" spans="1:27" x14ac:dyDescent="0.25">
      <c r="A161" s="40"/>
      <c r="B161" s="25" t="s">
        <v>420</v>
      </c>
      <c r="C161" s="25" t="s">
        <v>366</v>
      </c>
      <c r="D161" s="25" t="s">
        <v>421</v>
      </c>
      <c r="E161" s="25" t="s">
        <v>19</v>
      </c>
      <c r="F161" s="26">
        <f>IFERROR(INDEX([1]raw_data!B:B,MATCH('SAIDI excl MEDs sort (5-yr avg)'!B131,[1]raw_data!A:A,0)),0)</f>
        <v>2590.6</v>
      </c>
      <c r="G161" s="27">
        <f>SUMIFS([1]raw_data!C:C,[1]raw_data!$A:$A,$B161)</f>
        <v>12.802099</v>
      </c>
      <c r="H161" s="28">
        <f>SUMIFS([1]raw_data!D:D,[1]raw_data!$A:$A,$B161)</f>
        <v>0.14705882352941099</v>
      </c>
      <c r="I161" s="27">
        <f>SUMIFS([1]raw_data!E:E,[1]raw_data!$A:$A,$B161)</f>
        <v>12.802099</v>
      </c>
      <c r="J161" s="28">
        <f>SUMIFS([1]raw_data!F:F,[1]raw_data!$A:$A,$B161)</f>
        <v>0.14705882352941099</v>
      </c>
      <c r="K161" s="27">
        <f>SUMIFS([1]raw_data!G:G,[1]raw_data!$A:$A,$B161)</f>
        <v>129.63893300000001</v>
      </c>
      <c r="L161" s="28">
        <f>SUMIFS([1]raw_data!H:H,[1]raw_data!$A:$A,$B161)</f>
        <v>0.91150442477876104</v>
      </c>
      <c r="M161" s="27">
        <f>SUMIFS([1]raw_data!I:I,[1]raw_data!$A:$A,$B161)</f>
        <v>129.63893300000001</v>
      </c>
      <c r="N161" s="28">
        <f>SUMIFS([1]raw_data!J:J,[1]raw_data!$A:$A,$B161)</f>
        <v>0.91150442477876104</v>
      </c>
      <c r="O161" s="27">
        <f>SUMIFS([1]raw_data!K:K,[1]raw_data!$A:$A,$B161)</f>
        <v>61.615825000000001</v>
      </c>
      <c r="P161" s="28">
        <f>SUMIFS([1]raw_data!L:L,[1]raw_data!$A:$A,$B161)</f>
        <v>1.21848739495798</v>
      </c>
      <c r="Q161" s="27">
        <f>SUMIFS([1]raw_data!M:M,[1]raw_data!$A:$A,$B161)</f>
        <v>50.823948999999999</v>
      </c>
      <c r="R161" s="28">
        <f>SUMIFS([1]raw_data!N:N,[1]raw_data!$A:$A,$B161)</f>
        <v>1.2156862745098</v>
      </c>
      <c r="S161" s="27">
        <f>SUMIFS([1]raw_data!O:O,[1]raw_data!$A:$A,$B161)</f>
        <v>0.29169</v>
      </c>
      <c r="T161" s="28">
        <f>SUMIFS([1]raw_data!P:P,[1]raw_data!$A:$A,$B161)</f>
        <v>2.8169014084507E-3</v>
      </c>
      <c r="U161" s="27">
        <f>SUMIFS([1]raw_data!Q:Q,[1]raw_data!$A:$A,$B161)</f>
        <v>0.29169</v>
      </c>
      <c r="V161" s="28">
        <f>SUMIFS([1]raw_data!R:R,[1]raw_data!$A:$A,$B161)</f>
        <v>2.8169014084507E-3</v>
      </c>
      <c r="W161" s="27">
        <f>SUMIFS([1]raw_data!S:S,[1]raw_data!$A:$A,$B161)</f>
        <v>19.078648000000001</v>
      </c>
      <c r="X161" s="28">
        <f>SUMIFS([1]raw_data!T:T,[1]raw_data!$A:$A,$B161)</f>
        <v>0.40540540540540498</v>
      </c>
      <c r="Y161" s="27">
        <f>SUMIFS([1]raw_data!U:U,[1]raw_data!$A:$A,$B161)</f>
        <v>19.078648000000001</v>
      </c>
      <c r="Z161" s="28">
        <f>SUMIFS([1]raw_data!V:V,[1]raw_data!$A:$A,$B161)</f>
        <v>0.40540540540540498</v>
      </c>
      <c r="AA161" s="25">
        <f t="shared" si="2"/>
        <v>42.527063799999993</v>
      </c>
    </row>
    <row r="162" spans="1:27" x14ac:dyDescent="0.25">
      <c r="A162" s="40"/>
      <c r="B162" s="25" t="s">
        <v>422</v>
      </c>
      <c r="C162" s="25" t="s">
        <v>423</v>
      </c>
      <c r="D162" s="25" t="s">
        <v>424</v>
      </c>
      <c r="E162" s="25" t="s">
        <v>23</v>
      </c>
      <c r="F162" s="26">
        <f>IFERROR(INDEX([1]raw_data!B:B,MATCH('SAIDI excl MEDs sort (5-yr avg)'!B118,[1]raw_data!A:A,0)),0)</f>
        <v>988</v>
      </c>
      <c r="G162" s="27">
        <f>SUMIFS([1]raw_data!C:C,[1]raw_data!$A:$A,$B162)</f>
        <v>767.67200200000002</v>
      </c>
      <c r="H162" s="28">
        <f>SUMIFS([1]raw_data!D:D,[1]raw_data!$A:$A,$B162)</f>
        <v>0.29682365826944102</v>
      </c>
      <c r="I162" s="27">
        <f>SUMIFS([1]raw_data!E:E,[1]raw_data!$A:$A,$B162)</f>
        <v>22.260905999999999</v>
      </c>
      <c r="J162" s="28">
        <f>SUMIFS([1]raw_data!F:F,[1]raw_data!$A:$A,$B162)</f>
        <v>9.9671412924424899E-2</v>
      </c>
      <c r="K162" s="27">
        <f>SUMIFS([1]raw_data!G:G,[1]raw_data!$A:$A,$B162)</f>
        <v>3.1894269999999998</v>
      </c>
      <c r="L162" s="28">
        <f>SUMIFS([1]raw_data!H:H,[1]raw_data!$A:$A,$B162)</f>
        <v>7.3993471164309002E-2</v>
      </c>
      <c r="M162" s="27">
        <f>SUMIFS([1]raw_data!I:I,[1]raw_data!$A:$A,$B162)</f>
        <v>3.1894269999999998</v>
      </c>
      <c r="N162" s="28">
        <f>SUMIFS([1]raw_data!J:J,[1]raw_data!$A:$A,$B162)</f>
        <v>7.3993471164309002E-2</v>
      </c>
      <c r="O162" s="27">
        <f>SUMIFS([1]raw_data!K:K,[1]raw_data!$A:$A,$B162)</f>
        <v>12.514060000000001</v>
      </c>
      <c r="P162" s="28">
        <f>SUMIFS([1]raw_data!L:L,[1]raw_data!$A:$A,$B162)</f>
        <v>0.191256830601092</v>
      </c>
      <c r="Q162" s="27">
        <f>SUMIFS([1]raw_data!M:M,[1]raw_data!$A:$A,$B162)</f>
        <v>11.188724000000001</v>
      </c>
      <c r="R162" s="28">
        <f>SUMIFS([1]raw_data!N:N,[1]raw_data!$A:$A,$B162)</f>
        <v>0.15956284153005401</v>
      </c>
      <c r="S162" s="27">
        <f>SUMIFS([1]raw_data!O:O,[1]raw_data!$A:$A,$B162)</f>
        <v>175.80488099999999</v>
      </c>
      <c r="T162" s="28">
        <f>SUMIFS([1]raw_data!P:P,[1]raw_data!$A:$A,$B162)</f>
        <v>1.50395778364116</v>
      </c>
      <c r="U162" s="27">
        <f>SUMIFS([1]raw_data!Q:Q,[1]raw_data!$A:$A,$B162)</f>
        <v>165.46400600000001</v>
      </c>
      <c r="V162" s="28">
        <f>SUMIFS([1]raw_data!R:R,[1]raw_data!$A:$A,$B162)</f>
        <v>1.43403693931398</v>
      </c>
      <c r="W162" s="27">
        <f>SUMIFS([1]raw_data!S:S,[1]raw_data!$A:$A,$B162)</f>
        <v>29.632224999999998</v>
      </c>
      <c r="X162" s="28">
        <f>SUMIFS([1]raw_data!T:T,[1]raw_data!$A:$A,$B162)</f>
        <v>6.0908084163898098E-2</v>
      </c>
      <c r="Y162" s="27">
        <f>SUMIFS([1]raw_data!U:U,[1]raw_data!$A:$A,$B162)</f>
        <v>8.395607</v>
      </c>
      <c r="Z162" s="28">
        <f>SUMIFS([1]raw_data!V:V,[1]raw_data!$A:$A,$B162)</f>
        <v>3.5437430786267897E-2</v>
      </c>
      <c r="AA162" s="25">
        <f t="shared" si="2"/>
        <v>42.099734000000005</v>
      </c>
    </row>
    <row r="163" spans="1:27" x14ac:dyDescent="0.25">
      <c r="A163" s="40"/>
      <c r="B163" s="25" t="s">
        <v>425</v>
      </c>
      <c r="C163" s="25" t="s">
        <v>46</v>
      </c>
      <c r="D163" s="25" t="s">
        <v>426</v>
      </c>
      <c r="E163" s="25" t="s">
        <v>19</v>
      </c>
      <c r="F163" s="26">
        <f>IFERROR(INDEX([1]raw_data!B:B,MATCH('SAIDI excl MEDs sort (5-yr avg)'!B183,[1]raw_data!A:A,0)),0)</f>
        <v>292</v>
      </c>
      <c r="G163" s="27">
        <f>SUMIFS([1]raw_data!C:C,[1]raw_data!$A:$A,$B163)</f>
        <v>0</v>
      </c>
      <c r="H163" s="28">
        <f>SUMIFS([1]raw_data!D:D,[1]raw_data!$A:$A,$B163)</f>
        <v>0</v>
      </c>
      <c r="I163" s="27">
        <f>SUMIFS([1]raw_data!E:E,[1]raw_data!$A:$A,$B163)</f>
        <v>0</v>
      </c>
      <c r="J163" s="28">
        <f>SUMIFS([1]raw_data!F:F,[1]raw_data!$A:$A,$B163)</f>
        <v>0</v>
      </c>
      <c r="K163" s="27">
        <f>SUMIFS([1]raw_data!G:G,[1]raw_data!$A:$A,$B163)</f>
        <v>0</v>
      </c>
      <c r="L163" s="28">
        <f>SUMIFS([1]raw_data!H:H,[1]raw_data!$A:$A,$B163)</f>
        <v>0</v>
      </c>
      <c r="M163" s="27">
        <f>SUMIFS([1]raw_data!I:I,[1]raw_data!$A:$A,$B163)</f>
        <v>0</v>
      </c>
      <c r="N163" s="28">
        <f>SUMIFS([1]raw_data!J:J,[1]raw_data!$A:$A,$B163)</f>
        <v>0</v>
      </c>
      <c r="O163" s="27">
        <f>SUMIFS([1]raw_data!K:K,[1]raw_data!$A:$A,$B163)</f>
        <v>173.09837300000001</v>
      </c>
      <c r="P163" s="28">
        <f>SUMIFS([1]raw_data!L:L,[1]raw_data!$A:$A,$B163)</f>
        <v>0.80487804878048697</v>
      </c>
      <c r="Q163" s="27">
        <f>SUMIFS([1]raw_data!M:M,[1]raw_data!$A:$A,$B163)</f>
        <v>173.09837300000001</v>
      </c>
      <c r="R163" s="28">
        <f>SUMIFS([1]raw_data!N:N,[1]raw_data!$A:$A,$B163)</f>
        <v>0.80487804878048697</v>
      </c>
      <c r="S163" s="27">
        <f>SUMIFS([1]raw_data!O:O,[1]raw_data!$A:$A,$B163)</f>
        <v>0</v>
      </c>
      <c r="T163" s="28">
        <f>SUMIFS([1]raw_data!P:P,[1]raw_data!$A:$A,$B163)</f>
        <v>0</v>
      </c>
      <c r="U163" s="27">
        <f>SUMIFS([1]raw_data!Q:Q,[1]raw_data!$A:$A,$B163)</f>
        <v>0</v>
      </c>
      <c r="V163" s="28">
        <f>SUMIFS([1]raw_data!R:R,[1]raw_data!$A:$A,$B163)</f>
        <v>0</v>
      </c>
      <c r="W163" s="27">
        <f>SUMIFS([1]raw_data!S:S,[1]raw_data!$A:$A,$B163)</f>
        <v>35.109844000000002</v>
      </c>
      <c r="X163" s="28">
        <f>SUMIFS([1]raw_data!T:T,[1]raw_data!$A:$A,$B163)</f>
        <v>8.8082901554404097E-2</v>
      </c>
      <c r="Y163" s="27">
        <f>SUMIFS([1]raw_data!U:U,[1]raw_data!$A:$A,$B163)</f>
        <v>35.109844000000002</v>
      </c>
      <c r="Z163" s="28">
        <f>SUMIFS([1]raw_data!V:V,[1]raw_data!$A:$A,$B163)</f>
        <v>8.8082901554404097E-2</v>
      </c>
      <c r="AA163" s="25">
        <f t="shared" si="2"/>
        <v>41.641643400000007</v>
      </c>
    </row>
    <row r="164" spans="1:27" x14ac:dyDescent="0.25">
      <c r="A164" s="40"/>
      <c r="B164" s="25" t="s">
        <v>427</v>
      </c>
      <c r="C164" s="25" t="s">
        <v>331</v>
      </c>
      <c r="D164" s="25" t="s">
        <v>428</v>
      </c>
      <c r="E164" s="25" t="s">
        <v>23</v>
      </c>
      <c r="F164" s="26">
        <f>IFERROR(INDEX([1]raw_data!B:B,MATCH('SAIDI excl MEDs sort (5-yr avg)'!B72,[1]raw_data!A:A,0)),0)</f>
        <v>1328.333333</v>
      </c>
      <c r="G164" s="27">
        <f>SUMIFS([1]raw_data!C:C,[1]raw_data!$A:$A,$B164)</f>
        <v>625.228568</v>
      </c>
      <c r="H164" s="28">
        <f>SUMIFS([1]raw_data!D:D,[1]raw_data!$A:$A,$B164)</f>
        <v>0.27490421455938602</v>
      </c>
      <c r="I164" s="27">
        <f>SUMIFS([1]raw_data!E:E,[1]raw_data!$A:$A,$B164)</f>
        <v>86.822438000000005</v>
      </c>
      <c r="J164" s="28">
        <f>SUMIFS([1]raw_data!F:F,[1]raw_data!$A:$A,$B164)</f>
        <v>0.12164750957854401</v>
      </c>
      <c r="K164" s="27">
        <f>SUMIFS([1]raw_data!G:G,[1]raw_data!$A:$A,$B164)</f>
        <v>32.610207000000003</v>
      </c>
      <c r="L164" s="28">
        <f>SUMIFS([1]raw_data!H:H,[1]raw_data!$A:$A,$B164)</f>
        <v>7.8598484848484806E-2</v>
      </c>
      <c r="M164" s="27">
        <f>SUMIFS([1]raw_data!I:I,[1]raw_data!$A:$A,$B164)</f>
        <v>4.5292770000000004</v>
      </c>
      <c r="N164" s="28">
        <f>SUMIFS([1]raw_data!J:J,[1]raw_data!$A:$A,$B164)</f>
        <v>7.00757575757575E-2</v>
      </c>
      <c r="O164" s="27">
        <f>SUMIFS([1]raw_data!K:K,[1]raw_data!$A:$A,$B164)</f>
        <v>6.7703680000000004</v>
      </c>
      <c r="P164" s="28">
        <f>SUMIFS([1]raw_data!L:L,[1]raw_data!$A:$A,$B164)</f>
        <v>0.119092627599243</v>
      </c>
      <c r="Q164" s="27">
        <f>SUMIFS([1]raw_data!M:M,[1]raw_data!$A:$A,$B164)</f>
        <v>5.2828290000000004</v>
      </c>
      <c r="R164" s="28">
        <f>SUMIFS([1]raw_data!N:N,[1]raw_data!$A:$A,$B164)</f>
        <v>0.11625708884688001</v>
      </c>
      <c r="S164" s="27">
        <f>SUMIFS([1]raw_data!O:O,[1]raw_data!$A:$A,$B164)</f>
        <v>132.01736099999999</v>
      </c>
      <c r="T164" s="28">
        <f>SUMIFS([1]raw_data!P:P,[1]raw_data!$A:$A,$B164)</f>
        <v>0.333965844402277</v>
      </c>
      <c r="U164" s="27">
        <f>SUMIFS([1]raw_data!Q:Q,[1]raw_data!$A:$A,$B164)</f>
        <v>63.864294000000001</v>
      </c>
      <c r="V164" s="28">
        <f>SUMIFS([1]raw_data!R:R,[1]raw_data!$A:$A,$B164)</f>
        <v>0.29601518026565399</v>
      </c>
      <c r="W164" s="27">
        <f>SUMIFS([1]raw_data!S:S,[1]raw_data!$A:$A,$B164)</f>
        <v>47.485292999999999</v>
      </c>
      <c r="X164" s="28">
        <f>SUMIFS([1]raw_data!T:T,[1]raw_data!$A:$A,$B164)</f>
        <v>0.37994214079074201</v>
      </c>
      <c r="Y164" s="27">
        <f>SUMIFS([1]raw_data!U:U,[1]raw_data!$A:$A,$B164)</f>
        <v>47.348874000000002</v>
      </c>
      <c r="Z164" s="28">
        <f>SUMIFS([1]raw_data!V:V,[1]raw_data!$A:$A,$B164)</f>
        <v>0.37897782063645102</v>
      </c>
      <c r="AA164" s="25">
        <f t="shared" si="2"/>
        <v>41.569542400000003</v>
      </c>
    </row>
    <row r="165" spans="1:27" x14ac:dyDescent="0.25">
      <c r="A165" s="40"/>
      <c r="B165" s="25" t="s">
        <v>429</v>
      </c>
      <c r="C165" s="25" t="s">
        <v>430</v>
      </c>
      <c r="D165" s="25" t="s">
        <v>431</v>
      </c>
      <c r="E165" s="25" t="s">
        <v>27</v>
      </c>
      <c r="F165" s="26">
        <f>IFERROR(INDEX([1]raw_data!B:B,MATCH('SAIDI excl MEDs sort (5-yr avg)'!B106,[1]raw_data!A:A,0)),0)</f>
        <v>1002.6</v>
      </c>
      <c r="G165" s="27">
        <f>SUMIFS([1]raw_data!C:C,[1]raw_data!$A:$A,$B165)</f>
        <v>82.950125</v>
      </c>
      <c r="H165" s="28">
        <f>SUMIFS([1]raw_data!D:D,[1]raw_data!$A:$A,$B165)</f>
        <v>0.14309484193011601</v>
      </c>
      <c r="I165" s="27">
        <f>SUMIFS([1]raw_data!E:E,[1]raw_data!$A:$A,$B165)</f>
        <v>35.072220000000002</v>
      </c>
      <c r="J165" s="28">
        <f>SUMIFS([1]raw_data!F:F,[1]raw_data!$A:$A,$B165)</f>
        <v>0.114808652246256</v>
      </c>
      <c r="K165" s="27">
        <f>SUMIFS([1]raw_data!G:G,[1]raw_data!$A:$A,$B165)</f>
        <v>110.404456</v>
      </c>
      <c r="L165" s="28">
        <f>SUMIFS([1]raw_data!H:H,[1]raw_data!$A:$A,$B165)</f>
        <v>0.40199335548172699</v>
      </c>
      <c r="M165" s="27">
        <f>SUMIFS([1]raw_data!I:I,[1]raw_data!$A:$A,$B165)</f>
        <v>7.8420189999999996</v>
      </c>
      <c r="N165" s="28">
        <f>SUMIFS([1]raw_data!J:J,[1]raw_data!$A:$A,$B165)</f>
        <v>6.8106312292358806E-2</v>
      </c>
      <c r="O165" s="27">
        <f>SUMIFS([1]raw_data!K:K,[1]raw_data!$A:$A,$B165)</f>
        <v>105.857848</v>
      </c>
      <c r="P165" s="28">
        <f>SUMIFS([1]raw_data!L:L,[1]raw_data!$A:$A,$B165)</f>
        <v>0.52412645590682105</v>
      </c>
      <c r="Q165" s="27">
        <f>SUMIFS([1]raw_data!M:M,[1]raw_data!$A:$A,$B165)</f>
        <v>105.857848</v>
      </c>
      <c r="R165" s="28">
        <f>SUMIFS([1]raw_data!N:N,[1]raw_data!$A:$A,$B165)</f>
        <v>0.52412645590682105</v>
      </c>
      <c r="S165" s="27">
        <f>SUMIFS([1]raw_data!O:O,[1]raw_data!$A:$A,$B165)</f>
        <v>9.2372700000000005</v>
      </c>
      <c r="T165" s="28">
        <f>SUMIFS([1]raw_data!P:P,[1]raw_data!$A:$A,$B165)</f>
        <v>5.9900166389351001E-2</v>
      </c>
      <c r="U165" s="27">
        <f>SUMIFS([1]raw_data!Q:Q,[1]raw_data!$A:$A,$B165)</f>
        <v>4.1282019999999999</v>
      </c>
      <c r="V165" s="28">
        <f>SUMIFS([1]raw_data!R:R,[1]raw_data!$A:$A,$B165)</f>
        <v>4.8252911813643898E-2</v>
      </c>
      <c r="W165" s="27">
        <f>SUMIFS([1]raw_data!S:S,[1]raw_data!$A:$A,$B165)</f>
        <v>37.237394000000002</v>
      </c>
      <c r="X165" s="28">
        <f>SUMIFS([1]raw_data!T:T,[1]raw_data!$A:$A,$B165)</f>
        <v>0.136023916292974</v>
      </c>
      <c r="Y165" s="27">
        <f>SUMIFS([1]raw_data!U:U,[1]raw_data!$A:$A,$B165)</f>
        <v>28.879695999999999</v>
      </c>
      <c r="Z165" s="28">
        <f>SUMIFS([1]raw_data!V:V,[1]raw_data!$A:$A,$B165)</f>
        <v>0.13153961136023901</v>
      </c>
      <c r="AA165" s="25">
        <f t="shared" si="2"/>
        <v>36.355996999999995</v>
      </c>
    </row>
    <row r="166" spans="1:27" x14ac:dyDescent="0.25">
      <c r="A166" s="40"/>
      <c r="B166" s="25" t="s">
        <v>432</v>
      </c>
      <c r="C166" s="25" t="s">
        <v>259</v>
      </c>
      <c r="D166" s="25" t="s">
        <v>433</v>
      </c>
      <c r="E166" s="25" t="s">
        <v>19</v>
      </c>
      <c r="F166" s="26">
        <f>IFERROR(INDEX([1]raw_data!B:B,MATCH('SAIDI excl MEDs sort (5-yr avg)'!B150,[1]raw_data!A:A,0)),0)</f>
        <v>174.66666599999999</v>
      </c>
      <c r="G166" s="27">
        <f>SUMIFS([1]raw_data!C:C,[1]raw_data!$A:$A,$B166)</f>
        <v>2.9705870000000001</v>
      </c>
      <c r="H166" s="28">
        <f>SUMIFS([1]raw_data!D:D,[1]raw_data!$A:$A,$B166)</f>
        <v>1.70575692963752E-2</v>
      </c>
      <c r="I166" s="27">
        <f>SUMIFS([1]raw_data!E:E,[1]raw_data!$A:$A,$B166)</f>
        <v>2.9705870000000001</v>
      </c>
      <c r="J166" s="28">
        <f>SUMIFS([1]raw_data!F:F,[1]raw_data!$A:$A,$B166)</f>
        <v>1.70575692963752E-2</v>
      </c>
      <c r="K166" s="27">
        <f>SUMIFS([1]raw_data!G:G,[1]raw_data!$A:$A,$B166)</f>
        <v>37.504210999999998</v>
      </c>
      <c r="L166" s="28">
        <f>SUMIFS([1]raw_data!H:H,[1]raw_data!$A:$A,$B166)</f>
        <v>0.44325481798715199</v>
      </c>
      <c r="M166" s="27">
        <f>SUMIFS([1]raw_data!I:I,[1]raw_data!$A:$A,$B166)</f>
        <v>37.504210999999998</v>
      </c>
      <c r="N166" s="28">
        <f>SUMIFS([1]raw_data!J:J,[1]raw_data!$A:$A,$B166)</f>
        <v>0.44325481798715199</v>
      </c>
      <c r="O166" s="27">
        <f>SUMIFS([1]raw_data!K:K,[1]raw_data!$A:$A,$B166)</f>
        <v>10.554228</v>
      </c>
      <c r="P166" s="28">
        <f>SUMIFS([1]raw_data!L:L,[1]raw_data!$A:$A,$B166)</f>
        <v>0.14498933901918901</v>
      </c>
      <c r="Q166" s="27">
        <f>SUMIFS([1]raw_data!M:M,[1]raw_data!$A:$A,$B166)</f>
        <v>8.4914349999999992</v>
      </c>
      <c r="R166" s="28">
        <f>SUMIFS([1]raw_data!N:N,[1]raw_data!$A:$A,$B166)</f>
        <v>0.14285714285714199</v>
      </c>
      <c r="S166" s="27">
        <f>SUMIFS([1]raw_data!O:O,[1]raw_data!$A:$A,$B166)</f>
        <v>118.400035</v>
      </c>
      <c r="T166" s="28">
        <f>SUMIFS([1]raw_data!P:P,[1]raw_data!$A:$A,$B166)</f>
        <v>0.24093816631129999</v>
      </c>
      <c r="U166" s="27">
        <f>SUMIFS([1]raw_data!Q:Q,[1]raw_data!$A:$A,$B166)</f>
        <v>118.400035</v>
      </c>
      <c r="V166" s="28">
        <f>SUMIFS([1]raw_data!R:R,[1]raw_data!$A:$A,$B166)</f>
        <v>0.24093816631129999</v>
      </c>
      <c r="W166" s="27">
        <f>SUMIFS([1]raw_data!S:S,[1]raw_data!$A:$A,$B166)</f>
        <v>44.081316999999999</v>
      </c>
      <c r="X166" s="28">
        <f>SUMIFS([1]raw_data!T:T,[1]raw_data!$A:$A,$B166)</f>
        <v>0.20950323974082</v>
      </c>
      <c r="Y166" s="27">
        <f>SUMIFS([1]raw_data!U:U,[1]raw_data!$A:$A,$B166)</f>
        <v>11.835457</v>
      </c>
      <c r="Z166" s="28">
        <f>SUMIFS([1]raw_data!V:V,[1]raw_data!$A:$A,$B166)</f>
        <v>0.159827213822894</v>
      </c>
      <c r="AA166" s="25">
        <f t="shared" si="2"/>
        <v>35.840344999999999</v>
      </c>
    </row>
    <row r="167" spans="1:27" x14ac:dyDescent="0.25">
      <c r="A167" s="40"/>
      <c r="B167" s="25" t="s">
        <v>434</v>
      </c>
      <c r="C167" s="25" t="s">
        <v>254</v>
      </c>
      <c r="D167" s="25" t="s">
        <v>283</v>
      </c>
      <c r="E167" s="25" t="s">
        <v>27</v>
      </c>
      <c r="F167" s="26">
        <f>IFERROR(INDEX([1]raw_data!B:B,MATCH('SAIDI excl MEDs sort (5-yr avg)'!B107,[1]raw_data!A:A,0)),0)</f>
        <v>2830.6</v>
      </c>
      <c r="G167" s="27">
        <f>SUMIFS([1]raw_data!C:C,[1]raw_data!$A:$A,$B167)</f>
        <v>97.906459999999996</v>
      </c>
      <c r="H167" s="28">
        <f>SUMIFS([1]raw_data!D:D,[1]raw_data!$A:$A,$B167)</f>
        <v>0.42557651991614198</v>
      </c>
      <c r="I167" s="27">
        <f>SUMIFS([1]raw_data!E:E,[1]raw_data!$A:$A,$B167)</f>
        <v>31.275193999999999</v>
      </c>
      <c r="J167" s="28">
        <f>SUMIFS([1]raw_data!F:F,[1]raw_data!$A:$A,$B167)</f>
        <v>0.38225017470300399</v>
      </c>
      <c r="K167" s="27">
        <f>SUMIFS([1]raw_data!G:G,[1]raw_data!$A:$A,$B167)</f>
        <v>54.801772999999997</v>
      </c>
      <c r="L167" s="28">
        <f>SUMIFS([1]raw_data!H:H,[1]raw_data!$A:$A,$B167)</f>
        <v>0.441958041958041</v>
      </c>
      <c r="M167" s="27">
        <f>SUMIFS([1]raw_data!I:I,[1]raw_data!$A:$A,$B167)</f>
        <v>53.595536000000003</v>
      </c>
      <c r="N167" s="28">
        <f>SUMIFS([1]raw_data!J:J,[1]raw_data!$A:$A,$B167)</f>
        <v>0.439860139860139</v>
      </c>
      <c r="O167" s="27">
        <f>SUMIFS([1]raw_data!K:K,[1]raw_data!$A:$A,$B167)</f>
        <v>18.763276000000001</v>
      </c>
      <c r="P167" s="28">
        <f>SUMIFS([1]raw_data!L:L,[1]raw_data!$A:$A,$B167)</f>
        <v>6.4290705800139694E-2</v>
      </c>
      <c r="Q167" s="27">
        <f>SUMIFS([1]raw_data!M:M,[1]raw_data!$A:$A,$B167)</f>
        <v>2.5597129999999999</v>
      </c>
      <c r="R167" s="28">
        <f>SUMIFS([1]raw_data!N:N,[1]raw_data!$A:$A,$B167)</f>
        <v>2.3060796645702299E-2</v>
      </c>
      <c r="S167" s="27">
        <f>SUMIFS([1]raw_data!O:O,[1]raw_data!$A:$A,$B167)</f>
        <v>34.704234999999997</v>
      </c>
      <c r="T167" s="28">
        <f>SUMIFS([1]raw_data!P:P,[1]raw_data!$A:$A,$B167)</f>
        <v>3.3519553072625601E-2</v>
      </c>
      <c r="U167" s="27">
        <f>SUMIFS([1]raw_data!Q:Q,[1]raw_data!$A:$A,$B167)</f>
        <v>0.75460799999999995</v>
      </c>
      <c r="V167" s="28">
        <f>SUMIFS([1]raw_data!R:R,[1]raw_data!$A:$A,$B167)</f>
        <v>1.2569832402234599E-2</v>
      </c>
      <c r="W167" s="27">
        <f>SUMIFS([1]raw_data!S:S,[1]raw_data!$A:$A,$B167)</f>
        <v>126.03992599999999</v>
      </c>
      <c r="X167" s="28">
        <f>SUMIFS([1]raw_data!T:T,[1]raw_data!$A:$A,$B167)</f>
        <v>0.12571022727272699</v>
      </c>
      <c r="Y167" s="27">
        <f>SUMIFS([1]raw_data!U:U,[1]raw_data!$A:$A,$B167)</f>
        <v>76.986954999999995</v>
      </c>
      <c r="Z167" s="28">
        <f>SUMIFS([1]raw_data!V:V,[1]raw_data!$A:$A,$B167)</f>
        <v>0.11221590909090901</v>
      </c>
      <c r="AA167" s="25">
        <f t="shared" si="2"/>
        <v>33.034401200000005</v>
      </c>
    </row>
    <row r="168" spans="1:27" x14ac:dyDescent="0.25">
      <c r="A168" s="40"/>
      <c r="B168" s="25" t="s">
        <v>435</v>
      </c>
      <c r="C168" s="25" t="s">
        <v>179</v>
      </c>
      <c r="D168" s="25" t="s">
        <v>436</v>
      </c>
      <c r="E168" s="25" t="s">
        <v>23</v>
      </c>
      <c r="F168" s="26">
        <f>IFERROR(INDEX([1]raw_data!B:B,MATCH('SAIDI excl MEDs sort (5-yr avg)'!B188,[1]raw_data!A:A,0)),0)</f>
        <v>0</v>
      </c>
      <c r="G168" s="27">
        <f>SUMIFS([1]raw_data!C:C,[1]raw_data!$A:$A,$B168)</f>
        <v>0</v>
      </c>
      <c r="H168" s="28">
        <f>SUMIFS([1]raw_data!D:D,[1]raw_data!$A:$A,$B168)</f>
        <v>0</v>
      </c>
      <c r="I168" s="27">
        <f>SUMIFS([1]raw_data!E:E,[1]raw_data!$A:$A,$B168)</f>
        <v>0</v>
      </c>
      <c r="J168" s="28">
        <f>SUMIFS([1]raw_data!F:F,[1]raw_data!$A:$A,$B168)</f>
        <v>0</v>
      </c>
      <c r="K168" s="27">
        <f>SUMIFS([1]raw_data!G:G,[1]raw_data!$A:$A,$B168)</f>
        <v>0</v>
      </c>
      <c r="L168" s="28">
        <f>SUMIFS([1]raw_data!H:H,[1]raw_data!$A:$A,$B168)</f>
        <v>0</v>
      </c>
      <c r="M168" s="27">
        <f>SUMIFS([1]raw_data!I:I,[1]raw_data!$A:$A,$B168)</f>
        <v>0</v>
      </c>
      <c r="N168" s="28">
        <f>SUMIFS([1]raw_data!J:J,[1]raw_data!$A:$A,$B168)</f>
        <v>0</v>
      </c>
      <c r="O168" s="27">
        <f>SUMIFS([1]raw_data!K:K,[1]raw_data!$A:$A,$B168)</f>
        <v>0</v>
      </c>
      <c r="P168" s="28">
        <f>SUMIFS([1]raw_data!L:L,[1]raw_data!$A:$A,$B168)</f>
        <v>0</v>
      </c>
      <c r="Q168" s="27">
        <f>SUMIFS([1]raw_data!M:M,[1]raw_data!$A:$A,$B168)</f>
        <v>0</v>
      </c>
      <c r="R168" s="28">
        <f>SUMIFS([1]raw_data!N:N,[1]raw_data!$A:$A,$B168)</f>
        <v>0</v>
      </c>
      <c r="S168" s="27">
        <f>SUMIFS([1]raw_data!O:O,[1]raw_data!$A:$A,$B168)</f>
        <v>154.69257099999999</v>
      </c>
      <c r="T168" s="28">
        <f>SUMIFS([1]raw_data!P:P,[1]raw_data!$A:$A,$B168)</f>
        <v>0.78285714285714203</v>
      </c>
      <c r="U168" s="27">
        <f>SUMIFS([1]raw_data!Q:Q,[1]raw_data!$A:$A,$B168)</f>
        <v>154.69257099999999</v>
      </c>
      <c r="V168" s="28">
        <f>SUMIFS([1]raw_data!R:R,[1]raw_data!$A:$A,$B168)</f>
        <v>0.78285714285714203</v>
      </c>
      <c r="W168" s="27">
        <f>SUMIFS([1]raw_data!S:S,[1]raw_data!$A:$A,$B168)</f>
        <v>0</v>
      </c>
      <c r="X168" s="28">
        <f>SUMIFS([1]raw_data!T:T,[1]raw_data!$A:$A,$B168)</f>
        <v>0</v>
      </c>
      <c r="Y168" s="27">
        <f>SUMIFS([1]raw_data!U:U,[1]raw_data!$A:$A,$B168)</f>
        <v>0</v>
      </c>
      <c r="Z168" s="28">
        <f>SUMIFS([1]raw_data!V:V,[1]raw_data!$A:$A,$B168)</f>
        <v>0</v>
      </c>
      <c r="AA168" s="25">
        <f t="shared" si="2"/>
        <v>30.938514199999997</v>
      </c>
    </row>
    <row r="169" spans="1:27" x14ac:dyDescent="0.25">
      <c r="A169" s="40"/>
      <c r="B169" s="25" t="s">
        <v>437</v>
      </c>
      <c r="C169" s="25" t="s">
        <v>320</v>
      </c>
      <c r="D169" s="25" t="s">
        <v>438</v>
      </c>
      <c r="E169" s="25" t="s">
        <v>19</v>
      </c>
      <c r="F169" s="26">
        <f>IFERROR(INDEX([1]raw_data!B:B,MATCH('SAIDI excl MEDs sort (5-yr avg)'!B165,[1]raw_data!A:A,0)),0)</f>
        <v>616.33333300000004</v>
      </c>
      <c r="G169" s="27">
        <f>SUMIFS([1]raw_data!C:C,[1]raw_data!$A:$A,$B169)</f>
        <v>0</v>
      </c>
      <c r="H169" s="28">
        <f>SUMIFS([1]raw_data!D:D,[1]raw_data!$A:$A,$B169)</f>
        <v>0</v>
      </c>
      <c r="I169" s="27">
        <f>SUMIFS([1]raw_data!E:E,[1]raw_data!$A:$A,$B169)</f>
        <v>0</v>
      </c>
      <c r="J169" s="28">
        <f>SUMIFS([1]raw_data!F:F,[1]raw_data!$A:$A,$B169)</f>
        <v>0</v>
      </c>
      <c r="K169" s="27">
        <f>SUMIFS([1]raw_data!G:G,[1]raw_data!$A:$A,$B169)</f>
        <v>0</v>
      </c>
      <c r="L169" s="28">
        <f>SUMIFS([1]raw_data!H:H,[1]raw_data!$A:$A,$B169)</f>
        <v>0</v>
      </c>
      <c r="M169" s="27">
        <f>SUMIFS([1]raw_data!I:I,[1]raw_data!$A:$A,$B169)</f>
        <v>0</v>
      </c>
      <c r="N169" s="28">
        <f>SUMIFS([1]raw_data!J:J,[1]raw_data!$A:$A,$B169)</f>
        <v>0</v>
      </c>
      <c r="O169" s="27">
        <f>SUMIFS([1]raw_data!K:K,[1]raw_data!$A:$A,$B169)</f>
        <v>0</v>
      </c>
      <c r="P169" s="28">
        <f>SUMIFS([1]raw_data!L:L,[1]raw_data!$A:$A,$B169)</f>
        <v>0</v>
      </c>
      <c r="Q169" s="27">
        <f>SUMIFS([1]raw_data!M:M,[1]raw_data!$A:$A,$B169)</f>
        <v>0</v>
      </c>
      <c r="R169" s="28">
        <f>SUMIFS([1]raw_data!N:N,[1]raw_data!$A:$A,$B169)</f>
        <v>0</v>
      </c>
      <c r="S169" s="27">
        <f>SUMIFS([1]raw_data!O:O,[1]raw_data!$A:$A,$B169)</f>
        <v>147.17374599999999</v>
      </c>
      <c r="T169" s="28">
        <f>SUMIFS([1]raw_data!P:P,[1]raw_data!$A:$A,$B169)</f>
        <v>1.0796460176991101</v>
      </c>
      <c r="U169" s="27">
        <f>SUMIFS([1]raw_data!Q:Q,[1]raw_data!$A:$A,$B169)</f>
        <v>147.17374599999999</v>
      </c>
      <c r="V169" s="28">
        <f>SUMIFS([1]raw_data!R:R,[1]raw_data!$A:$A,$B169)</f>
        <v>1.0796460176991101</v>
      </c>
      <c r="W169" s="27">
        <f>SUMIFS([1]raw_data!S:S,[1]raw_data!$A:$A,$B169)</f>
        <v>0</v>
      </c>
      <c r="X169" s="28">
        <f>SUMIFS([1]raw_data!T:T,[1]raw_data!$A:$A,$B169)</f>
        <v>0</v>
      </c>
      <c r="Y169" s="27">
        <f>SUMIFS([1]raw_data!U:U,[1]raw_data!$A:$A,$B169)</f>
        <v>0</v>
      </c>
      <c r="Z169" s="28">
        <f>SUMIFS([1]raw_data!V:V,[1]raw_data!$A:$A,$B169)</f>
        <v>0</v>
      </c>
      <c r="AA169" s="25">
        <f t="shared" si="2"/>
        <v>29.434749199999999</v>
      </c>
    </row>
    <row r="170" spans="1:27" x14ac:dyDescent="0.25">
      <c r="A170" s="40"/>
      <c r="B170" s="25" t="s">
        <v>439</v>
      </c>
      <c r="C170" s="25" t="s">
        <v>282</v>
      </c>
      <c r="D170" s="25" t="s">
        <v>440</v>
      </c>
      <c r="E170" s="25" t="s">
        <v>23</v>
      </c>
      <c r="F170" s="26">
        <f>IFERROR(INDEX([1]raw_data!B:B,MATCH('SAIDI excl MEDs sort (5-yr avg)'!B126,[1]raw_data!A:A,0)),0)</f>
        <v>1659.4</v>
      </c>
      <c r="G170" s="27">
        <f>SUMIFS([1]raw_data!C:C,[1]raw_data!$A:$A,$B170)</f>
        <v>360.94770999999997</v>
      </c>
      <c r="H170" s="28">
        <f>SUMIFS([1]raw_data!D:D,[1]raw_data!$A:$A,$B170)</f>
        <v>0.212643678160919</v>
      </c>
      <c r="I170" s="27">
        <f>SUMIFS([1]raw_data!E:E,[1]raw_data!$A:$A,$B170)</f>
        <v>16.387124</v>
      </c>
      <c r="J170" s="28">
        <f>SUMIFS([1]raw_data!F:F,[1]raw_data!$A:$A,$B170)</f>
        <v>0.114942528735632</v>
      </c>
      <c r="K170" s="27">
        <f>SUMIFS([1]raw_data!G:G,[1]raw_data!$A:$A,$B170)</f>
        <v>130.14320599999999</v>
      </c>
      <c r="L170" s="28">
        <f>SUMIFS([1]raw_data!H:H,[1]raw_data!$A:$A,$B170)</f>
        <v>1.2027027027027</v>
      </c>
      <c r="M170" s="27">
        <f>SUMIFS([1]raw_data!I:I,[1]raw_data!$A:$A,$B170)</f>
        <v>130.14320599999999</v>
      </c>
      <c r="N170" s="28">
        <f>SUMIFS([1]raw_data!J:J,[1]raw_data!$A:$A,$B170)</f>
        <v>1.2027027027027</v>
      </c>
      <c r="O170" s="27">
        <f>SUMIFS([1]raw_data!K:K,[1]raw_data!$A:$A,$B170)</f>
        <v>0</v>
      </c>
      <c r="P170" s="28">
        <f>SUMIFS([1]raw_data!L:L,[1]raw_data!$A:$A,$B170)</f>
        <v>0</v>
      </c>
      <c r="Q170" s="27">
        <f>SUMIFS([1]raw_data!M:M,[1]raw_data!$A:$A,$B170)</f>
        <v>0</v>
      </c>
      <c r="R170" s="28">
        <f>SUMIFS([1]raw_data!N:N,[1]raw_data!$A:$A,$B170)</f>
        <v>0</v>
      </c>
      <c r="S170" s="27">
        <f>SUMIFS([1]raw_data!O:O,[1]raw_data!$A:$A,$B170)</f>
        <v>0</v>
      </c>
      <c r="T170" s="28">
        <f>SUMIFS([1]raw_data!P:P,[1]raw_data!$A:$A,$B170)</f>
        <v>0</v>
      </c>
      <c r="U170" s="27">
        <f>SUMIFS([1]raw_data!Q:Q,[1]raw_data!$A:$A,$B170)</f>
        <v>0</v>
      </c>
      <c r="V170" s="28">
        <f>SUMIFS([1]raw_data!R:R,[1]raw_data!$A:$A,$B170)</f>
        <v>0</v>
      </c>
      <c r="W170" s="27">
        <f>SUMIFS([1]raw_data!S:S,[1]raw_data!$A:$A,$B170)</f>
        <v>0</v>
      </c>
      <c r="X170" s="28">
        <f>SUMIFS([1]raw_data!T:T,[1]raw_data!$A:$A,$B170)</f>
        <v>0</v>
      </c>
      <c r="Y170" s="27">
        <f>SUMIFS([1]raw_data!U:U,[1]raw_data!$A:$A,$B170)</f>
        <v>0</v>
      </c>
      <c r="Z170" s="28">
        <f>SUMIFS([1]raw_data!V:V,[1]raw_data!$A:$A,$B170)</f>
        <v>0</v>
      </c>
      <c r="AA170" s="25">
        <f t="shared" si="2"/>
        <v>29.306065999999998</v>
      </c>
    </row>
    <row r="171" spans="1:27" x14ac:dyDescent="0.25">
      <c r="A171" s="40"/>
      <c r="B171" s="25" t="s">
        <v>441</v>
      </c>
      <c r="C171" s="25" t="s">
        <v>271</v>
      </c>
      <c r="D171" s="25" t="s">
        <v>442</v>
      </c>
      <c r="E171" s="25" t="s">
        <v>23</v>
      </c>
      <c r="F171" s="26">
        <f>IFERROR(INDEX([1]raw_data!B:B,MATCH('SAIDI excl MEDs sort (5-yr avg)'!B86,[1]raw_data!A:A,0)),0)</f>
        <v>1193.5999999999999</v>
      </c>
      <c r="G171" s="27">
        <f>SUMIFS([1]raw_data!C:C,[1]raw_data!$A:$A,$B171)</f>
        <v>64.492997000000003</v>
      </c>
      <c r="H171" s="28">
        <f>SUMIFS([1]raw_data!D:D,[1]raw_data!$A:$A,$B171)</f>
        <v>1.02482269503546</v>
      </c>
      <c r="I171" s="27">
        <f>SUMIFS([1]raw_data!E:E,[1]raw_data!$A:$A,$B171)</f>
        <v>64.492997000000003</v>
      </c>
      <c r="J171" s="28">
        <f>SUMIFS([1]raw_data!F:F,[1]raw_data!$A:$A,$B171)</f>
        <v>1.02482269503546</v>
      </c>
      <c r="K171" s="27">
        <f>SUMIFS([1]raw_data!G:G,[1]raw_data!$A:$A,$B171)</f>
        <v>27.100055999999999</v>
      </c>
      <c r="L171" s="28">
        <f>SUMIFS([1]raw_data!H:H,[1]raw_data!$A:$A,$B171)</f>
        <v>1.1923076923076901</v>
      </c>
      <c r="M171" s="27">
        <f>SUMIFS([1]raw_data!I:I,[1]raw_data!$A:$A,$B171)</f>
        <v>27.100055999999999</v>
      </c>
      <c r="N171" s="28">
        <f>SUMIFS([1]raw_data!J:J,[1]raw_data!$A:$A,$B171)</f>
        <v>1.1923076923076901</v>
      </c>
      <c r="O171" s="27">
        <f>SUMIFS([1]raw_data!K:K,[1]raw_data!$A:$A,$B171)</f>
        <v>12.89099</v>
      </c>
      <c r="P171" s="28">
        <f>SUMIFS([1]raw_data!L:L,[1]raw_data!$A:$A,$B171)</f>
        <v>0.31660231660231603</v>
      </c>
      <c r="Q171" s="27">
        <f>SUMIFS([1]raw_data!M:M,[1]raw_data!$A:$A,$B171)</f>
        <v>12.89099</v>
      </c>
      <c r="R171" s="28">
        <f>SUMIFS([1]raw_data!N:N,[1]raw_data!$A:$A,$B171)</f>
        <v>0.31660231660231603</v>
      </c>
      <c r="S171" s="27">
        <f>SUMIFS([1]raw_data!O:O,[1]raw_data!$A:$A,$B171)</f>
        <v>37.229610000000001</v>
      </c>
      <c r="T171" s="28">
        <f>SUMIFS([1]raw_data!P:P,[1]raw_data!$A:$A,$B171)</f>
        <v>0.30964467005076102</v>
      </c>
      <c r="U171" s="27">
        <f>SUMIFS([1]raw_data!Q:Q,[1]raw_data!$A:$A,$B171)</f>
        <v>37.229610000000001</v>
      </c>
      <c r="V171" s="28">
        <f>SUMIFS([1]raw_data!R:R,[1]raw_data!$A:$A,$B171)</f>
        <v>0.30964467005076102</v>
      </c>
      <c r="W171" s="27">
        <f>SUMIFS([1]raw_data!S:S,[1]raw_data!$A:$A,$B171)</f>
        <v>4.6981659999999996</v>
      </c>
      <c r="X171" s="28">
        <f>SUMIFS([1]raw_data!T:T,[1]raw_data!$A:$A,$B171)</f>
        <v>4.8000000000000001E-2</v>
      </c>
      <c r="Y171" s="27">
        <f>SUMIFS([1]raw_data!U:U,[1]raw_data!$A:$A,$B171)</f>
        <v>4.6981659999999996</v>
      </c>
      <c r="Z171" s="28">
        <f>SUMIFS([1]raw_data!V:V,[1]raw_data!$A:$A,$B171)</f>
        <v>4.8000000000000001E-2</v>
      </c>
      <c r="AA171" s="25">
        <f t="shared" si="2"/>
        <v>29.282363799999995</v>
      </c>
    </row>
    <row r="172" spans="1:27" x14ac:dyDescent="0.25">
      <c r="A172" s="40"/>
      <c r="B172" s="25" t="s">
        <v>443</v>
      </c>
      <c r="C172" s="25" t="s">
        <v>320</v>
      </c>
      <c r="D172" s="25" t="s">
        <v>444</v>
      </c>
      <c r="E172" s="25" t="s">
        <v>19</v>
      </c>
      <c r="F172" s="26">
        <f>IFERROR(INDEX([1]raw_data!B:B,MATCH('SAIDI excl MEDs sort (5-yr avg)'!B169,[1]raw_data!A:A,0)),0)</f>
        <v>113</v>
      </c>
      <c r="G172" s="27">
        <f>SUMIFS([1]raw_data!C:C,[1]raw_data!$A:$A,$B172)</f>
        <v>0</v>
      </c>
      <c r="H172" s="28">
        <f>SUMIFS([1]raw_data!D:D,[1]raw_data!$A:$A,$B172)</f>
        <v>0</v>
      </c>
      <c r="I172" s="27">
        <f>SUMIFS([1]raw_data!E:E,[1]raw_data!$A:$A,$B172)</f>
        <v>0</v>
      </c>
      <c r="J172" s="28">
        <f>SUMIFS([1]raw_data!F:F,[1]raw_data!$A:$A,$B172)</f>
        <v>0</v>
      </c>
      <c r="K172" s="27">
        <f>SUMIFS([1]raw_data!G:G,[1]raw_data!$A:$A,$B172)</f>
        <v>0</v>
      </c>
      <c r="L172" s="28">
        <f>SUMIFS([1]raw_data!H:H,[1]raw_data!$A:$A,$B172)</f>
        <v>0</v>
      </c>
      <c r="M172" s="27">
        <f>SUMIFS([1]raw_data!I:I,[1]raw_data!$A:$A,$B172)</f>
        <v>0</v>
      </c>
      <c r="N172" s="28">
        <f>SUMIFS([1]raw_data!J:J,[1]raw_data!$A:$A,$B172)</f>
        <v>0</v>
      </c>
      <c r="O172" s="27">
        <f>SUMIFS([1]raw_data!K:K,[1]raw_data!$A:$A,$B172)</f>
        <v>0</v>
      </c>
      <c r="P172" s="28">
        <f>SUMIFS([1]raw_data!L:L,[1]raw_data!$A:$A,$B172)</f>
        <v>0</v>
      </c>
      <c r="Q172" s="27">
        <f>SUMIFS([1]raw_data!M:M,[1]raw_data!$A:$A,$B172)</f>
        <v>0</v>
      </c>
      <c r="R172" s="28">
        <f>SUMIFS([1]raw_data!N:N,[1]raw_data!$A:$A,$B172)</f>
        <v>0</v>
      </c>
      <c r="S172" s="27">
        <f>SUMIFS([1]raw_data!O:O,[1]raw_data!$A:$A,$B172)</f>
        <v>136.58333300000001</v>
      </c>
      <c r="T172" s="28">
        <f>SUMIFS([1]raw_data!P:P,[1]raw_data!$A:$A,$B172)</f>
        <v>1</v>
      </c>
      <c r="U172" s="27">
        <f>SUMIFS([1]raw_data!Q:Q,[1]raw_data!$A:$A,$B172)</f>
        <v>136.58333300000001</v>
      </c>
      <c r="V172" s="28">
        <f>SUMIFS([1]raw_data!R:R,[1]raw_data!$A:$A,$B172)</f>
        <v>1</v>
      </c>
      <c r="W172" s="27">
        <f>SUMIFS([1]raw_data!S:S,[1]raw_data!$A:$A,$B172)</f>
        <v>0</v>
      </c>
      <c r="X172" s="28">
        <f>SUMIFS([1]raw_data!T:T,[1]raw_data!$A:$A,$B172)</f>
        <v>0</v>
      </c>
      <c r="Y172" s="27">
        <f>SUMIFS([1]raw_data!U:U,[1]raw_data!$A:$A,$B172)</f>
        <v>0</v>
      </c>
      <c r="Z172" s="28">
        <f>SUMIFS([1]raw_data!V:V,[1]raw_data!$A:$A,$B172)</f>
        <v>0</v>
      </c>
      <c r="AA172" s="25">
        <f t="shared" si="2"/>
        <v>27.316666600000001</v>
      </c>
    </row>
    <row r="173" spans="1:27" x14ac:dyDescent="0.25">
      <c r="A173" s="40"/>
      <c r="B173" s="25" t="s">
        <v>445</v>
      </c>
      <c r="C173" s="25" t="s">
        <v>320</v>
      </c>
      <c r="D173" s="25" t="s">
        <v>446</v>
      </c>
      <c r="E173" s="25" t="s">
        <v>19</v>
      </c>
      <c r="F173" s="26">
        <f>IFERROR(INDEX([1]raw_data!B:B,MATCH('SAIDI excl MEDs sort (5-yr avg)'!B168,[1]raw_data!A:A,0)),0)</f>
        <v>175</v>
      </c>
      <c r="G173" s="27">
        <f>SUMIFS([1]raw_data!C:C,[1]raw_data!$A:$A,$B173)</f>
        <v>0</v>
      </c>
      <c r="H173" s="28">
        <f>SUMIFS([1]raw_data!D:D,[1]raw_data!$A:$A,$B173)</f>
        <v>0</v>
      </c>
      <c r="I173" s="27">
        <f>SUMIFS([1]raw_data!E:E,[1]raw_data!$A:$A,$B173)</f>
        <v>0</v>
      </c>
      <c r="J173" s="28">
        <f>SUMIFS([1]raw_data!F:F,[1]raw_data!$A:$A,$B173)</f>
        <v>0</v>
      </c>
      <c r="K173" s="27">
        <f>SUMIFS([1]raw_data!G:G,[1]raw_data!$A:$A,$B173)</f>
        <v>0</v>
      </c>
      <c r="L173" s="28">
        <f>SUMIFS([1]raw_data!H:H,[1]raw_data!$A:$A,$B173)</f>
        <v>0</v>
      </c>
      <c r="M173" s="27">
        <f>SUMIFS([1]raw_data!I:I,[1]raw_data!$A:$A,$B173)</f>
        <v>0</v>
      </c>
      <c r="N173" s="28">
        <f>SUMIFS([1]raw_data!J:J,[1]raw_data!$A:$A,$B173)</f>
        <v>0</v>
      </c>
      <c r="O173" s="27">
        <f>SUMIFS([1]raw_data!K:K,[1]raw_data!$A:$A,$B173)</f>
        <v>0</v>
      </c>
      <c r="P173" s="28">
        <f>SUMIFS([1]raw_data!L:L,[1]raw_data!$A:$A,$B173)</f>
        <v>0</v>
      </c>
      <c r="Q173" s="27">
        <f>SUMIFS([1]raw_data!M:M,[1]raw_data!$A:$A,$B173)</f>
        <v>0</v>
      </c>
      <c r="R173" s="28">
        <f>SUMIFS([1]raw_data!N:N,[1]raw_data!$A:$A,$B173)</f>
        <v>0</v>
      </c>
      <c r="S173" s="27">
        <f>SUMIFS([1]raw_data!O:O,[1]raw_data!$A:$A,$B173)</f>
        <v>136.379842</v>
      </c>
      <c r="T173" s="28">
        <f>SUMIFS([1]raw_data!P:P,[1]raw_data!$A:$A,$B173)</f>
        <v>0.99705014749262499</v>
      </c>
      <c r="U173" s="27">
        <f>SUMIFS([1]raw_data!Q:Q,[1]raw_data!$A:$A,$B173)</f>
        <v>136.379842</v>
      </c>
      <c r="V173" s="28">
        <f>SUMIFS([1]raw_data!R:R,[1]raw_data!$A:$A,$B173)</f>
        <v>0.99705014749262499</v>
      </c>
      <c r="W173" s="27">
        <f>SUMIFS([1]raw_data!S:S,[1]raw_data!$A:$A,$B173)</f>
        <v>0</v>
      </c>
      <c r="X173" s="28">
        <f>SUMIFS([1]raw_data!T:T,[1]raw_data!$A:$A,$B173)</f>
        <v>0</v>
      </c>
      <c r="Y173" s="27">
        <f>SUMIFS([1]raw_data!U:U,[1]raw_data!$A:$A,$B173)</f>
        <v>0</v>
      </c>
      <c r="Z173" s="28">
        <f>SUMIFS([1]raw_data!V:V,[1]raw_data!$A:$A,$B173)</f>
        <v>0</v>
      </c>
      <c r="AA173" s="25">
        <f t="shared" si="2"/>
        <v>27.2759684</v>
      </c>
    </row>
    <row r="174" spans="1:27" x14ac:dyDescent="0.25">
      <c r="A174" s="40"/>
      <c r="B174" s="25" t="s">
        <v>447</v>
      </c>
      <c r="C174" s="25" t="s">
        <v>320</v>
      </c>
      <c r="D174" s="25" t="s">
        <v>448</v>
      </c>
      <c r="E174" s="25" t="s">
        <v>19</v>
      </c>
      <c r="F174" s="26">
        <f>IFERROR(INDEX([1]raw_data!B:B,MATCH('SAIDI excl MEDs sort (5-yr avg)'!B167,[1]raw_data!A:A,0)),0)</f>
        <v>1426.4</v>
      </c>
      <c r="G174" s="27">
        <f>SUMIFS([1]raw_data!C:C,[1]raw_data!$A:$A,$B174)</f>
        <v>0</v>
      </c>
      <c r="H174" s="28">
        <f>SUMIFS([1]raw_data!D:D,[1]raw_data!$A:$A,$B174)</f>
        <v>0</v>
      </c>
      <c r="I174" s="27">
        <f>SUMIFS([1]raw_data!E:E,[1]raw_data!$A:$A,$B174)</f>
        <v>0</v>
      </c>
      <c r="J174" s="28">
        <f>SUMIFS([1]raw_data!F:F,[1]raw_data!$A:$A,$B174)</f>
        <v>0</v>
      </c>
      <c r="K174" s="27">
        <f>SUMIFS([1]raw_data!G:G,[1]raw_data!$A:$A,$B174)</f>
        <v>0</v>
      </c>
      <c r="L174" s="28">
        <f>SUMIFS([1]raw_data!H:H,[1]raw_data!$A:$A,$B174)</f>
        <v>0</v>
      </c>
      <c r="M174" s="27">
        <f>SUMIFS([1]raw_data!I:I,[1]raw_data!$A:$A,$B174)</f>
        <v>0</v>
      </c>
      <c r="N174" s="28">
        <f>SUMIFS([1]raw_data!J:J,[1]raw_data!$A:$A,$B174)</f>
        <v>0</v>
      </c>
      <c r="O174" s="27">
        <f>SUMIFS([1]raw_data!K:K,[1]raw_data!$A:$A,$B174)</f>
        <v>0</v>
      </c>
      <c r="P174" s="28">
        <f>SUMIFS([1]raw_data!L:L,[1]raw_data!$A:$A,$B174)</f>
        <v>0</v>
      </c>
      <c r="Q174" s="27">
        <f>SUMIFS([1]raw_data!M:M,[1]raw_data!$A:$A,$B174)</f>
        <v>0</v>
      </c>
      <c r="R174" s="28">
        <f>SUMIFS([1]raw_data!N:N,[1]raw_data!$A:$A,$B174)</f>
        <v>0</v>
      </c>
      <c r="S174" s="27">
        <f>SUMIFS([1]raw_data!O:O,[1]raw_data!$A:$A,$B174)</f>
        <v>136.25</v>
      </c>
      <c r="T174" s="28">
        <f>SUMIFS([1]raw_data!P:P,[1]raw_data!$A:$A,$B174)</f>
        <v>1</v>
      </c>
      <c r="U174" s="27">
        <f>SUMIFS([1]raw_data!Q:Q,[1]raw_data!$A:$A,$B174)</f>
        <v>136.25</v>
      </c>
      <c r="V174" s="28">
        <f>SUMIFS([1]raw_data!R:R,[1]raw_data!$A:$A,$B174)</f>
        <v>1</v>
      </c>
      <c r="W174" s="27">
        <f>SUMIFS([1]raw_data!S:S,[1]raw_data!$A:$A,$B174)</f>
        <v>0</v>
      </c>
      <c r="X174" s="28">
        <f>SUMIFS([1]raw_data!T:T,[1]raw_data!$A:$A,$B174)</f>
        <v>0</v>
      </c>
      <c r="Y174" s="27">
        <f>SUMIFS([1]raw_data!U:U,[1]raw_data!$A:$A,$B174)</f>
        <v>0</v>
      </c>
      <c r="Z174" s="28">
        <f>SUMIFS([1]raw_data!V:V,[1]raw_data!$A:$A,$B174)</f>
        <v>0</v>
      </c>
      <c r="AA174" s="25">
        <f t="shared" si="2"/>
        <v>27.25</v>
      </c>
    </row>
    <row r="175" spans="1:27" x14ac:dyDescent="0.25">
      <c r="A175" s="40"/>
      <c r="B175" s="25" t="s">
        <v>449</v>
      </c>
      <c r="C175" s="25" t="s">
        <v>115</v>
      </c>
      <c r="D175" s="25" t="s">
        <v>450</v>
      </c>
      <c r="E175" s="25" t="s">
        <v>15</v>
      </c>
      <c r="F175" s="26">
        <f>IFERROR(INDEX([1]raw_data!B:B,MATCH('SAIDI excl MEDs sort (5-yr avg)'!B160,[1]raw_data!A:A,0)),0)</f>
        <v>2729.8</v>
      </c>
      <c r="G175" s="27">
        <f>SUMIFS([1]raw_data!C:C,[1]raw_data!$A:$A,$B175)</f>
        <v>0</v>
      </c>
      <c r="H175" s="28">
        <f>SUMIFS([1]raw_data!D:D,[1]raw_data!$A:$A,$B175)</f>
        <v>0</v>
      </c>
      <c r="I175" s="27">
        <f>SUMIFS([1]raw_data!E:E,[1]raw_data!$A:$A,$B175)</f>
        <v>0</v>
      </c>
      <c r="J175" s="28">
        <f>SUMIFS([1]raw_data!F:F,[1]raw_data!$A:$A,$B175)</f>
        <v>0</v>
      </c>
      <c r="K175" s="27">
        <f>SUMIFS([1]raw_data!G:G,[1]raw_data!$A:$A,$B175)</f>
        <v>0</v>
      </c>
      <c r="L175" s="28">
        <f>SUMIFS([1]raw_data!H:H,[1]raw_data!$A:$A,$B175)</f>
        <v>0</v>
      </c>
      <c r="M175" s="27">
        <f>SUMIFS([1]raw_data!I:I,[1]raw_data!$A:$A,$B175)</f>
        <v>0</v>
      </c>
      <c r="N175" s="28">
        <f>SUMIFS([1]raw_data!J:J,[1]raw_data!$A:$A,$B175)</f>
        <v>0</v>
      </c>
      <c r="O175" s="27">
        <f>SUMIFS([1]raw_data!K:K,[1]raw_data!$A:$A,$B175)</f>
        <v>1.3485940000000001</v>
      </c>
      <c r="P175" s="28">
        <f>SUMIFS([1]raw_data!L:L,[1]raw_data!$A:$A,$B175)</f>
        <v>6.0240963855421603E-3</v>
      </c>
      <c r="Q175" s="27">
        <f>SUMIFS([1]raw_data!M:M,[1]raw_data!$A:$A,$B175)</f>
        <v>1.3485940000000001</v>
      </c>
      <c r="R175" s="28">
        <f>SUMIFS([1]raw_data!N:N,[1]raw_data!$A:$A,$B175)</f>
        <v>6.0240963855421603E-3</v>
      </c>
      <c r="S175" s="27">
        <f>SUMIFS([1]raw_data!O:O,[1]raw_data!$A:$A,$B175)</f>
        <v>166.40662499999999</v>
      </c>
      <c r="T175" s="28">
        <f>SUMIFS([1]raw_data!P:P,[1]raw_data!$A:$A,$B175)</f>
        <v>1.99999999999999</v>
      </c>
      <c r="U175" s="27">
        <f>SUMIFS([1]raw_data!Q:Q,[1]raw_data!$A:$A,$B175)</f>
        <v>118.871987</v>
      </c>
      <c r="V175" s="28">
        <f>SUMIFS([1]raw_data!R:R,[1]raw_data!$A:$A,$B175)</f>
        <v>0.99397590361445698</v>
      </c>
      <c r="W175" s="27">
        <f>SUMIFS([1]raw_data!S:S,[1]raw_data!$A:$A,$B175)</f>
        <v>0</v>
      </c>
      <c r="X175" s="28">
        <f>SUMIFS([1]raw_data!T:T,[1]raw_data!$A:$A,$B175)</f>
        <v>0</v>
      </c>
      <c r="Y175" s="27">
        <f>SUMIFS([1]raw_data!U:U,[1]raw_data!$A:$A,$B175)</f>
        <v>0</v>
      </c>
      <c r="Z175" s="28">
        <f>SUMIFS([1]raw_data!V:V,[1]raw_data!$A:$A,$B175)</f>
        <v>0</v>
      </c>
      <c r="AA175" s="25">
        <f t="shared" si="2"/>
        <v>24.044116200000001</v>
      </c>
    </row>
    <row r="176" spans="1:27" x14ac:dyDescent="0.25">
      <c r="A176" s="40"/>
      <c r="B176" s="25" t="s">
        <v>451</v>
      </c>
      <c r="C176" s="25" t="s">
        <v>46</v>
      </c>
      <c r="D176" s="25" t="s">
        <v>452</v>
      </c>
      <c r="E176" s="25" t="s">
        <v>19</v>
      </c>
      <c r="F176" s="26">
        <f>IFERROR(INDEX([1]raw_data!B:B,MATCH('SAIDI excl MEDs sort (5-yr avg)'!B154,[1]raw_data!A:A,0)),0)</f>
        <v>488.14285699999999</v>
      </c>
      <c r="G176" s="27">
        <f>SUMIFS([1]raw_data!C:C,[1]raw_data!$A:$A,$B176)</f>
        <v>1.6048690000000001</v>
      </c>
      <c r="H176" s="28">
        <f>SUMIFS([1]raw_data!D:D,[1]raw_data!$A:$A,$B176)</f>
        <v>7.1942446043165402E-3</v>
      </c>
      <c r="I176" s="27">
        <f>SUMIFS([1]raw_data!E:E,[1]raw_data!$A:$A,$B176)</f>
        <v>1.6048690000000001</v>
      </c>
      <c r="J176" s="28">
        <f>SUMIFS([1]raw_data!F:F,[1]raw_data!$A:$A,$B176)</f>
        <v>7.1942446043165402E-3</v>
      </c>
      <c r="K176" s="27">
        <f>SUMIFS([1]raw_data!G:G,[1]raw_data!$A:$A,$B176)</f>
        <v>22.528642999999999</v>
      </c>
      <c r="L176" s="28">
        <f>SUMIFS([1]raw_data!H:H,[1]raw_data!$A:$A,$B176)</f>
        <v>4.7337278106508798E-2</v>
      </c>
      <c r="M176" s="27">
        <f>SUMIFS([1]raw_data!I:I,[1]raw_data!$A:$A,$B176)</f>
        <v>14.304747000000001</v>
      </c>
      <c r="N176" s="28">
        <f>SUMIFS([1]raw_data!J:J,[1]raw_data!$A:$A,$B176)</f>
        <v>4.14201183431952E-2</v>
      </c>
      <c r="O176" s="27">
        <f>SUMIFS([1]raw_data!K:K,[1]raw_data!$A:$A,$B176)</f>
        <v>1.940828</v>
      </c>
      <c r="P176" s="28">
        <f>SUMIFS([1]raw_data!L:L,[1]raw_data!$A:$A,$B176)</f>
        <v>5.9171597633135998E-3</v>
      </c>
      <c r="Q176" s="27">
        <f>SUMIFS([1]raw_data!M:M,[1]raw_data!$A:$A,$B176)</f>
        <v>1.940828</v>
      </c>
      <c r="R176" s="28">
        <f>SUMIFS([1]raw_data!N:N,[1]raw_data!$A:$A,$B176)</f>
        <v>5.9171597633135998E-3</v>
      </c>
      <c r="S176" s="27">
        <f>SUMIFS([1]raw_data!O:O,[1]raw_data!$A:$A,$B176)</f>
        <v>59.023978</v>
      </c>
      <c r="T176" s="28">
        <f>SUMIFS([1]raw_data!P:P,[1]raw_data!$A:$A,$B176)</f>
        <v>0.22134387351778601</v>
      </c>
      <c r="U176" s="27">
        <f>SUMIFS([1]raw_data!Q:Q,[1]raw_data!$A:$A,$B176)</f>
        <v>59.023978</v>
      </c>
      <c r="V176" s="28">
        <f>SUMIFS([1]raw_data!R:R,[1]raw_data!$A:$A,$B176)</f>
        <v>0.22134387351778601</v>
      </c>
      <c r="W176" s="27">
        <f>SUMIFS([1]raw_data!S:S,[1]raw_data!$A:$A,$B176)</f>
        <v>0.89631700000000003</v>
      </c>
      <c r="X176" s="28">
        <f>SUMIFS([1]raw_data!T:T,[1]raw_data!$A:$A,$B176)</f>
        <v>3.7453183520599199E-3</v>
      </c>
      <c r="Y176" s="27">
        <f>SUMIFS([1]raw_data!U:U,[1]raw_data!$A:$A,$B176)</f>
        <v>0</v>
      </c>
      <c r="Z176" s="28">
        <f>SUMIFS([1]raw_data!V:V,[1]raw_data!$A:$A,$B176)</f>
        <v>0</v>
      </c>
      <c r="AA176" s="25">
        <f t="shared" si="2"/>
        <v>15.374884400000003</v>
      </c>
    </row>
    <row r="177" spans="1:27" x14ac:dyDescent="0.25">
      <c r="A177" s="40"/>
      <c r="B177" s="25" t="s">
        <v>453</v>
      </c>
      <c r="C177" s="25" t="s">
        <v>454</v>
      </c>
      <c r="D177" s="25" t="s">
        <v>455</v>
      </c>
      <c r="E177" s="25" t="s">
        <v>65</v>
      </c>
      <c r="F177" s="26">
        <f>IFERROR(INDEX([1]raw_data!B:B,MATCH('SAIDI excl MEDs sort (5-yr avg)'!B190,[1]raw_data!A:A,0)),0)</f>
        <v>0</v>
      </c>
      <c r="G177" s="27">
        <f>SUMIFS([1]raw_data!C:C,[1]raw_data!$A:$A,$B177)</f>
        <v>0</v>
      </c>
      <c r="H177" s="28">
        <f>SUMIFS([1]raw_data!D:D,[1]raw_data!$A:$A,$B177)</f>
        <v>0</v>
      </c>
      <c r="I177" s="27">
        <f>SUMIFS([1]raw_data!E:E,[1]raw_data!$A:$A,$B177)</f>
        <v>0</v>
      </c>
      <c r="J177" s="28">
        <f>SUMIFS([1]raw_data!F:F,[1]raw_data!$A:$A,$B177)</f>
        <v>0</v>
      </c>
      <c r="K177" s="27">
        <f>SUMIFS([1]raw_data!G:G,[1]raw_data!$A:$A,$B177)</f>
        <v>72.115131000000005</v>
      </c>
      <c r="L177" s="28">
        <f>SUMIFS([1]raw_data!H:H,[1]raw_data!$A:$A,$B177)</f>
        <v>0.45454545454545398</v>
      </c>
      <c r="M177" s="27">
        <f>SUMIFS([1]raw_data!I:I,[1]raw_data!$A:$A,$B177)</f>
        <v>27.801397000000001</v>
      </c>
      <c r="N177" s="28">
        <f>SUMIFS([1]raw_data!J:J,[1]raw_data!$A:$A,$B177)</f>
        <v>0.22727272727272699</v>
      </c>
      <c r="O177" s="27">
        <f>SUMIFS([1]raw_data!K:K,[1]raw_data!$A:$A,$B177)</f>
        <v>42.930680000000002</v>
      </c>
      <c r="P177" s="28">
        <f>SUMIFS([1]raw_data!L:L,[1]raw_data!$A:$A,$B177)</f>
        <v>0.36363636363636298</v>
      </c>
      <c r="Q177" s="27">
        <f>SUMIFS([1]raw_data!M:M,[1]raw_data!$A:$A,$B177)</f>
        <v>37.339393000000001</v>
      </c>
      <c r="R177" s="28">
        <f>SUMIFS([1]raw_data!N:N,[1]raw_data!$A:$A,$B177)</f>
        <v>0.29545454545454503</v>
      </c>
      <c r="S177" s="27">
        <f>SUMIFS([1]raw_data!O:O,[1]raw_data!$A:$A,$B177)</f>
        <v>0</v>
      </c>
      <c r="T177" s="28">
        <f>SUMIFS([1]raw_data!P:P,[1]raw_data!$A:$A,$B177)</f>
        <v>0</v>
      </c>
      <c r="U177" s="27">
        <f>SUMIFS([1]raw_data!Q:Q,[1]raw_data!$A:$A,$B177)</f>
        <v>0</v>
      </c>
      <c r="V177" s="28">
        <f>SUMIFS([1]raw_data!R:R,[1]raw_data!$A:$A,$B177)</f>
        <v>0</v>
      </c>
      <c r="W177" s="27">
        <f>SUMIFS([1]raw_data!S:S,[1]raw_data!$A:$A,$B177)</f>
        <v>0</v>
      </c>
      <c r="X177" s="28">
        <f>SUMIFS([1]raw_data!T:T,[1]raw_data!$A:$A,$B177)</f>
        <v>0</v>
      </c>
      <c r="Y177" s="27">
        <f>SUMIFS([1]raw_data!U:U,[1]raw_data!$A:$A,$B177)</f>
        <v>0</v>
      </c>
      <c r="Z177" s="28">
        <f>SUMIFS([1]raw_data!V:V,[1]raw_data!$A:$A,$B177)</f>
        <v>0</v>
      </c>
      <c r="AA177" s="25">
        <f t="shared" si="2"/>
        <v>13.028158000000001</v>
      </c>
    </row>
    <row r="178" spans="1:27" x14ac:dyDescent="0.25">
      <c r="A178" s="40"/>
      <c r="B178" s="25" t="s">
        <v>456</v>
      </c>
      <c r="C178" s="25" t="s">
        <v>320</v>
      </c>
      <c r="D178" s="25" t="s">
        <v>457</v>
      </c>
      <c r="E178" s="25" t="s">
        <v>19</v>
      </c>
      <c r="F178" s="26">
        <f>IFERROR(INDEX([1]raw_data!B:B,MATCH('SAIDI excl MEDs sort (5-yr avg)'!B164,[1]raw_data!A:A,0)),0)</f>
        <v>1049.8</v>
      </c>
      <c r="G178" s="27">
        <f>SUMIFS([1]raw_data!C:C,[1]raw_data!$A:$A,$B178)</f>
        <v>0</v>
      </c>
      <c r="H178" s="28">
        <f>SUMIFS([1]raw_data!D:D,[1]raw_data!$A:$A,$B178)</f>
        <v>0</v>
      </c>
      <c r="I178" s="27">
        <f>SUMIFS([1]raw_data!E:E,[1]raw_data!$A:$A,$B178)</f>
        <v>0</v>
      </c>
      <c r="J178" s="28">
        <f>SUMIFS([1]raw_data!F:F,[1]raw_data!$A:$A,$B178)</f>
        <v>0</v>
      </c>
      <c r="K178" s="27">
        <f>SUMIFS([1]raw_data!G:G,[1]raw_data!$A:$A,$B178)</f>
        <v>0</v>
      </c>
      <c r="L178" s="28">
        <f>SUMIFS([1]raw_data!H:H,[1]raw_data!$A:$A,$B178)</f>
        <v>0</v>
      </c>
      <c r="M178" s="27">
        <f>SUMIFS([1]raw_data!I:I,[1]raw_data!$A:$A,$B178)</f>
        <v>0</v>
      </c>
      <c r="N178" s="28">
        <f>SUMIFS([1]raw_data!J:J,[1]raw_data!$A:$A,$B178)</f>
        <v>0</v>
      </c>
      <c r="O178" s="27">
        <f>SUMIFS([1]raw_data!K:K,[1]raw_data!$A:$A,$B178)</f>
        <v>8.4937500000000004</v>
      </c>
      <c r="P178" s="28">
        <f>SUMIFS([1]raw_data!L:L,[1]raw_data!$A:$A,$B178)</f>
        <v>6.25E-2</v>
      </c>
      <c r="Q178" s="27">
        <f>SUMIFS([1]raw_data!M:M,[1]raw_data!$A:$A,$B178)</f>
        <v>8.4937500000000004</v>
      </c>
      <c r="R178" s="28">
        <f>SUMIFS([1]raw_data!N:N,[1]raw_data!$A:$A,$B178)</f>
        <v>6.25E-2</v>
      </c>
      <c r="S178" s="27">
        <f>SUMIFS([1]raw_data!O:O,[1]raw_data!$A:$A,$B178)</f>
        <v>34.084522999999997</v>
      </c>
      <c r="T178" s="28">
        <f>SUMIFS([1]raw_data!P:P,[1]raw_data!$A:$A,$B178)</f>
        <v>7.1428571428571397E-2</v>
      </c>
      <c r="U178" s="27">
        <f>SUMIFS([1]raw_data!Q:Q,[1]raw_data!$A:$A,$B178)</f>
        <v>34.084522999999997</v>
      </c>
      <c r="V178" s="28">
        <f>SUMIFS([1]raw_data!R:R,[1]raw_data!$A:$A,$B178)</f>
        <v>7.1428571428571397E-2</v>
      </c>
      <c r="W178" s="27">
        <f>SUMIFS([1]raw_data!S:S,[1]raw_data!$A:$A,$B178)</f>
        <v>0</v>
      </c>
      <c r="X178" s="28">
        <f>SUMIFS([1]raw_data!T:T,[1]raw_data!$A:$A,$B178)</f>
        <v>0</v>
      </c>
      <c r="Y178" s="27">
        <f>SUMIFS([1]raw_data!U:U,[1]raw_data!$A:$A,$B178)</f>
        <v>0</v>
      </c>
      <c r="Z178" s="28">
        <f>SUMIFS([1]raw_data!V:V,[1]raw_data!$A:$A,$B178)</f>
        <v>0</v>
      </c>
      <c r="AA178" s="25">
        <f t="shared" si="2"/>
        <v>8.5156545999999995</v>
      </c>
    </row>
    <row r="179" spans="1:27" x14ac:dyDescent="0.25">
      <c r="A179" s="40"/>
      <c r="B179" s="25" t="s">
        <v>458</v>
      </c>
      <c r="C179" s="25" t="s">
        <v>179</v>
      </c>
      <c r="D179" s="25" t="s">
        <v>459</v>
      </c>
      <c r="E179" s="25" t="s">
        <v>23</v>
      </c>
      <c r="F179" s="26">
        <f>IFERROR(INDEX([1]raw_data!B:B,MATCH('SAIDI excl MEDs sort (5-yr avg)'!B187,[1]raw_data!A:A,0)),0)</f>
        <v>0</v>
      </c>
      <c r="G179" s="27">
        <f>SUMIFS([1]raw_data!C:C,[1]raw_data!$A:$A,$B179)</f>
        <v>0</v>
      </c>
      <c r="H179" s="28">
        <f>SUMIFS([1]raw_data!D:D,[1]raw_data!$A:$A,$B179)</f>
        <v>0</v>
      </c>
      <c r="I179" s="27">
        <f>SUMIFS([1]raw_data!E:E,[1]raw_data!$A:$A,$B179)</f>
        <v>0</v>
      </c>
      <c r="J179" s="28">
        <f>SUMIFS([1]raw_data!F:F,[1]raw_data!$A:$A,$B179)</f>
        <v>0</v>
      </c>
      <c r="K179" s="27">
        <f>SUMIFS([1]raw_data!G:G,[1]raw_data!$A:$A,$B179)</f>
        <v>0</v>
      </c>
      <c r="L179" s="28">
        <f>SUMIFS([1]raw_data!H:H,[1]raw_data!$A:$A,$B179)</f>
        <v>0</v>
      </c>
      <c r="M179" s="27">
        <f>SUMIFS([1]raw_data!I:I,[1]raw_data!$A:$A,$B179)</f>
        <v>0</v>
      </c>
      <c r="N179" s="28">
        <f>SUMIFS([1]raw_data!J:J,[1]raw_data!$A:$A,$B179)</f>
        <v>0</v>
      </c>
      <c r="O179" s="27">
        <f>SUMIFS([1]raw_data!K:K,[1]raw_data!$A:$A,$B179)</f>
        <v>0</v>
      </c>
      <c r="P179" s="28">
        <f>SUMIFS([1]raw_data!L:L,[1]raw_data!$A:$A,$B179)</f>
        <v>0</v>
      </c>
      <c r="Q179" s="27">
        <f>SUMIFS([1]raw_data!M:M,[1]raw_data!$A:$A,$B179)</f>
        <v>0</v>
      </c>
      <c r="R179" s="28">
        <f>SUMIFS([1]raw_data!N:N,[1]raw_data!$A:$A,$B179)</f>
        <v>0</v>
      </c>
      <c r="S179" s="27">
        <f>SUMIFS([1]raw_data!O:O,[1]raw_data!$A:$A,$B179)</f>
        <v>31.880246</v>
      </c>
      <c r="T179" s="28">
        <f>SUMIFS([1]raw_data!P:P,[1]raw_data!$A:$A,$B179)</f>
        <v>0.172839506172839</v>
      </c>
      <c r="U179" s="27">
        <f>SUMIFS([1]raw_data!Q:Q,[1]raw_data!$A:$A,$B179)</f>
        <v>31.880246</v>
      </c>
      <c r="V179" s="28">
        <f>SUMIFS([1]raw_data!R:R,[1]raw_data!$A:$A,$B179)</f>
        <v>0.172839506172839</v>
      </c>
      <c r="W179" s="27">
        <f>SUMIFS([1]raw_data!S:S,[1]raw_data!$A:$A,$B179)</f>
        <v>0</v>
      </c>
      <c r="X179" s="28">
        <f>SUMIFS([1]raw_data!T:T,[1]raw_data!$A:$A,$B179)</f>
        <v>0</v>
      </c>
      <c r="Y179" s="27">
        <f>SUMIFS([1]raw_data!U:U,[1]raw_data!$A:$A,$B179)</f>
        <v>0</v>
      </c>
      <c r="Z179" s="28">
        <f>SUMIFS([1]raw_data!V:V,[1]raw_data!$A:$A,$B179)</f>
        <v>0</v>
      </c>
      <c r="AA179" s="25">
        <f t="shared" si="2"/>
        <v>6.3760491999999998</v>
      </c>
    </row>
    <row r="180" spans="1:27" x14ac:dyDescent="0.25">
      <c r="A180" s="40"/>
      <c r="B180" s="25" t="s">
        <v>460</v>
      </c>
      <c r="C180" s="25" t="s">
        <v>404</v>
      </c>
      <c r="D180" s="25" t="s">
        <v>461</v>
      </c>
      <c r="E180" s="25" t="s">
        <v>65</v>
      </c>
      <c r="F180" s="26">
        <f>IFERROR(INDEX([1]raw_data!B:B,MATCH('SAIDI excl MEDs sort (5-yr avg)'!B139,[1]raw_data!A:A,0)),0)</f>
        <v>1177</v>
      </c>
      <c r="G180" s="27">
        <f>SUMIFS([1]raw_data!C:C,[1]raw_data!$A:$A,$B180)</f>
        <v>9.4724240000000002</v>
      </c>
      <c r="H180" s="28">
        <f>SUMIFS([1]raw_data!D:D,[1]raw_data!$A:$A,$B180)</f>
        <v>4.3478260869565202E-2</v>
      </c>
      <c r="I180" s="27">
        <f>SUMIFS([1]raw_data!E:E,[1]raw_data!$A:$A,$B180)</f>
        <v>9.4724240000000002</v>
      </c>
      <c r="J180" s="28">
        <f>SUMIFS([1]raw_data!F:F,[1]raw_data!$A:$A,$B180)</f>
        <v>4.3478260869565202E-2</v>
      </c>
      <c r="K180" s="27">
        <f>SUMIFS([1]raw_data!G:G,[1]raw_data!$A:$A,$B180)</f>
        <v>0.57348399999999999</v>
      </c>
      <c r="L180" s="28">
        <f>SUMIFS([1]raw_data!H:H,[1]raw_data!$A:$A,$B180)</f>
        <v>4.54545454545454E-2</v>
      </c>
      <c r="M180" s="27">
        <f>SUMIFS([1]raw_data!I:I,[1]raw_data!$A:$A,$B180)</f>
        <v>0.57348399999999999</v>
      </c>
      <c r="N180" s="28">
        <f>SUMIFS([1]raw_data!J:J,[1]raw_data!$A:$A,$B180)</f>
        <v>4.54545454545454E-2</v>
      </c>
      <c r="O180" s="27">
        <f>SUMIFS([1]raw_data!K:K,[1]raw_data!$A:$A,$B180)</f>
        <v>1844.679545</v>
      </c>
      <c r="P180" s="28">
        <f>SUMIFS([1]raw_data!L:L,[1]raw_data!$A:$A,$B180)</f>
        <v>0.95454545454545403</v>
      </c>
      <c r="Q180" s="27">
        <f>SUMIFS([1]raw_data!M:M,[1]raw_data!$A:$A,$B180)</f>
        <v>0</v>
      </c>
      <c r="R180" s="28">
        <f>SUMIFS([1]raw_data!N:N,[1]raw_data!$A:$A,$B180)</f>
        <v>0</v>
      </c>
      <c r="S180" s="27">
        <f>SUMIFS([1]raw_data!O:O,[1]raw_data!$A:$A,$B180)</f>
        <v>7.6340899999999996</v>
      </c>
      <c r="T180" s="28">
        <f>SUMIFS([1]raw_data!P:P,[1]raw_data!$A:$A,$B180)</f>
        <v>0.11363636363636299</v>
      </c>
      <c r="U180" s="27">
        <f>SUMIFS([1]raw_data!Q:Q,[1]raw_data!$A:$A,$B180)</f>
        <v>7.6340899999999996</v>
      </c>
      <c r="V180" s="28">
        <f>SUMIFS([1]raw_data!R:R,[1]raw_data!$A:$A,$B180)</f>
        <v>0.11363636363636299</v>
      </c>
      <c r="W180" s="27">
        <f>SUMIFS([1]raw_data!S:S,[1]raw_data!$A:$A,$B180)</f>
        <v>14.065116</v>
      </c>
      <c r="X180" s="28">
        <f>SUMIFS([1]raw_data!T:T,[1]raw_data!$A:$A,$B180)</f>
        <v>0.209302325581395</v>
      </c>
      <c r="Y180" s="27">
        <f>SUMIFS([1]raw_data!U:U,[1]raw_data!$A:$A,$B180)</f>
        <v>14.065116</v>
      </c>
      <c r="Z180" s="28">
        <f>SUMIFS([1]raw_data!V:V,[1]raw_data!$A:$A,$B180)</f>
        <v>0.209302325581395</v>
      </c>
      <c r="AA180" s="25">
        <f t="shared" si="2"/>
        <v>6.3490228000000002</v>
      </c>
    </row>
    <row r="181" spans="1:27" x14ac:dyDescent="0.25">
      <c r="A181" s="40"/>
      <c r="B181" s="25" t="s">
        <v>462</v>
      </c>
      <c r="C181" s="25" t="s">
        <v>454</v>
      </c>
      <c r="D181" s="25" t="s">
        <v>463</v>
      </c>
      <c r="E181" s="25" t="s">
        <v>65</v>
      </c>
      <c r="F181" s="26">
        <f>IFERROR(INDEX([1]raw_data!B:B,MATCH('SAIDI excl MEDs sort (5-yr avg)'!B189,[1]raw_data!A:A,0)),0)</f>
        <v>42</v>
      </c>
      <c r="G181" s="27">
        <f>SUMIFS([1]raw_data!C:C,[1]raw_data!$A:$A,$B181)</f>
        <v>2.8603100000000001</v>
      </c>
      <c r="H181" s="28">
        <f>SUMIFS([1]raw_data!D:D,[1]raw_data!$A:$A,$B181)</f>
        <v>2.2172949002217199E-3</v>
      </c>
      <c r="I181" s="27">
        <f>SUMIFS([1]raw_data!E:E,[1]raw_data!$A:$A,$B181)</f>
        <v>0</v>
      </c>
      <c r="J181" s="28">
        <f>SUMIFS([1]raw_data!F:F,[1]raw_data!$A:$A,$B181)</f>
        <v>0</v>
      </c>
      <c r="K181" s="27">
        <f>SUMIFS([1]raw_data!G:G,[1]raw_data!$A:$A,$B181)</f>
        <v>4.9998180000000003</v>
      </c>
      <c r="L181" s="28">
        <f>SUMIFS([1]raw_data!H:H,[1]raw_data!$A:$A,$B181)</f>
        <v>4.3956043956043904E-3</v>
      </c>
      <c r="M181" s="27">
        <f>SUMIFS([1]raw_data!I:I,[1]raw_data!$A:$A,$B181)</f>
        <v>0.45203300000000002</v>
      </c>
      <c r="N181" s="28">
        <f>SUMIFS([1]raw_data!J:J,[1]raw_data!$A:$A,$B181)</f>
        <v>2.19780219780219E-3</v>
      </c>
      <c r="O181" s="27">
        <f>SUMIFS([1]raw_data!K:K,[1]raw_data!$A:$A,$B181)</f>
        <v>33.851056</v>
      </c>
      <c r="P181" s="28">
        <f>SUMIFS([1]raw_data!L:L,[1]raw_data!$A:$A,$B181)</f>
        <v>0.20568927789934299</v>
      </c>
      <c r="Q181" s="27">
        <f>SUMIFS([1]raw_data!M:M,[1]raw_data!$A:$A,$B181)</f>
        <v>25.945550000000001</v>
      </c>
      <c r="R181" s="28">
        <f>SUMIFS([1]raw_data!N:N,[1]raw_data!$A:$A,$B181)</f>
        <v>0.150984682713347</v>
      </c>
      <c r="S181" s="27">
        <f>SUMIFS([1]raw_data!O:O,[1]raw_data!$A:$A,$B181)</f>
        <v>613.980591</v>
      </c>
      <c r="T181" s="28">
        <f>SUMIFS([1]raw_data!P:P,[1]raw_data!$A:$A,$B181)</f>
        <v>0.87445887445887405</v>
      </c>
      <c r="U181" s="27">
        <f>SUMIFS([1]raw_data!Q:Q,[1]raw_data!$A:$A,$B181)</f>
        <v>0.517424</v>
      </c>
      <c r="V181" s="28">
        <f>SUMIFS([1]raw_data!R:R,[1]raw_data!$A:$A,$B181)</f>
        <v>6.4935064935064896E-3</v>
      </c>
      <c r="W181" s="27">
        <f>SUMIFS([1]raw_data!S:S,[1]raw_data!$A:$A,$B181)</f>
        <v>492.89728100000002</v>
      </c>
      <c r="X181" s="28">
        <f>SUMIFS([1]raw_data!T:T,[1]raw_data!$A:$A,$B181)</f>
        <v>0.45708154506437698</v>
      </c>
      <c r="Y181" s="27">
        <f>SUMIFS([1]raw_data!U:U,[1]raw_data!$A:$A,$B181)</f>
        <v>2.6805430000000001</v>
      </c>
      <c r="Z181" s="28">
        <f>SUMIFS([1]raw_data!V:V,[1]raw_data!$A:$A,$B181)</f>
        <v>3.4334763948497798E-2</v>
      </c>
      <c r="AA181" s="25">
        <f t="shared" si="2"/>
        <v>5.9191099999999999</v>
      </c>
    </row>
    <row r="182" spans="1:27" x14ac:dyDescent="0.25">
      <c r="A182" s="40"/>
      <c r="B182" s="25" t="s">
        <v>464</v>
      </c>
      <c r="C182" s="25" t="s">
        <v>366</v>
      </c>
      <c r="D182" s="25" t="s">
        <v>465</v>
      </c>
      <c r="E182" s="25" t="s">
        <v>19</v>
      </c>
      <c r="F182" s="26">
        <f>IFERROR(INDEX([1]raw_data!B:B,MATCH('SAIDI excl MEDs sort (5-yr avg)'!B186,[1]raw_data!A:A,0)),0)</f>
        <v>0</v>
      </c>
      <c r="G182" s="27">
        <f>SUMIFS([1]raw_data!C:C,[1]raw_data!$A:$A,$B182)</f>
        <v>0</v>
      </c>
      <c r="H182" s="28">
        <f>SUMIFS([1]raw_data!D:D,[1]raw_data!$A:$A,$B182)</f>
        <v>0</v>
      </c>
      <c r="I182" s="27">
        <f>SUMIFS([1]raw_data!E:E,[1]raw_data!$A:$A,$B182)</f>
        <v>0</v>
      </c>
      <c r="J182" s="28">
        <f>SUMIFS([1]raw_data!F:F,[1]raw_data!$A:$A,$B182)</f>
        <v>0</v>
      </c>
      <c r="K182" s="27">
        <f>SUMIFS([1]raw_data!G:G,[1]raw_data!$A:$A,$B182)</f>
        <v>12.865925000000001</v>
      </c>
      <c r="L182" s="28">
        <f>SUMIFS([1]raw_data!H:H,[1]raw_data!$A:$A,$B182)</f>
        <v>4.54545454545454E-2</v>
      </c>
      <c r="M182" s="27">
        <f>SUMIFS([1]raw_data!I:I,[1]raw_data!$A:$A,$B182)</f>
        <v>12.865925000000001</v>
      </c>
      <c r="N182" s="28">
        <f>SUMIFS([1]raw_data!J:J,[1]raw_data!$A:$A,$B182)</f>
        <v>4.54545454545454E-2</v>
      </c>
      <c r="O182" s="27">
        <f>SUMIFS([1]raw_data!K:K,[1]raw_data!$A:$A,$B182)</f>
        <v>0</v>
      </c>
      <c r="P182" s="28">
        <f>SUMIFS([1]raw_data!L:L,[1]raw_data!$A:$A,$B182)</f>
        <v>0</v>
      </c>
      <c r="Q182" s="27">
        <f>SUMIFS([1]raw_data!M:M,[1]raw_data!$A:$A,$B182)</f>
        <v>0</v>
      </c>
      <c r="R182" s="28">
        <f>SUMIFS([1]raw_data!N:N,[1]raw_data!$A:$A,$B182)</f>
        <v>0</v>
      </c>
      <c r="S182" s="27">
        <f>SUMIFS([1]raw_data!O:O,[1]raw_data!$A:$A,$B182)</f>
        <v>0</v>
      </c>
      <c r="T182" s="28">
        <f>SUMIFS([1]raw_data!P:P,[1]raw_data!$A:$A,$B182)</f>
        <v>0</v>
      </c>
      <c r="U182" s="27">
        <f>SUMIFS([1]raw_data!Q:Q,[1]raw_data!$A:$A,$B182)</f>
        <v>0</v>
      </c>
      <c r="V182" s="28">
        <f>SUMIFS([1]raw_data!R:R,[1]raw_data!$A:$A,$B182)</f>
        <v>0</v>
      </c>
      <c r="W182" s="27">
        <f>SUMIFS([1]raw_data!S:S,[1]raw_data!$A:$A,$B182)</f>
        <v>0</v>
      </c>
      <c r="X182" s="28">
        <f>SUMIFS([1]raw_data!T:T,[1]raw_data!$A:$A,$B182)</f>
        <v>0</v>
      </c>
      <c r="Y182" s="27">
        <f>SUMIFS([1]raw_data!U:U,[1]raw_data!$A:$A,$B182)</f>
        <v>0</v>
      </c>
      <c r="Z182" s="28">
        <f>SUMIFS([1]raw_data!V:V,[1]raw_data!$A:$A,$B182)</f>
        <v>0</v>
      </c>
      <c r="AA182" s="25">
        <f t="shared" si="2"/>
        <v>2.5731850000000001</v>
      </c>
    </row>
    <row r="183" spans="1:27" x14ac:dyDescent="0.25">
      <c r="A183" s="40"/>
      <c r="B183" s="25" t="s">
        <v>466</v>
      </c>
      <c r="C183" s="25" t="s">
        <v>467</v>
      </c>
      <c r="D183" s="25" t="s">
        <v>468</v>
      </c>
      <c r="E183" s="25" t="s">
        <v>19</v>
      </c>
      <c r="F183" s="26">
        <f>IFERROR(INDEX([1]raw_data!B:B,MATCH('SAIDI excl MEDs sort (5-yr avg)'!B178,[1]raw_data!A:A,0)),0)</f>
        <v>15</v>
      </c>
      <c r="G183" s="27">
        <f>SUMIFS([1]raw_data!C:C,[1]raw_data!$A:$A,$B183)</f>
        <v>0</v>
      </c>
      <c r="H183" s="28">
        <f>SUMIFS([1]raw_data!D:D,[1]raw_data!$A:$A,$B183)</f>
        <v>0</v>
      </c>
      <c r="I183" s="27">
        <f>SUMIFS([1]raw_data!E:E,[1]raw_data!$A:$A,$B183)</f>
        <v>0</v>
      </c>
      <c r="J183" s="28">
        <f>SUMIFS([1]raw_data!F:F,[1]raw_data!$A:$A,$B183)</f>
        <v>0</v>
      </c>
      <c r="K183" s="27">
        <f>SUMIFS([1]raw_data!G:G,[1]raw_data!$A:$A,$B183)</f>
        <v>92.036906000000002</v>
      </c>
      <c r="L183" s="28">
        <f>SUMIFS([1]raw_data!H:H,[1]raw_data!$A:$A,$B183)</f>
        <v>4.0712468193384199E-2</v>
      </c>
      <c r="M183" s="27">
        <f>SUMIFS([1]raw_data!I:I,[1]raw_data!$A:$A,$B183)</f>
        <v>0</v>
      </c>
      <c r="N183" s="28">
        <f>SUMIFS([1]raw_data!J:J,[1]raw_data!$A:$A,$B183)</f>
        <v>0</v>
      </c>
      <c r="O183" s="27">
        <f>SUMIFS([1]raw_data!K:K,[1]raw_data!$A:$A,$B183)</f>
        <v>0</v>
      </c>
      <c r="P183" s="28">
        <f>SUMIFS([1]raw_data!L:L,[1]raw_data!$A:$A,$B183)</f>
        <v>0</v>
      </c>
      <c r="Q183" s="27">
        <f>SUMIFS([1]raw_data!M:M,[1]raw_data!$A:$A,$B183)</f>
        <v>0</v>
      </c>
      <c r="R183" s="28">
        <f>SUMIFS([1]raw_data!N:N,[1]raw_data!$A:$A,$B183)</f>
        <v>0</v>
      </c>
      <c r="S183" s="27">
        <f>SUMIFS([1]raw_data!O:O,[1]raw_data!$A:$A,$B183)</f>
        <v>9.1760029999999997</v>
      </c>
      <c r="T183" s="28">
        <f>SUMIFS([1]raw_data!P:P,[1]raw_data!$A:$A,$B183)</f>
        <v>0.15706806282722499</v>
      </c>
      <c r="U183" s="27">
        <f>SUMIFS([1]raw_data!Q:Q,[1]raw_data!$A:$A,$B183)</f>
        <v>9.1760029999999997</v>
      </c>
      <c r="V183" s="28">
        <f>SUMIFS([1]raw_data!R:R,[1]raw_data!$A:$A,$B183)</f>
        <v>0.15706806282722499</v>
      </c>
      <c r="W183" s="27">
        <f>SUMIFS([1]raw_data!S:S,[1]raw_data!$A:$A,$B183)</f>
        <v>0</v>
      </c>
      <c r="X183" s="28">
        <f>SUMIFS([1]raw_data!T:T,[1]raw_data!$A:$A,$B183)</f>
        <v>0</v>
      </c>
      <c r="Y183" s="27">
        <f>SUMIFS([1]raw_data!U:U,[1]raw_data!$A:$A,$B183)</f>
        <v>0</v>
      </c>
      <c r="Z183" s="28">
        <f>SUMIFS([1]raw_data!V:V,[1]raw_data!$A:$A,$B183)</f>
        <v>0</v>
      </c>
      <c r="AA183" s="25">
        <f t="shared" si="2"/>
        <v>1.8352005999999998</v>
      </c>
    </row>
    <row r="184" spans="1:27" x14ac:dyDescent="0.25">
      <c r="A184" s="40"/>
      <c r="B184" s="25" t="s">
        <v>469</v>
      </c>
      <c r="C184" s="25" t="s">
        <v>320</v>
      </c>
      <c r="D184" s="25" t="s">
        <v>461</v>
      </c>
      <c r="E184" s="25" t="s">
        <v>19</v>
      </c>
      <c r="F184" s="26">
        <f>IFERROR(INDEX([1]raw_data!B:B,MATCH('SAIDI excl MEDs sort (5-yr avg)'!B166,[1]raw_data!A:A,0)),0)</f>
        <v>467</v>
      </c>
      <c r="G184" s="27">
        <f>SUMIFS([1]raw_data!C:C,[1]raw_data!$A:$A,$B184)</f>
        <v>0</v>
      </c>
      <c r="H184" s="28">
        <f>SUMIFS([1]raw_data!D:D,[1]raw_data!$A:$A,$B184)</f>
        <v>0</v>
      </c>
      <c r="I184" s="27">
        <f>SUMIFS([1]raw_data!E:E,[1]raw_data!$A:$A,$B184)</f>
        <v>0</v>
      </c>
      <c r="J184" s="28">
        <f>SUMIFS([1]raw_data!F:F,[1]raw_data!$A:$A,$B184)</f>
        <v>0</v>
      </c>
      <c r="K184" s="27">
        <f>SUMIFS([1]raw_data!G:G,[1]raw_data!$A:$A,$B184)</f>
        <v>0</v>
      </c>
      <c r="L184" s="28">
        <f>SUMIFS([1]raw_data!H:H,[1]raw_data!$A:$A,$B184)</f>
        <v>0</v>
      </c>
      <c r="M184" s="27">
        <f>SUMIFS([1]raw_data!I:I,[1]raw_data!$A:$A,$B184)</f>
        <v>0</v>
      </c>
      <c r="N184" s="28">
        <f>SUMIFS([1]raw_data!J:J,[1]raw_data!$A:$A,$B184)</f>
        <v>0</v>
      </c>
      <c r="O184" s="27">
        <f>SUMIFS([1]raw_data!K:K,[1]raw_data!$A:$A,$B184)</f>
        <v>0</v>
      </c>
      <c r="P184" s="28">
        <f>SUMIFS([1]raw_data!L:L,[1]raw_data!$A:$A,$B184)</f>
        <v>0</v>
      </c>
      <c r="Q184" s="27">
        <f>SUMIFS([1]raw_data!M:M,[1]raw_data!$A:$A,$B184)</f>
        <v>0</v>
      </c>
      <c r="R184" s="28">
        <f>SUMIFS([1]raw_data!N:N,[1]raw_data!$A:$A,$B184)</f>
        <v>0</v>
      </c>
      <c r="S184" s="27">
        <f>SUMIFS([1]raw_data!O:O,[1]raw_data!$A:$A,$B184)</f>
        <v>0</v>
      </c>
      <c r="T184" s="28">
        <f>SUMIFS([1]raw_data!P:P,[1]raw_data!$A:$A,$B184)</f>
        <v>0</v>
      </c>
      <c r="U184" s="27">
        <f>SUMIFS([1]raw_data!Q:Q,[1]raw_data!$A:$A,$B184)</f>
        <v>0</v>
      </c>
      <c r="V184" s="28">
        <f>SUMIFS([1]raw_data!R:R,[1]raw_data!$A:$A,$B184)</f>
        <v>0</v>
      </c>
      <c r="W184" s="27">
        <f>SUMIFS([1]raw_data!S:S,[1]raw_data!$A:$A,$B184)</f>
        <v>0</v>
      </c>
      <c r="X184" s="28">
        <f>SUMIFS([1]raw_data!T:T,[1]raw_data!$A:$A,$B184)</f>
        <v>0</v>
      </c>
      <c r="Y184" s="27">
        <f>SUMIFS([1]raw_data!U:U,[1]raw_data!$A:$A,$B184)</f>
        <v>0</v>
      </c>
      <c r="Z184" s="28">
        <f>SUMIFS([1]raw_data!V:V,[1]raw_data!$A:$A,$B184)</f>
        <v>0</v>
      </c>
      <c r="AA184" s="25">
        <f t="shared" si="2"/>
        <v>0</v>
      </c>
    </row>
    <row r="185" spans="1:27" x14ac:dyDescent="0.25">
      <c r="A185" s="40"/>
      <c r="B185" s="25" t="s">
        <v>470</v>
      </c>
      <c r="C185" s="25" t="s">
        <v>320</v>
      </c>
      <c r="D185" s="25" t="s">
        <v>471</v>
      </c>
      <c r="E185" s="25" t="s">
        <v>19</v>
      </c>
      <c r="F185" s="26">
        <f>IFERROR(INDEX([1]raw_data!B:B,MATCH('SAIDI excl MEDs sort (5-yr avg)'!B170,[1]raw_data!A:A,0)),0)</f>
        <v>545.33333300000004</v>
      </c>
      <c r="G185" s="27">
        <f>SUMIFS([1]raw_data!C:C,[1]raw_data!$A:$A,$B185)</f>
        <v>0</v>
      </c>
      <c r="H185" s="28">
        <f>SUMIFS([1]raw_data!D:D,[1]raw_data!$A:$A,$B185)</f>
        <v>0</v>
      </c>
      <c r="I185" s="27">
        <f>SUMIFS([1]raw_data!E:E,[1]raw_data!$A:$A,$B185)</f>
        <v>0</v>
      </c>
      <c r="J185" s="28">
        <f>SUMIFS([1]raw_data!F:F,[1]raw_data!$A:$A,$B185)</f>
        <v>0</v>
      </c>
      <c r="K185" s="27">
        <f>SUMIFS([1]raw_data!G:G,[1]raw_data!$A:$A,$B185)</f>
        <v>0</v>
      </c>
      <c r="L185" s="28">
        <f>SUMIFS([1]raw_data!H:H,[1]raw_data!$A:$A,$B185)</f>
        <v>0</v>
      </c>
      <c r="M185" s="27">
        <f>SUMIFS([1]raw_data!I:I,[1]raw_data!$A:$A,$B185)</f>
        <v>0</v>
      </c>
      <c r="N185" s="28">
        <f>SUMIFS([1]raw_data!J:J,[1]raw_data!$A:$A,$B185)</f>
        <v>0</v>
      </c>
      <c r="O185" s="27">
        <f>SUMIFS([1]raw_data!K:K,[1]raw_data!$A:$A,$B185)</f>
        <v>0</v>
      </c>
      <c r="P185" s="28">
        <f>SUMIFS([1]raw_data!L:L,[1]raw_data!$A:$A,$B185)</f>
        <v>0</v>
      </c>
      <c r="Q185" s="27">
        <f>SUMIFS([1]raw_data!M:M,[1]raw_data!$A:$A,$B185)</f>
        <v>0</v>
      </c>
      <c r="R185" s="28">
        <f>SUMIFS([1]raw_data!N:N,[1]raw_data!$A:$A,$B185)</f>
        <v>0</v>
      </c>
      <c r="S185" s="27">
        <f>SUMIFS([1]raw_data!O:O,[1]raw_data!$A:$A,$B185)</f>
        <v>0</v>
      </c>
      <c r="T185" s="28">
        <f>SUMIFS([1]raw_data!P:P,[1]raw_data!$A:$A,$B185)</f>
        <v>0</v>
      </c>
      <c r="U185" s="27">
        <f>SUMIFS([1]raw_data!Q:Q,[1]raw_data!$A:$A,$B185)</f>
        <v>0</v>
      </c>
      <c r="V185" s="28">
        <f>SUMIFS([1]raw_data!R:R,[1]raw_data!$A:$A,$B185)</f>
        <v>0</v>
      </c>
      <c r="W185" s="27">
        <f>SUMIFS([1]raw_data!S:S,[1]raw_data!$A:$A,$B185)</f>
        <v>0</v>
      </c>
      <c r="X185" s="28">
        <f>SUMIFS([1]raw_data!T:T,[1]raw_data!$A:$A,$B185)</f>
        <v>0</v>
      </c>
      <c r="Y185" s="27">
        <f>SUMIFS([1]raw_data!U:U,[1]raw_data!$A:$A,$B185)</f>
        <v>0</v>
      </c>
      <c r="Z185" s="28">
        <f>SUMIFS([1]raw_data!V:V,[1]raw_data!$A:$A,$B185)</f>
        <v>0</v>
      </c>
      <c r="AA185" s="25">
        <f t="shared" si="2"/>
        <v>0</v>
      </c>
    </row>
    <row r="186" spans="1:27" x14ac:dyDescent="0.25">
      <c r="A186" s="40"/>
      <c r="B186" s="25" t="s">
        <v>472</v>
      </c>
      <c r="C186" s="25" t="s">
        <v>320</v>
      </c>
      <c r="D186" s="25" t="s">
        <v>473</v>
      </c>
      <c r="E186" s="25" t="s">
        <v>19</v>
      </c>
      <c r="F186" s="26">
        <f>IFERROR(INDEX([1]raw_data!B:B,MATCH('SAIDI excl MEDs sort (5-yr avg)'!B171,[1]raw_data!A:A,0)),0)</f>
        <v>304.8</v>
      </c>
      <c r="G186" s="27">
        <f>SUMIFS([1]raw_data!C:C,[1]raw_data!$A:$A,$B186)</f>
        <v>0</v>
      </c>
      <c r="H186" s="28">
        <f>SUMIFS([1]raw_data!D:D,[1]raw_data!$A:$A,$B186)</f>
        <v>0</v>
      </c>
      <c r="I186" s="27">
        <f>SUMIFS([1]raw_data!E:E,[1]raw_data!$A:$A,$B186)</f>
        <v>0</v>
      </c>
      <c r="J186" s="28">
        <f>SUMIFS([1]raw_data!F:F,[1]raw_data!$A:$A,$B186)</f>
        <v>0</v>
      </c>
      <c r="K186" s="27">
        <f>SUMIFS([1]raw_data!G:G,[1]raw_data!$A:$A,$B186)</f>
        <v>0</v>
      </c>
      <c r="L186" s="28">
        <f>SUMIFS([1]raw_data!H:H,[1]raw_data!$A:$A,$B186)</f>
        <v>0</v>
      </c>
      <c r="M186" s="27">
        <f>SUMIFS([1]raw_data!I:I,[1]raw_data!$A:$A,$B186)</f>
        <v>0</v>
      </c>
      <c r="N186" s="28">
        <f>SUMIFS([1]raw_data!J:J,[1]raw_data!$A:$A,$B186)</f>
        <v>0</v>
      </c>
      <c r="O186" s="27">
        <f>SUMIFS([1]raw_data!K:K,[1]raw_data!$A:$A,$B186)</f>
        <v>0</v>
      </c>
      <c r="P186" s="28">
        <f>SUMIFS([1]raw_data!L:L,[1]raw_data!$A:$A,$B186)</f>
        <v>0</v>
      </c>
      <c r="Q186" s="27">
        <f>SUMIFS([1]raw_data!M:M,[1]raw_data!$A:$A,$B186)</f>
        <v>0</v>
      </c>
      <c r="R186" s="28">
        <f>SUMIFS([1]raw_data!N:N,[1]raw_data!$A:$A,$B186)</f>
        <v>0</v>
      </c>
      <c r="S186" s="27">
        <f>SUMIFS([1]raw_data!O:O,[1]raw_data!$A:$A,$B186)</f>
        <v>0</v>
      </c>
      <c r="T186" s="28">
        <f>SUMIFS([1]raw_data!P:P,[1]raw_data!$A:$A,$B186)</f>
        <v>0</v>
      </c>
      <c r="U186" s="27">
        <f>SUMIFS([1]raw_data!Q:Q,[1]raw_data!$A:$A,$B186)</f>
        <v>0</v>
      </c>
      <c r="V186" s="28">
        <f>SUMIFS([1]raw_data!R:R,[1]raw_data!$A:$A,$B186)</f>
        <v>0</v>
      </c>
      <c r="W186" s="27">
        <f>SUMIFS([1]raw_data!S:S,[1]raw_data!$A:$A,$B186)</f>
        <v>0</v>
      </c>
      <c r="X186" s="28">
        <f>SUMIFS([1]raw_data!T:T,[1]raw_data!$A:$A,$B186)</f>
        <v>0</v>
      </c>
      <c r="Y186" s="27">
        <f>SUMIFS([1]raw_data!U:U,[1]raw_data!$A:$A,$B186)</f>
        <v>0</v>
      </c>
      <c r="Z186" s="28">
        <f>SUMIFS([1]raw_data!V:V,[1]raw_data!$A:$A,$B186)</f>
        <v>0</v>
      </c>
      <c r="AA186" s="25">
        <f t="shared" si="2"/>
        <v>0</v>
      </c>
    </row>
    <row r="187" spans="1:27" x14ac:dyDescent="0.25">
      <c r="A187" s="40"/>
      <c r="B187" s="25" t="s">
        <v>474</v>
      </c>
      <c r="C187" s="25" t="s">
        <v>320</v>
      </c>
      <c r="D187" s="25" t="s">
        <v>475</v>
      </c>
      <c r="E187" s="25" t="s">
        <v>19</v>
      </c>
      <c r="F187" s="26">
        <f>IFERROR(INDEX([1]raw_data!B:B,MATCH('SAIDI excl MEDs sort (5-yr avg)'!B172,[1]raw_data!A:A,0)),0)</f>
        <v>106</v>
      </c>
      <c r="G187" s="27">
        <f>SUMIFS([1]raw_data!C:C,[1]raw_data!$A:$A,$B187)</f>
        <v>0</v>
      </c>
      <c r="H187" s="28">
        <f>SUMIFS([1]raw_data!D:D,[1]raw_data!$A:$A,$B187)</f>
        <v>0</v>
      </c>
      <c r="I187" s="27">
        <f>SUMIFS([1]raw_data!E:E,[1]raw_data!$A:$A,$B187)</f>
        <v>0</v>
      </c>
      <c r="J187" s="28">
        <f>SUMIFS([1]raw_data!F:F,[1]raw_data!$A:$A,$B187)</f>
        <v>0</v>
      </c>
      <c r="K187" s="27">
        <f>SUMIFS([1]raw_data!G:G,[1]raw_data!$A:$A,$B187)</f>
        <v>0</v>
      </c>
      <c r="L187" s="28">
        <f>SUMIFS([1]raw_data!H:H,[1]raw_data!$A:$A,$B187)</f>
        <v>0</v>
      </c>
      <c r="M187" s="27">
        <f>SUMIFS([1]raw_data!I:I,[1]raw_data!$A:$A,$B187)</f>
        <v>0</v>
      </c>
      <c r="N187" s="28">
        <f>SUMIFS([1]raw_data!J:J,[1]raw_data!$A:$A,$B187)</f>
        <v>0</v>
      </c>
      <c r="O187" s="27">
        <f>SUMIFS([1]raw_data!K:K,[1]raw_data!$A:$A,$B187)</f>
        <v>0</v>
      </c>
      <c r="P187" s="28">
        <f>SUMIFS([1]raw_data!L:L,[1]raw_data!$A:$A,$B187)</f>
        <v>0</v>
      </c>
      <c r="Q187" s="27">
        <f>SUMIFS([1]raw_data!M:M,[1]raw_data!$A:$A,$B187)</f>
        <v>0</v>
      </c>
      <c r="R187" s="28">
        <f>SUMIFS([1]raw_data!N:N,[1]raw_data!$A:$A,$B187)</f>
        <v>0</v>
      </c>
      <c r="S187" s="27">
        <f>SUMIFS([1]raw_data!O:O,[1]raw_data!$A:$A,$B187)</f>
        <v>0</v>
      </c>
      <c r="T187" s="28">
        <f>SUMIFS([1]raw_data!P:P,[1]raw_data!$A:$A,$B187)</f>
        <v>0</v>
      </c>
      <c r="U187" s="27">
        <f>SUMIFS([1]raw_data!Q:Q,[1]raw_data!$A:$A,$B187)</f>
        <v>0</v>
      </c>
      <c r="V187" s="28">
        <f>SUMIFS([1]raw_data!R:R,[1]raw_data!$A:$A,$B187)</f>
        <v>0</v>
      </c>
      <c r="W187" s="27">
        <f>SUMIFS([1]raw_data!S:S,[1]raw_data!$A:$A,$B187)</f>
        <v>0</v>
      </c>
      <c r="X187" s="28">
        <f>SUMIFS([1]raw_data!T:T,[1]raw_data!$A:$A,$B187)</f>
        <v>0</v>
      </c>
      <c r="Y187" s="27">
        <f>SUMIFS([1]raw_data!U:U,[1]raw_data!$A:$A,$B187)</f>
        <v>0</v>
      </c>
      <c r="Z187" s="28">
        <f>SUMIFS([1]raw_data!V:V,[1]raw_data!$A:$A,$B187)</f>
        <v>0</v>
      </c>
      <c r="AA187" s="25">
        <f t="shared" si="2"/>
        <v>0</v>
      </c>
    </row>
    <row r="188" spans="1:27" x14ac:dyDescent="0.25">
      <c r="A188" s="40"/>
      <c r="B188" s="25" t="s">
        <v>476</v>
      </c>
      <c r="C188" s="25" t="s">
        <v>320</v>
      </c>
      <c r="D188" s="25" t="s">
        <v>477</v>
      </c>
      <c r="E188" s="25" t="s">
        <v>19</v>
      </c>
      <c r="F188" s="26">
        <f>IFERROR(INDEX([1]raw_data!B:B,MATCH('SAIDI excl MEDs sort (5-yr avg)'!B173,[1]raw_data!A:A,0)),0)</f>
        <v>339</v>
      </c>
      <c r="G188" s="27">
        <f>SUMIFS([1]raw_data!C:C,[1]raw_data!$A:$A,$B188)</f>
        <v>0</v>
      </c>
      <c r="H188" s="28">
        <f>SUMIFS([1]raw_data!D:D,[1]raw_data!$A:$A,$B188)</f>
        <v>0</v>
      </c>
      <c r="I188" s="27">
        <f>SUMIFS([1]raw_data!E:E,[1]raw_data!$A:$A,$B188)</f>
        <v>0</v>
      </c>
      <c r="J188" s="28">
        <f>SUMIFS([1]raw_data!F:F,[1]raw_data!$A:$A,$B188)</f>
        <v>0</v>
      </c>
      <c r="K188" s="27">
        <f>SUMIFS([1]raw_data!G:G,[1]raw_data!$A:$A,$B188)</f>
        <v>0</v>
      </c>
      <c r="L188" s="28">
        <f>SUMIFS([1]raw_data!H:H,[1]raw_data!$A:$A,$B188)</f>
        <v>0</v>
      </c>
      <c r="M188" s="27">
        <f>SUMIFS([1]raw_data!I:I,[1]raw_data!$A:$A,$B188)</f>
        <v>0</v>
      </c>
      <c r="N188" s="28">
        <f>SUMIFS([1]raw_data!J:J,[1]raw_data!$A:$A,$B188)</f>
        <v>0</v>
      </c>
      <c r="O188" s="27">
        <f>SUMIFS([1]raw_data!K:K,[1]raw_data!$A:$A,$B188)</f>
        <v>0</v>
      </c>
      <c r="P188" s="28">
        <f>SUMIFS([1]raw_data!L:L,[1]raw_data!$A:$A,$B188)</f>
        <v>0</v>
      </c>
      <c r="Q188" s="27">
        <f>SUMIFS([1]raw_data!M:M,[1]raw_data!$A:$A,$B188)</f>
        <v>0</v>
      </c>
      <c r="R188" s="28">
        <f>SUMIFS([1]raw_data!N:N,[1]raw_data!$A:$A,$B188)</f>
        <v>0</v>
      </c>
      <c r="S188" s="27">
        <f>SUMIFS([1]raw_data!O:O,[1]raw_data!$A:$A,$B188)</f>
        <v>0</v>
      </c>
      <c r="T188" s="28">
        <f>SUMIFS([1]raw_data!P:P,[1]raw_data!$A:$A,$B188)</f>
        <v>0</v>
      </c>
      <c r="U188" s="27">
        <f>SUMIFS([1]raw_data!Q:Q,[1]raw_data!$A:$A,$B188)</f>
        <v>0</v>
      </c>
      <c r="V188" s="28">
        <f>SUMIFS([1]raw_data!R:R,[1]raw_data!$A:$A,$B188)</f>
        <v>0</v>
      </c>
      <c r="W188" s="27">
        <f>SUMIFS([1]raw_data!S:S,[1]raw_data!$A:$A,$B188)</f>
        <v>0</v>
      </c>
      <c r="X188" s="28">
        <f>SUMIFS([1]raw_data!T:T,[1]raw_data!$A:$A,$B188)</f>
        <v>0</v>
      </c>
      <c r="Y188" s="27">
        <f>SUMIFS([1]raw_data!U:U,[1]raw_data!$A:$A,$B188)</f>
        <v>0</v>
      </c>
      <c r="Z188" s="28">
        <f>SUMIFS([1]raw_data!V:V,[1]raw_data!$A:$A,$B188)</f>
        <v>0</v>
      </c>
      <c r="AA188" s="25">
        <f t="shared" si="2"/>
        <v>0</v>
      </c>
    </row>
    <row r="189" spans="1:27" x14ac:dyDescent="0.25">
      <c r="A189" s="40"/>
      <c r="B189" s="25" t="s">
        <v>478</v>
      </c>
      <c r="C189" s="25" t="s">
        <v>214</v>
      </c>
      <c r="D189" s="25" t="s">
        <v>479</v>
      </c>
      <c r="E189" s="25" t="s">
        <v>23</v>
      </c>
      <c r="F189" s="26">
        <f>IFERROR(INDEX([1]raw_data!B:B,MATCH('SAIDI excl MEDs sort (5-yr avg)'!B175,[1]raw_data!A:A,0)),0)</f>
        <v>166</v>
      </c>
      <c r="G189" s="27">
        <f>SUMIFS([1]raw_data!C:C,[1]raw_data!$A:$A,$B189)</f>
        <v>0</v>
      </c>
      <c r="H189" s="28">
        <f>SUMIFS([1]raw_data!D:D,[1]raw_data!$A:$A,$B189)</f>
        <v>0</v>
      </c>
      <c r="I189" s="27">
        <f>SUMIFS([1]raw_data!E:E,[1]raw_data!$A:$A,$B189)</f>
        <v>0</v>
      </c>
      <c r="J189" s="28">
        <f>SUMIFS([1]raw_data!F:F,[1]raw_data!$A:$A,$B189)</f>
        <v>0</v>
      </c>
      <c r="K189" s="27">
        <f>SUMIFS([1]raw_data!G:G,[1]raw_data!$A:$A,$B189)</f>
        <v>0</v>
      </c>
      <c r="L189" s="28">
        <f>SUMIFS([1]raw_data!H:H,[1]raw_data!$A:$A,$B189)</f>
        <v>0</v>
      </c>
      <c r="M189" s="27">
        <f>SUMIFS([1]raw_data!I:I,[1]raw_data!$A:$A,$B189)</f>
        <v>0</v>
      </c>
      <c r="N189" s="28">
        <f>SUMIFS([1]raw_data!J:J,[1]raw_data!$A:$A,$B189)</f>
        <v>0</v>
      </c>
      <c r="O189" s="27">
        <f>SUMIFS([1]raw_data!K:K,[1]raw_data!$A:$A,$B189)</f>
        <v>3.8753959999999998</v>
      </c>
      <c r="P189" s="28">
        <f>SUMIFS([1]raw_data!L:L,[1]raw_data!$A:$A,$B189)</f>
        <v>2.3809523809523801E-2</v>
      </c>
      <c r="Q189" s="27">
        <f>SUMIFS([1]raw_data!M:M,[1]raw_data!$A:$A,$B189)</f>
        <v>0</v>
      </c>
      <c r="R189" s="28">
        <f>SUMIFS([1]raw_data!N:N,[1]raw_data!$A:$A,$B189)</f>
        <v>0</v>
      </c>
      <c r="S189" s="27">
        <f>SUMIFS([1]raw_data!O:O,[1]raw_data!$A:$A,$B189)</f>
        <v>0</v>
      </c>
      <c r="T189" s="28">
        <f>SUMIFS([1]raw_data!P:P,[1]raw_data!$A:$A,$B189)</f>
        <v>0</v>
      </c>
      <c r="U189" s="27">
        <f>SUMIFS([1]raw_data!Q:Q,[1]raw_data!$A:$A,$B189)</f>
        <v>0</v>
      </c>
      <c r="V189" s="28">
        <f>SUMIFS([1]raw_data!R:R,[1]raw_data!$A:$A,$B189)</f>
        <v>0</v>
      </c>
      <c r="W189" s="27">
        <f>SUMIFS([1]raw_data!S:S,[1]raw_data!$A:$A,$B189)</f>
        <v>0</v>
      </c>
      <c r="X189" s="28">
        <f>SUMIFS([1]raw_data!T:T,[1]raw_data!$A:$A,$B189)</f>
        <v>0</v>
      </c>
      <c r="Y189" s="27">
        <f>SUMIFS([1]raw_data!U:U,[1]raw_data!$A:$A,$B189)</f>
        <v>0</v>
      </c>
      <c r="Z189" s="28">
        <f>SUMIFS([1]raw_data!V:V,[1]raw_data!$A:$A,$B189)</f>
        <v>0</v>
      </c>
      <c r="AA189" s="25">
        <f t="shared" si="2"/>
        <v>0</v>
      </c>
    </row>
    <row r="190" spans="1:27" x14ac:dyDescent="0.25">
      <c r="A190" s="40"/>
      <c r="B190" s="25" t="s">
        <v>480</v>
      </c>
      <c r="C190" s="25" t="s">
        <v>467</v>
      </c>
      <c r="D190" s="25" t="s">
        <v>481</v>
      </c>
      <c r="E190" s="25" t="s">
        <v>19</v>
      </c>
      <c r="F190" s="26">
        <f>IFERROR(INDEX([1]raw_data!B:B,MATCH('SAIDI excl MEDs sort (5-yr avg)'!B177,[1]raw_data!A:A,0)),0)</f>
        <v>44</v>
      </c>
      <c r="G190" s="27">
        <f>SUMIFS([1]raw_data!C:C,[1]raw_data!$A:$A,$B190)</f>
        <v>0</v>
      </c>
      <c r="H190" s="28">
        <f>SUMIFS([1]raw_data!D:D,[1]raw_data!$A:$A,$B190)</f>
        <v>0</v>
      </c>
      <c r="I190" s="27">
        <f>SUMIFS([1]raw_data!E:E,[1]raw_data!$A:$A,$B190)</f>
        <v>0</v>
      </c>
      <c r="J190" s="28">
        <f>SUMIFS([1]raw_data!F:F,[1]raw_data!$A:$A,$B190)</f>
        <v>0</v>
      </c>
      <c r="K190" s="27">
        <f>SUMIFS([1]raw_data!G:G,[1]raw_data!$A:$A,$B190)</f>
        <v>0</v>
      </c>
      <c r="L190" s="28">
        <f>SUMIFS([1]raw_data!H:H,[1]raw_data!$A:$A,$B190)</f>
        <v>0</v>
      </c>
      <c r="M190" s="27">
        <f>SUMIFS([1]raw_data!I:I,[1]raw_data!$A:$A,$B190)</f>
        <v>0</v>
      </c>
      <c r="N190" s="28">
        <f>SUMIFS([1]raw_data!J:J,[1]raw_data!$A:$A,$B190)</f>
        <v>0</v>
      </c>
      <c r="O190" s="27">
        <f>SUMIFS([1]raw_data!K:K,[1]raw_data!$A:$A,$B190)</f>
        <v>0</v>
      </c>
      <c r="P190" s="28">
        <f>SUMIFS([1]raw_data!L:L,[1]raw_data!$A:$A,$B190)</f>
        <v>0</v>
      </c>
      <c r="Q190" s="27">
        <f>SUMIFS([1]raw_data!M:M,[1]raw_data!$A:$A,$B190)</f>
        <v>0</v>
      </c>
      <c r="R190" s="28">
        <f>SUMIFS([1]raw_data!N:N,[1]raw_data!$A:$A,$B190)</f>
        <v>0</v>
      </c>
      <c r="S190" s="27">
        <f>SUMIFS([1]raw_data!O:O,[1]raw_data!$A:$A,$B190)</f>
        <v>0</v>
      </c>
      <c r="T190" s="28">
        <f>SUMIFS([1]raw_data!P:P,[1]raw_data!$A:$A,$B190)</f>
        <v>0</v>
      </c>
      <c r="U190" s="27">
        <f>SUMIFS([1]raw_data!Q:Q,[1]raw_data!$A:$A,$B190)</f>
        <v>0</v>
      </c>
      <c r="V190" s="28">
        <f>SUMIFS([1]raw_data!R:R,[1]raw_data!$A:$A,$B190)</f>
        <v>0</v>
      </c>
      <c r="W190" s="27">
        <f>SUMIFS([1]raw_data!S:S,[1]raw_data!$A:$A,$B190)</f>
        <v>0</v>
      </c>
      <c r="X190" s="28">
        <f>SUMIFS([1]raw_data!T:T,[1]raw_data!$A:$A,$B190)</f>
        <v>0</v>
      </c>
      <c r="Y190" s="27">
        <f>SUMIFS([1]raw_data!U:U,[1]raw_data!$A:$A,$B190)</f>
        <v>0</v>
      </c>
      <c r="Z190" s="28">
        <f>SUMIFS([1]raw_data!V:V,[1]raw_data!$A:$A,$B190)</f>
        <v>0</v>
      </c>
      <c r="AA190" s="25">
        <f t="shared" si="2"/>
        <v>0</v>
      </c>
    </row>
    <row r="191" spans="1:27" x14ac:dyDescent="0.25">
      <c r="A191" s="40"/>
      <c r="B191" s="25" t="s">
        <v>482</v>
      </c>
      <c r="C191" s="25" t="s">
        <v>467</v>
      </c>
      <c r="D191" s="25" t="s">
        <v>483</v>
      </c>
      <c r="E191" s="25" t="s">
        <v>19</v>
      </c>
      <c r="F191" s="26">
        <f>IFERROR(INDEX([1]raw_data!B:B,MATCH('SAIDI excl MEDs sort (5-yr avg)'!B179,[1]raw_data!A:A,0)),0)</f>
        <v>81</v>
      </c>
      <c r="G191" s="27">
        <f>SUMIFS([1]raw_data!C:C,[1]raw_data!$A:$A,$B191)</f>
        <v>0</v>
      </c>
      <c r="H191" s="28">
        <f>SUMIFS([1]raw_data!D:D,[1]raw_data!$A:$A,$B191)</f>
        <v>0</v>
      </c>
      <c r="I191" s="27">
        <f>SUMIFS([1]raw_data!E:E,[1]raw_data!$A:$A,$B191)</f>
        <v>0</v>
      </c>
      <c r="J191" s="28">
        <f>SUMIFS([1]raw_data!F:F,[1]raw_data!$A:$A,$B191)</f>
        <v>0</v>
      </c>
      <c r="K191" s="27">
        <f>SUMIFS([1]raw_data!G:G,[1]raw_data!$A:$A,$B191)</f>
        <v>0</v>
      </c>
      <c r="L191" s="28">
        <f>SUMIFS([1]raw_data!H:H,[1]raw_data!$A:$A,$B191)</f>
        <v>0</v>
      </c>
      <c r="M191" s="27">
        <f>SUMIFS([1]raw_data!I:I,[1]raw_data!$A:$A,$B191)</f>
        <v>0</v>
      </c>
      <c r="N191" s="28">
        <f>SUMIFS([1]raw_data!J:J,[1]raw_data!$A:$A,$B191)</f>
        <v>0</v>
      </c>
      <c r="O191" s="27">
        <f>SUMIFS([1]raw_data!K:K,[1]raw_data!$A:$A,$B191)</f>
        <v>0</v>
      </c>
      <c r="P191" s="28">
        <f>SUMIFS([1]raw_data!L:L,[1]raw_data!$A:$A,$B191)</f>
        <v>0</v>
      </c>
      <c r="Q191" s="27">
        <f>SUMIFS([1]raw_data!M:M,[1]raw_data!$A:$A,$B191)</f>
        <v>0</v>
      </c>
      <c r="R191" s="28">
        <f>SUMIFS([1]raw_data!N:N,[1]raw_data!$A:$A,$B191)</f>
        <v>0</v>
      </c>
      <c r="S191" s="27">
        <f>SUMIFS([1]raw_data!O:O,[1]raw_data!$A:$A,$B191)</f>
        <v>0</v>
      </c>
      <c r="T191" s="28">
        <f>SUMIFS([1]raw_data!P:P,[1]raw_data!$A:$A,$B191)</f>
        <v>0</v>
      </c>
      <c r="U191" s="27">
        <f>SUMIFS([1]raw_data!Q:Q,[1]raw_data!$A:$A,$B191)</f>
        <v>0</v>
      </c>
      <c r="V191" s="28">
        <f>SUMIFS([1]raw_data!R:R,[1]raw_data!$A:$A,$B191)</f>
        <v>0</v>
      </c>
      <c r="W191" s="27">
        <f>SUMIFS([1]raw_data!S:S,[1]raw_data!$A:$A,$B191)</f>
        <v>0</v>
      </c>
      <c r="X191" s="28">
        <f>SUMIFS([1]raw_data!T:T,[1]raw_data!$A:$A,$B191)</f>
        <v>0</v>
      </c>
      <c r="Y191" s="27">
        <f>SUMIFS([1]raw_data!U:U,[1]raw_data!$A:$A,$B191)</f>
        <v>0</v>
      </c>
      <c r="Z191" s="28">
        <f>SUMIFS([1]raw_data!V:V,[1]raw_data!$A:$A,$B191)</f>
        <v>0</v>
      </c>
      <c r="AA191" s="25">
        <f t="shared" si="2"/>
        <v>0</v>
      </c>
    </row>
    <row r="192" spans="1:27" x14ac:dyDescent="0.25">
      <c r="A192" s="40"/>
      <c r="B192" s="25" t="s">
        <v>484</v>
      </c>
      <c r="C192" s="25" t="s">
        <v>467</v>
      </c>
      <c r="D192" s="25" t="s">
        <v>485</v>
      </c>
      <c r="E192" s="25" t="s">
        <v>19</v>
      </c>
      <c r="F192" s="26">
        <f>IFERROR(INDEX([1]raw_data!B:B,MATCH('SAIDI excl MEDs sort (5-yr avg)'!B180,[1]raw_data!A:A,0)),0)</f>
        <v>44.2</v>
      </c>
      <c r="G192" s="27">
        <f>SUMIFS([1]raw_data!C:C,[1]raw_data!$A:$A,$B192)</f>
        <v>0</v>
      </c>
      <c r="H192" s="28">
        <f>SUMIFS([1]raw_data!D:D,[1]raw_data!$A:$A,$B192)</f>
        <v>0</v>
      </c>
      <c r="I192" s="27">
        <f>SUMIFS([1]raw_data!E:E,[1]raw_data!$A:$A,$B192)</f>
        <v>0</v>
      </c>
      <c r="J192" s="28">
        <f>SUMIFS([1]raw_data!F:F,[1]raw_data!$A:$A,$B192)</f>
        <v>0</v>
      </c>
      <c r="K192" s="27">
        <f>SUMIFS([1]raw_data!G:G,[1]raw_data!$A:$A,$B192)</f>
        <v>0</v>
      </c>
      <c r="L192" s="28">
        <f>SUMIFS([1]raw_data!H:H,[1]raw_data!$A:$A,$B192)</f>
        <v>0</v>
      </c>
      <c r="M192" s="27">
        <f>SUMIFS([1]raw_data!I:I,[1]raw_data!$A:$A,$B192)</f>
        <v>0</v>
      </c>
      <c r="N192" s="28">
        <f>SUMIFS([1]raw_data!J:J,[1]raw_data!$A:$A,$B192)</f>
        <v>0</v>
      </c>
      <c r="O192" s="27">
        <f>SUMIFS([1]raw_data!K:K,[1]raw_data!$A:$A,$B192)</f>
        <v>0</v>
      </c>
      <c r="P192" s="28">
        <f>SUMIFS([1]raw_data!L:L,[1]raw_data!$A:$A,$B192)</f>
        <v>0</v>
      </c>
      <c r="Q192" s="27">
        <f>SUMIFS([1]raw_data!M:M,[1]raw_data!$A:$A,$B192)</f>
        <v>0</v>
      </c>
      <c r="R192" s="28">
        <f>SUMIFS([1]raw_data!N:N,[1]raw_data!$A:$A,$B192)</f>
        <v>0</v>
      </c>
      <c r="S192" s="27">
        <f>SUMIFS([1]raw_data!O:O,[1]raw_data!$A:$A,$B192)</f>
        <v>0</v>
      </c>
      <c r="T192" s="28">
        <f>SUMIFS([1]raw_data!P:P,[1]raw_data!$A:$A,$B192)</f>
        <v>0</v>
      </c>
      <c r="U192" s="27">
        <f>SUMIFS([1]raw_data!Q:Q,[1]raw_data!$A:$A,$B192)</f>
        <v>0</v>
      </c>
      <c r="V192" s="28">
        <f>SUMIFS([1]raw_data!R:R,[1]raw_data!$A:$A,$B192)</f>
        <v>0</v>
      </c>
      <c r="W192" s="27">
        <f>SUMIFS([1]raw_data!S:S,[1]raw_data!$A:$A,$B192)</f>
        <v>0</v>
      </c>
      <c r="X192" s="28">
        <f>SUMIFS([1]raw_data!T:T,[1]raw_data!$A:$A,$B192)</f>
        <v>0</v>
      </c>
      <c r="Y192" s="27">
        <f>SUMIFS([1]raw_data!U:U,[1]raw_data!$A:$A,$B192)</f>
        <v>0</v>
      </c>
      <c r="Z192" s="28">
        <f>SUMIFS([1]raw_data!V:V,[1]raw_data!$A:$A,$B192)</f>
        <v>0</v>
      </c>
      <c r="AA192" s="25">
        <f t="shared" si="2"/>
        <v>0</v>
      </c>
    </row>
    <row r="193" spans="1:27" x14ac:dyDescent="0.25">
      <c r="A193" s="40"/>
      <c r="B193" s="25" t="s">
        <v>486</v>
      </c>
      <c r="C193" s="25" t="s">
        <v>46</v>
      </c>
      <c r="D193" s="25" t="s">
        <v>487</v>
      </c>
      <c r="E193" s="25" t="s">
        <v>19</v>
      </c>
      <c r="F193" s="26">
        <f>IFERROR(INDEX([1]raw_data!B:B,MATCH('SAIDI excl MEDs sort (5-yr avg)'!B184,[1]raw_data!A:A,0)),0)</f>
        <v>0</v>
      </c>
      <c r="G193" s="27">
        <f>SUMIFS([1]raw_data!C:C,[1]raw_data!$A:$A,$B193)</f>
        <v>0</v>
      </c>
      <c r="H193" s="28">
        <f>SUMIFS([1]raw_data!D:D,[1]raw_data!$A:$A,$B193)</f>
        <v>0</v>
      </c>
      <c r="I193" s="27">
        <f>SUMIFS([1]raw_data!E:E,[1]raw_data!$A:$A,$B193)</f>
        <v>0</v>
      </c>
      <c r="J193" s="28">
        <f>SUMIFS([1]raw_data!F:F,[1]raw_data!$A:$A,$B193)</f>
        <v>0</v>
      </c>
      <c r="K193" s="27">
        <f>SUMIFS([1]raw_data!G:G,[1]raw_data!$A:$A,$B193)</f>
        <v>0</v>
      </c>
      <c r="L193" s="28">
        <f>SUMIFS([1]raw_data!H:H,[1]raw_data!$A:$A,$B193)</f>
        <v>0</v>
      </c>
      <c r="M193" s="27">
        <f>SUMIFS([1]raw_data!I:I,[1]raw_data!$A:$A,$B193)</f>
        <v>0</v>
      </c>
      <c r="N193" s="28">
        <f>SUMIFS([1]raw_data!J:J,[1]raw_data!$A:$A,$B193)</f>
        <v>0</v>
      </c>
      <c r="O193" s="27">
        <f>SUMIFS([1]raw_data!K:K,[1]raw_data!$A:$A,$B193)</f>
        <v>0</v>
      </c>
      <c r="P193" s="28">
        <f>SUMIFS([1]raw_data!L:L,[1]raw_data!$A:$A,$B193)</f>
        <v>0</v>
      </c>
      <c r="Q193" s="27">
        <f>SUMIFS([1]raw_data!M:M,[1]raw_data!$A:$A,$B193)</f>
        <v>0</v>
      </c>
      <c r="R193" s="28">
        <f>SUMIFS([1]raw_data!N:N,[1]raw_data!$A:$A,$B193)</f>
        <v>0</v>
      </c>
      <c r="S193" s="27">
        <f>SUMIFS([1]raw_data!O:O,[1]raw_data!$A:$A,$B193)</f>
        <v>0</v>
      </c>
      <c r="T193" s="28">
        <f>SUMIFS([1]raw_data!P:P,[1]raw_data!$A:$A,$B193)</f>
        <v>0</v>
      </c>
      <c r="U193" s="27">
        <f>SUMIFS([1]raw_data!Q:Q,[1]raw_data!$A:$A,$B193)</f>
        <v>0</v>
      </c>
      <c r="V193" s="28">
        <f>SUMIFS([1]raw_data!R:R,[1]raw_data!$A:$A,$B193)</f>
        <v>0</v>
      </c>
      <c r="W193" s="27">
        <f>SUMIFS([1]raw_data!S:S,[1]raw_data!$A:$A,$B193)</f>
        <v>0</v>
      </c>
      <c r="X193" s="28">
        <f>SUMIFS([1]raw_data!T:T,[1]raw_data!$A:$A,$B193)</f>
        <v>0</v>
      </c>
      <c r="Y193" s="27">
        <f>SUMIFS([1]raw_data!U:U,[1]raw_data!$A:$A,$B193)</f>
        <v>0</v>
      </c>
      <c r="Z193" s="28">
        <f>SUMIFS([1]raw_data!V:V,[1]raw_data!$A:$A,$B193)</f>
        <v>0</v>
      </c>
      <c r="AA193" s="25">
        <f t="shared" si="2"/>
        <v>0</v>
      </c>
    </row>
  </sheetData>
  <autoFilter ref="A1:AA193" xr:uid="{403B2366-8904-46C8-A2C2-9E45A993D467}">
    <filterColumn colId="6" showButton="0"/>
    <filterColumn colId="7" showButton="0"/>
    <filterColumn colId="8" showButton="0"/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2" showButton="0"/>
    <filterColumn colId="23" showButton="0"/>
    <filterColumn colId="24" showButton="0"/>
    <sortState xmlns:xlrd2="http://schemas.microsoft.com/office/spreadsheetml/2017/richdata2" ref="A226:AA272">
      <sortCondition descending="1" ref="AA1:AA193"/>
    </sortState>
  </autoFilter>
  <mergeCells count="25">
    <mergeCell ref="A41:A75"/>
    <mergeCell ref="A76:A113"/>
    <mergeCell ref="A114:A193"/>
    <mergeCell ref="Q2:R2"/>
    <mergeCell ref="S2:T2"/>
    <mergeCell ref="C1:C3"/>
    <mergeCell ref="D1:D3"/>
    <mergeCell ref="E1:E3"/>
    <mergeCell ref="F1:F3"/>
    <mergeCell ref="U2:V2"/>
    <mergeCell ref="W2:X2"/>
    <mergeCell ref="Y2:Z2"/>
    <mergeCell ref="A4:A40"/>
    <mergeCell ref="G1:J1"/>
    <mergeCell ref="K1:N1"/>
    <mergeCell ref="O1:R1"/>
    <mergeCell ref="S1:V1"/>
    <mergeCell ref="W1:Z1"/>
    <mergeCell ref="G2:H2"/>
    <mergeCell ref="I2:J2"/>
    <mergeCell ref="K2:L2"/>
    <mergeCell ref="M2:N2"/>
    <mergeCell ref="O2:P2"/>
    <mergeCell ref="A1:A3"/>
    <mergeCell ref="B1:B3"/>
  </mergeCells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5DE78-74F9-4708-85B6-3AAAA3C05B23}">
  <dimension ref="A1:AH193"/>
  <sheetViews>
    <sheetView workbookViewId="0">
      <pane xSplit="5" ySplit="3" topLeftCell="K4" activePane="bottomRight" state="frozen"/>
      <selection pane="topRight" activeCell="F1" sqref="F1"/>
      <selection pane="bottomLeft" activeCell="A3" sqref="A3"/>
      <selection pane="bottomRight" activeCell="AE16" sqref="AE16:AF16"/>
    </sheetView>
  </sheetViews>
  <sheetFormatPr defaultRowHeight="15" x14ac:dyDescent="0.25"/>
  <cols>
    <col min="1" max="1" width="9" bestFit="1" customWidth="1"/>
    <col min="2" max="2" width="10.140625" bestFit="1" customWidth="1"/>
    <col min="3" max="3" width="19.42578125" bestFit="1" customWidth="1"/>
    <col min="4" max="4" width="28" bestFit="1" customWidth="1"/>
    <col min="5" max="5" width="12.5703125" bestFit="1" customWidth="1"/>
    <col min="6" max="6" width="9.42578125" bestFit="1" customWidth="1"/>
    <col min="7" max="26" width="8.28515625" style="29" customWidth="1"/>
    <col min="27" max="27" width="27.5703125" bestFit="1" customWidth="1"/>
    <col min="28" max="28" width="7.140625" customWidth="1"/>
    <col min="29" max="29" width="11.85546875" customWidth="1"/>
    <col min="30" max="30" width="10.7109375" bestFit="1" customWidth="1"/>
  </cols>
  <sheetData>
    <row r="1" spans="1:34" ht="15.75" customHeight="1" x14ac:dyDescent="0.25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41" t="s">
        <v>5</v>
      </c>
      <c r="G1" s="36">
        <v>2023</v>
      </c>
      <c r="H1" s="36"/>
      <c r="I1" s="36"/>
      <c r="J1" s="36"/>
      <c r="K1" s="36">
        <v>2022</v>
      </c>
      <c r="L1" s="36"/>
      <c r="M1" s="36"/>
      <c r="N1" s="36"/>
      <c r="O1" s="36">
        <v>2021</v>
      </c>
      <c r="P1" s="36"/>
      <c r="Q1" s="36"/>
      <c r="R1" s="36"/>
      <c r="S1" s="36">
        <v>2020</v>
      </c>
      <c r="T1" s="36"/>
      <c r="U1" s="36"/>
      <c r="V1" s="36"/>
      <c r="W1" s="36">
        <v>2019</v>
      </c>
      <c r="X1" s="36"/>
      <c r="Y1" s="36"/>
      <c r="Z1" s="36"/>
    </row>
    <row r="2" spans="1:34" ht="15.75" x14ac:dyDescent="0.25">
      <c r="A2" s="37"/>
      <c r="B2" s="37"/>
      <c r="C2" s="37"/>
      <c r="D2" s="37"/>
      <c r="E2" s="37"/>
      <c r="F2" s="42"/>
      <c r="G2" s="33" t="s">
        <v>6</v>
      </c>
      <c r="H2" s="33"/>
      <c r="I2" s="33" t="s">
        <v>7</v>
      </c>
      <c r="J2" s="33"/>
      <c r="K2" s="33" t="s">
        <v>6</v>
      </c>
      <c r="L2" s="33"/>
      <c r="M2" s="33" t="s">
        <v>7</v>
      </c>
      <c r="N2" s="33"/>
      <c r="O2" s="33" t="s">
        <v>6</v>
      </c>
      <c r="P2" s="33"/>
      <c r="Q2" s="33" t="s">
        <v>7</v>
      </c>
      <c r="R2" s="33"/>
      <c r="S2" s="33" t="s">
        <v>6</v>
      </c>
      <c r="T2" s="33"/>
      <c r="U2" s="33" t="s">
        <v>7</v>
      </c>
      <c r="V2" s="33"/>
      <c r="W2" s="33" t="s">
        <v>6</v>
      </c>
      <c r="X2" s="33"/>
      <c r="Y2" s="33" t="s">
        <v>7</v>
      </c>
      <c r="Z2" s="33"/>
    </row>
    <row r="3" spans="1:34" ht="15.75" x14ac:dyDescent="0.25">
      <c r="A3" s="37"/>
      <c r="B3" s="37"/>
      <c r="C3" s="37"/>
      <c r="D3" s="37"/>
      <c r="E3" s="37"/>
      <c r="F3" s="43"/>
      <c r="G3" s="1" t="s">
        <v>8</v>
      </c>
      <c r="H3" s="2" t="s">
        <v>9</v>
      </c>
      <c r="I3" s="1" t="s">
        <v>8</v>
      </c>
      <c r="J3" s="2" t="s">
        <v>9</v>
      </c>
      <c r="K3" s="1" t="s">
        <v>8</v>
      </c>
      <c r="L3" s="2" t="s">
        <v>9</v>
      </c>
      <c r="M3" s="1" t="s">
        <v>8</v>
      </c>
      <c r="N3" s="2" t="s">
        <v>9</v>
      </c>
      <c r="O3" s="1" t="s">
        <v>8</v>
      </c>
      <c r="P3" s="2" t="s">
        <v>9</v>
      </c>
      <c r="Q3" s="1" t="s">
        <v>8</v>
      </c>
      <c r="R3" s="2" t="s">
        <v>9</v>
      </c>
      <c r="S3" s="1" t="s">
        <v>8</v>
      </c>
      <c r="T3" s="2" t="s">
        <v>9</v>
      </c>
      <c r="U3" s="1" t="s">
        <v>8</v>
      </c>
      <c r="V3" s="2" t="s">
        <v>9</v>
      </c>
      <c r="W3" s="1" t="s">
        <v>8</v>
      </c>
      <c r="X3" s="2" t="s">
        <v>9</v>
      </c>
      <c r="Y3" s="1" t="s">
        <v>8</v>
      </c>
      <c r="Z3" s="2" t="s">
        <v>9</v>
      </c>
      <c r="AA3" s="30" t="s">
        <v>488</v>
      </c>
    </row>
    <row r="4" spans="1:34" ht="14.45" customHeight="1" x14ac:dyDescent="0.25">
      <c r="A4" s="34" t="s">
        <v>11</v>
      </c>
      <c r="B4" s="4" t="s">
        <v>368</v>
      </c>
      <c r="C4" s="4" t="s">
        <v>356</v>
      </c>
      <c r="D4" s="4" t="s">
        <v>369</v>
      </c>
      <c r="E4" s="4" t="s">
        <v>76</v>
      </c>
      <c r="F4" s="5">
        <f>IFERROR(INDEX([1]raw_data!B:B,MATCH(B4,[1]raw_data!A:A,0)),0)</f>
        <v>395.57142800000003</v>
      </c>
      <c r="G4" s="6">
        <f>SUMIFS([1]raw_data!C:C,[1]raw_data!$A:$A,$B4)</f>
        <v>9234.2663250000005</v>
      </c>
      <c r="H4" s="7">
        <f>SUMIFS([1]raw_data!D:D,[1]raw_data!$A:$A,$B4)</f>
        <v>2.8911704312114899</v>
      </c>
      <c r="I4" s="6">
        <f>SUMIFS([1]raw_data!E:E,[1]raw_data!$A:$A,$B4)</f>
        <v>15.287682</v>
      </c>
      <c r="J4" s="7">
        <f>SUMIFS([1]raw_data!F:F,[1]raw_data!$A:$A,$B4)</f>
        <v>9.6509240246406502E-2</v>
      </c>
      <c r="K4" s="6">
        <f>SUMIFS([1]raw_data!G:G,[1]raw_data!$A:$A,$B4)</f>
        <v>217.22283300000001</v>
      </c>
      <c r="L4" s="7">
        <f>SUMIFS([1]raw_data!H:H,[1]raw_data!$A:$A,$B4)</f>
        <v>1.0252808988763999</v>
      </c>
      <c r="M4" s="6">
        <f>SUMIFS([1]raw_data!I:I,[1]raw_data!$A:$A,$B4)</f>
        <v>217.22283300000001</v>
      </c>
      <c r="N4" s="7">
        <f>SUMIFS([1]raw_data!J:J,[1]raw_data!$A:$A,$B4)</f>
        <v>1.0252808988763999</v>
      </c>
      <c r="O4" s="6">
        <f>SUMIFS([1]raw_data!K:K,[1]raw_data!$A:$A,$B4)</f>
        <v>42.070092000000002</v>
      </c>
      <c r="P4" s="7">
        <f>SUMIFS([1]raw_data!L:L,[1]raw_data!$A:$A,$B4)</f>
        <v>0.13611111111111099</v>
      </c>
      <c r="Q4" s="6">
        <f>SUMIFS([1]raw_data!M:M,[1]raw_data!$A:$A,$B4)</f>
        <v>3.5395370000000002</v>
      </c>
      <c r="R4" s="7">
        <f>SUMIFS([1]raw_data!N:N,[1]raw_data!$A:$A,$B4)</f>
        <v>1.38888888888888E-2</v>
      </c>
      <c r="S4" s="6">
        <f>SUMIFS([1]raw_data!O:O,[1]raw_data!$A:$A,$B4)</f>
        <v>10.869237</v>
      </c>
      <c r="T4" s="7">
        <f>SUMIFS([1]raw_data!P:P,[1]raw_data!$A:$A,$B4)</f>
        <v>0.15702479338842901</v>
      </c>
      <c r="U4" s="6">
        <f>SUMIFS([1]raw_data!Q:Q,[1]raw_data!$A:$A,$B4)</f>
        <v>10.869237</v>
      </c>
      <c r="V4" s="7">
        <f>SUMIFS([1]raw_data!R:R,[1]raw_data!$A:$A,$B4)</f>
        <v>0.15702479338842901</v>
      </c>
      <c r="W4" s="6">
        <f>SUMIFS([1]raw_data!S:S,[1]raw_data!$A:$A,$B4)</f>
        <v>114.696956</v>
      </c>
      <c r="X4" s="7">
        <f>SUMIFS([1]raw_data!T:T,[1]raw_data!$A:$A,$B4)</f>
        <v>1.0983146067415701</v>
      </c>
      <c r="Y4" s="6">
        <f>SUMIFS([1]raw_data!U:U,[1]raw_data!$A:$A,$B4)</f>
        <v>114.696956</v>
      </c>
      <c r="Z4" s="7">
        <f>SUMIFS([1]raw_data!V:V,[1]raw_data!$A:$A,$B4)</f>
        <v>1.0983146067415701</v>
      </c>
      <c r="AA4" s="4">
        <f t="shared" ref="AA4:AA67" si="0">(G4+K4+O4+S4+W4)/5</f>
        <v>1923.8250886000001</v>
      </c>
    </row>
    <row r="5" spans="1:34" x14ac:dyDescent="0.25">
      <c r="A5" s="35"/>
      <c r="B5" s="4" t="s">
        <v>85</v>
      </c>
      <c r="C5" s="4" t="s">
        <v>86</v>
      </c>
      <c r="D5" s="4" t="s">
        <v>87</v>
      </c>
      <c r="E5" s="4" t="s">
        <v>31</v>
      </c>
      <c r="F5" s="5">
        <f>IFERROR(INDEX([1]raw_data!B:B,MATCH(B5,[1]raw_data!A:A,0)),0)</f>
        <v>1423.4</v>
      </c>
      <c r="G5" s="6">
        <f>SUMIFS([1]raw_data!C:C,[1]raw_data!$A:$A,$B5)</f>
        <v>5540.9072210000004</v>
      </c>
      <c r="H5" s="7">
        <f>SUMIFS([1]raw_data!D:D,[1]raw_data!$A:$A,$B5)</f>
        <v>1.68450704225352</v>
      </c>
      <c r="I5" s="6">
        <f>SUMIFS([1]raw_data!E:E,[1]raw_data!$A:$A,$B5)</f>
        <v>45.11083</v>
      </c>
      <c r="J5" s="7">
        <f>SUMIFS([1]raw_data!F:F,[1]raw_data!$A:$A,$B5)</f>
        <v>0.66830985915492902</v>
      </c>
      <c r="K5" s="6">
        <f>SUMIFS([1]raw_data!G:G,[1]raw_data!$A:$A,$B5)</f>
        <v>869.58842000000004</v>
      </c>
      <c r="L5" s="7">
        <f>SUMIFS([1]raw_data!H:H,[1]raw_data!$A:$A,$B5)</f>
        <v>3.0140056022408901</v>
      </c>
      <c r="M5" s="6">
        <f>SUMIFS([1]raw_data!I:I,[1]raw_data!$A:$A,$B5)</f>
        <v>120.40631</v>
      </c>
      <c r="N5" s="7">
        <f>SUMIFS([1]raw_data!J:J,[1]raw_data!$A:$A,$B5)</f>
        <v>1.3970588235294099</v>
      </c>
      <c r="O5" s="6">
        <f>SUMIFS([1]raw_data!K:K,[1]raw_data!$A:$A,$B5)</f>
        <v>551.84508800000003</v>
      </c>
      <c r="P5" s="7">
        <f>SUMIFS([1]raw_data!L:L,[1]raw_data!$A:$A,$B5)</f>
        <v>3.1547116736990102</v>
      </c>
      <c r="Q5" s="6">
        <f>SUMIFS([1]raw_data!M:M,[1]raw_data!$A:$A,$B5)</f>
        <v>183.48197300000001</v>
      </c>
      <c r="R5" s="7">
        <f>SUMIFS([1]raw_data!N:N,[1]raw_data!$A:$A,$B5)</f>
        <v>2.1540084388185599</v>
      </c>
      <c r="S5" s="6">
        <f>SUMIFS([1]raw_data!O:O,[1]raw_data!$A:$A,$B5)</f>
        <v>121.565547</v>
      </c>
      <c r="T5" s="7">
        <f>SUMIFS([1]raw_data!P:P,[1]raw_data!$A:$A,$B5)</f>
        <v>1.79860139860139</v>
      </c>
      <c r="U5" s="6">
        <f>SUMIFS([1]raw_data!Q:Q,[1]raw_data!$A:$A,$B5)</f>
        <v>120.984953</v>
      </c>
      <c r="V5" s="7">
        <f>SUMIFS([1]raw_data!R:R,[1]raw_data!$A:$A,$B5)</f>
        <v>1.76993006993006</v>
      </c>
      <c r="W5" s="6">
        <f>SUMIFS([1]raw_data!S:S,[1]raw_data!$A:$A,$B5)</f>
        <v>892.23187399999995</v>
      </c>
      <c r="X5" s="7">
        <f>SUMIFS([1]raw_data!T:T,[1]raw_data!$A:$A,$B5)</f>
        <v>2.2251235003528498</v>
      </c>
      <c r="Y5" s="6">
        <f>SUMIFS([1]raw_data!U:U,[1]raw_data!$A:$A,$B5)</f>
        <v>891.73432100000002</v>
      </c>
      <c r="Z5" s="7">
        <f>SUMIFS([1]raw_data!V:V,[1]raw_data!$A:$A,$B5)</f>
        <v>2.2244177840508099</v>
      </c>
      <c r="AA5" s="4">
        <f t="shared" si="0"/>
        <v>1595.2276300000001</v>
      </c>
    </row>
    <row r="6" spans="1:34" x14ac:dyDescent="0.25">
      <c r="A6" s="35"/>
      <c r="B6" s="4" t="s">
        <v>158</v>
      </c>
      <c r="C6" s="4" t="s">
        <v>159</v>
      </c>
      <c r="D6" s="4" t="s">
        <v>160</v>
      </c>
      <c r="E6" s="4" t="s">
        <v>23</v>
      </c>
      <c r="F6" s="5">
        <f>IFERROR(INDEX([1]raw_data!B:B,MATCH(B6,[1]raw_data!A:A,0)),0)</f>
        <v>1055.5555549999999</v>
      </c>
      <c r="G6" s="6">
        <f>SUMIFS([1]raw_data!C:C,[1]raw_data!$A:$A,$B6)</f>
        <v>5803.409901</v>
      </c>
      <c r="H6" s="7">
        <f>SUMIFS([1]raw_data!D:D,[1]raw_data!$A:$A,$B6)</f>
        <v>6.4076539101497501</v>
      </c>
      <c r="I6" s="6">
        <f>SUMIFS([1]raw_data!E:E,[1]raw_data!$A:$A,$B6)</f>
        <v>184.038906</v>
      </c>
      <c r="J6" s="7">
        <f>SUMIFS([1]raw_data!F:F,[1]raw_data!$A:$A,$B6)</f>
        <v>1.1331114808652201</v>
      </c>
      <c r="K6" s="6">
        <f>SUMIFS([1]raw_data!G:G,[1]raw_data!$A:$A,$B6)</f>
        <v>815.440292</v>
      </c>
      <c r="L6" s="7">
        <f>SUMIFS([1]raw_data!H:H,[1]raw_data!$A:$A,$B6)</f>
        <v>1.92580101180438</v>
      </c>
      <c r="M6" s="6">
        <f>SUMIFS([1]raw_data!I:I,[1]raw_data!$A:$A,$B6)</f>
        <v>189.99126000000001</v>
      </c>
      <c r="N6" s="7">
        <f>SUMIFS([1]raw_data!J:J,[1]raw_data!$A:$A,$B6)</f>
        <v>1.34654300168634</v>
      </c>
      <c r="O6" s="6">
        <f>SUMIFS([1]raw_data!K:K,[1]raw_data!$A:$A,$B6)</f>
        <v>1033.2769519999999</v>
      </c>
      <c r="P6" s="7">
        <f>SUMIFS([1]raw_data!L:L,[1]raw_data!$A:$A,$B6)</f>
        <v>2.3128161888701499</v>
      </c>
      <c r="Q6" s="6">
        <f>SUMIFS([1]raw_data!M:M,[1]raw_data!$A:$A,$B6)</f>
        <v>360.47391699999997</v>
      </c>
      <c r="R6" s="7">
        <f>SUMIFS([1]raw_data!N:N,[1]raw_data!$A:$A,$B6)</f>
        <v>0.80607082630691296</v>
      </c>
      <c r="S6" s="6">
        <f>SUMIFS([1]raw_data!O:O,[1]raw_data!$A:$A,$B6)</f>
        <v>26.020699</v>
      </c>
      <c r="T6" s="7">
        <f>SUMIFS([1]raw_data!P:P,[1]raw_data!$A:$A,$B6)</f>
        <v>0.27993254637436699</v>
      </c>
      <c r="U6" s="6">
        <f>SUMIFS([1]raw_data!Q:Q,[1]raw_data!$A:$A,$B6)</f>
        <v>24.672892000000001</v>
      </c>
      <c r="V6" s="7">
        <f>SUMIFS([1]raw_data!R:R,[1]raw_data!$A:$A,$B6)</f>
        <v>0.27150084317032003</v>
      </c>
      <c r="W6" s="6">
        <f>SUMIFS([1]raw_data!S:S,[1]raw_data!$A:$A,$B6)</f>
        <v>102.99359800000001</v>
      </c>
      <c r="X6" s="7">
        <f>SUMIFS([1]raw_data!T:T,[1]raw_data!$A:$A,$B6)</f>
        <v>1.0820642978003301</v>
      </c>
      <c r="Y6" s="6">
        <f>SUMIFS([1]raw_data!U:U,[1]raw_data!$A:$A,$B6)</f>
        <v>102.99359800000001</v>
      </c>
      <c r="Z6" s="7">
        <f>SUMIFS([1]raw_data!V:V,[1]raw_data!$A:$A,$B6)</f>
        <v>1.0820642978003301</v>
      </c>
      <c r="AA6" s="4">
        <f t="shared" si="0"/>
        <v>1556.2282884000001</v>
      </c>
    </row>
    <row r="7" spans="1:34" x14ac:dyDescent="0.25">
      <c r="A7" s="35"/>
      <c r="B7" s="4" t="s">
        <v>290</v>
      </c>
      <c r="C7" s="4" t="s">
        <v>162</v>
      </c>
      <c r="D7" s="4" t="s">
        <v>291</v>
      </c>
      <c r="E7" s="4" t="s">
        <v>76</v>
      </c>
      <c r="F7" s="5">
        <f>IFERROR(INDEX([1]raw_data!B:B,MATCH(B7,[1]raw_data!A:A,0)),0)</f>
        <v>1562.4</v>
      </c>
      <c r="G7" s="6">
        <f>SUMIFS([1]raw_data!C:C,[1]raw_data!$A:$A,$B7)</f>
        <v>6695.0826230000002</v>
      </c>
      <c r="H7" s="7">
        <f>SUMIFS([1]raw_data!D:D,[1]raw_data!$A:$A,$B7)</f>
        <v>2.3239795918367299</v>
      </c>
      <c r="I7" s="6">
        <f>SUMIFS([1]raw_data!E:E,[1]raw_data!$A:$A,$B7)</f>
        <v>37.145474999999998</v>
      </c>
      <c r="J7" s="7">
        <f>SUMIFS([1]raw_data!F:F,[1]raw_data!$A:$A,$B7)</f>
        <v>0.34630102040816302</v>
      </c>
      <c r="K7" s="6">
        <f>SUMIFS([1]raw_data!G:G,[1]raw_data!$A:$A,$B7)</f>
        <v>760.16528200000005</v>
      </c>
      <c r="L7" s="7">
        <f>SUMIFS([1]raw_data!H:H,[1]raw_data!$A:$A,$B7)</f>
        <v>1.98917886696371</v>
      </c>
      <c r="M7" s="6">
        <f>SUMIFS([1]raw_data!I:I,[1]raw_data!$A:$A,$B7)</f>
        <v>208.561384</v>
      </c>
      <c r="N7" s="7">
        <f>SUMIFS([1]raw_data!J:J,[1]raw_data!$A:$A,$B7)</f>
        <v>1.4481222151495801</v>
      </c>
      <c r="O7" s="6">
        <f>SUMIFS([1]raw_data!K:K,[1]raw_data!$A:$A,$B7)</f>
        <v>61.598567000000003</v>
      </c>
      <c r="P7" s="7">
        <f>SUMIFS([1]raw_data!L:L,[1]raw_data!$A:$A,$B7)</f>
        <v>0.250795671546785</v>
      </c>
      <c r="Q7" s="6">
        <f>SUMIFS([1]raw_data!M:M,[1]raw_data!$A:$A,$B7)</f>
        <v>48.414852000000003</v>
      </c>
      <c r="R7" s="7">
        <f>SUMIFS([1]raw_data!N:N,[1]raw_data!$A:$A,$B7)</f>
        <v>0.20432845321451301</v>
      </c>
      <c r="S7" s="6">
        <f>SUMIFS([1]raw_data!O:O,[1]raw_data!$A:$A,$B7)</f>
        <v>118.008635</v>
      </c>
      <c r="T7" s="7">
        <f>SUMIFS([1]raw_data!P:P,[1]raw_data!$A:$A,$B7)</f>
        <v>1.09392971246006</v>
      </c>
      <c r="U7" s="6">
        <f>SUMIFS([1]raw_data!Q:Q,[1]raw_data!$A:$A,$B7)</f>
        <v>106.837997</v>
      </c>
      <c r="V7" s="7">
        <f>SUMIFS([1]raw_data!R:R,[1]raw_data!$A:$A,$B7)</f>
        <v>1.06325878594249</v>
      </c>
      <c r="W7" s="6">
        <f>SUMIFS([1]raw_data!S:S,[1]raw_data!$A:$A,$B7)</f>
        <v>93.368139999999997</v>
      </c>
      <c r="X7" s="7">
        <f>SUMIFS([1]raw_data!T:T,[1]raw_data!$A:$A,$B7)</f>
        <v>0.72088484059856806</v>
      </c>
      <c r="Y7" s="6">
        <f>SUMIFS([1]raw_data!U:U,[1]raw_data!$A:$A,$B7)</f>
        <v>93.327640000000002</v>
      </c>
      <c r="Z7" s="7">
        <f>SUMIFS([1]raw_data!V:V,[1]raw_data!$A:$A,$B7)</f>
        <v>0.72023422251138502</v>
      </c>
      <c r="AA7" s="4">
        <f t="shared" si="0"/>
        <v>1545.6446493999999</v>
      </c>
    </row>
    <row r="8" spans="1:34" x14ac:dyDescent="0.25">
      <c r="A8" s="35"/>
      <c r="B8" s="4" t="s">
        <v>97</v>
      </c>
      <c r="C8" s="4" t="s">
        <v>98</v>
      </c>
      <c r="D8" s="4" t="s">
        <v>99</v>
      </c>
      <c r="E8" s="4" t="s">
        <v>65</v>
      </c>
      <c r="F8" s="5">
        <f>IFERROR(INDEX([1]raw_data!B:B,MATCH(B8,[1]raw_data!A:A,0)),0)</f>
        <v>1511.8</v>
      </c>
      <c r="G8" s="6">
        <f>SUMIFS([1]raw_data!C:C,[1]raw_data!$A:$A,$B8)</f>
        <v>1245.657545</v>
      </c>
      <c r="H8" s="7">
        <f>SUMIFS([1]raw_data!D:D,[1]raw_data!$A:$A,$B8)</f>
        <v>1.2261208576997999</v>
      </c>
      <c r="I8" s="6">
        <f>SUMIFS([1]raw_data!E:E,[1]raw_data!$A:$A,$B8)</f>
        <v>93.936811000000006</v>
      </c>
      <c r="J8" s="7">
        <f>SUMIFS([1]raw_data!F:F,[1]raw_data!$A:$A,$B8)</f>
        <v>0.27095516569200701</v>
      </c>
      <c r="K8" s="6">
        <f>SUMIFS([1]raw_data!G:G,[1]raw_data!$A:$A,$B8)</f>
        <v>558.99962700000003</v>
      </c>
      <c r="L8" s="7">
        <f>SUMIFS([1]raw_data!H:H,[1]raw_data!$A:$A,$B8)</f>
        <v>1.9682436811406301</v>
      </c>
      <c r="M8" s="6">
        <f>SUMIFS([1]raw_data!I:I,[1]raw_data!$A:$A,$B8)</f>
        <v>558.36289199999999</v>
      </c>
      <c r="N8" s="7">
        <f>SUMIFS([1]raw_data!J:J,[1]raw_data!$A:$A,$B8)</f>
        <v>1.9669475048606599</v>
      </c>
      <c r="O8" s="6">
        <f>SUMIFS([1]raw_data!K:K,[1]raw_data!$A:$A,$B8)</f>
        <v>167.88277199999999</v>
      </c>
      <c r="P8" s="7">
        <f>SUMIFS([1]raw_data!L:L,[1]raw_data!$A:$A,$B8)</f>
        <v>0.131953428201811</v>
      </c>
      <c r="Q8" s="6">
        <f>SUMIFS([1]raw_data!M:M,[1]raw_data!$A:$A,$B8)</f>
        <v>3.9846590000000002</v>
      </c>
      <c r="R8" s="7">
        <f>SUMIFS([1]raw_data!N:N,[1]raw_data!$A:$A,$B8)</f>
        <v>3.8809831824062002E-2</v>
      </c>
      <c r="S8" s="6">
        <f>SUMIFS([1]raw_data!O:O,[1]raw_data!$A:$A,$B8)</f>
        <v>4975.4824429999999</v>
      </c>
      <c r="T8" s="7">
        <f>SUMIFS([1]raw_data!P:P,[1]raw_data!$A:$A,$B8)</f>
        <v>4.16797153024911</v>
      </c>
      <c r="U8" s="6">
        <f>SUMIFS([1]raw_data!Q:Q,[1]raw_data!$A:$A,$B8)</f>
        <v>301.33789999999999</v>
      </c>
      <c r="V8" s="7">
        <f>SUMIFS([1]raw_data!R:R,[1]raw_data!$A:$A,$B8)</f>
        <v>3.0754448398576502</v>
      </c>
      <c r="W8" s="6">
        <f>SUMIFS([1]raw_data!S:S,[1]raw_data!$A:$A,$B8)</f>
        <v>340.95894399999997</v>
      </c>
      <c r="X8" s="7">
        <f>SUMIFS([1]raw_data!T:T,[1]raw_data!$A:$A,$B8)</f>
        <v>2.17169069462647</v>
      </c>
      <c r="Y8" s="6">
        <f>SUMIFS([1]raw_data!U:U,[1]raw_data!$A:$A,$B8)</f>
        <v>329.19525900000002</v>
      </c>
      <c r="Z8" s="7">
        <f>SUMIFS([1]raw_data!V:V,[1]raw_data!$A:$A,$B8)</f>
        <v>2.1120576671035298</v>
      </c>
      <c r="AA8" s="4">
        <f t="shared" si="0"/>
        <v>1457.7962662</v>
      </c>
    </row>
    <row r="9" spans="1:34" x14ac:dyDescent="0.25">
      <c r="A9" s="35"/>
      <c r="B9" s="4" t="s">
        <v>233</v>
      </c>
      <c r="C9" s="4" t="s">
        <v>162</v>
      </c>
      <c r="D9" s="4" t="s">
        <v>234</v>
      </c>
      <c r="E9" s="4" t="s">
        <v>76</v>
      </c>
      <c r="F9" s="5">
        <f>IFERROR(INDEX([1]raw_data!B:B,MATCH(B9,[1]raw_data!A:A,0)),0)</f>
        <v>1112.4000000000001</v>
      </c>
      <c r="G9" s="6">
        <f>SUMIFS([1]raw_data!C:C,[1]raw_data!$A:$A,$B9)</f>
        <v>6296.8697439999996</v>
      </c>
      <c r="H9" s="7">
        <f>SUMIFS([1]raw_data!D:D,[1]raw_data!$A:$A,$B9)</f>
        <v>2.1173333333333302</v>
      </c>
      <c r="I9" s="6">
        <f>SUMIFS([1]raw_data!E:E,[1]raw_data!$A:$A,$B9)</f>
        <v>14.162353</v>
      </c>
      <c r="J9" s="7">
        <f>SUMIFS([1]raw_data!F:F,[1]raw_data!$A:$A,$B9)</f>
        <v>0.101333333333333</v>
      </c>
      <c r="K9" s="6">
        <f>SUMIFS([1]raw_data!G:G,[1]raw_data!$A:$A,$B9)</f>
        <v>4.1588909999999997</v>
      </c>
      <c r="L9" s="7">
        <f>SUMIFS([1]raw_data!H:H,[1]raw_data!$A:$A,$B9)</f>
        <v>2.6905829596412498E-2</v>
      </c>
      <c r="M9" s="6">
        <f>SUMIFS([1]raw_data!I:I,[1]raw_data!$A:$A,$B9)</f>
        <v>1.7728010000000001</v>
      </c>
      <c r="N9" s="7">
        <f>SUMIFS([1]raw_data!J:J,[1]raw_data!$A:$A,$B9)</f>
        <v>2.6008968609865402E-2</v>
      </c>
      <c r="O9" s="6">
        <f>SUMIFS([1]raw_data!K:K,[1]raw_data!$A:$A,$B9)</f>
        <v>312.660866</v>
      </c>
      <c r="P9" s="7">
        <f>SUMIFS([1]raw_data!L:L,[1]raw_data!$A:$A,$B9)</f>
        <v>2.1596412556053801</v>
      </c>
      <c r="Q9" s="6">
        <f>SUMIFS([1]raw_data!M:M,[1]raw_data!$A:$A,$B9)</f>
        <v>312.59559000000002</v>
      </c>
      <c r="R9" s="7">
        <f>SUMIFS([1]raw_data!N:N,[1]raw_data!$A:$A,$B9)</f>
        <v>2.1587443946188301</v>
      </c>
      <c r="S9" s="6">
        <f>SUMIFS([1]raw_data!O:O,[1]raw_data!$A:$A,$B9)</f>
        <v>279.62682899999999</v>
      </c>
      <c r="T9" s="7">
        <f>SUMIFS([1]raw_data!P:P,[1]raw_data!$A:$A,$B9)</f>
        <v>2.55013550135501</v>
      </c>
      <c r="U9" s="6">
        <f>SUMIFS([1]raw_data!Q:Q,[1]raw_data!$A:$A,$B9)</f>
        <v>276.264363</v>
      </c>
      <c r="V9" s="7">
        <f>SUMIFS([1]raw_data!R:R,[1]raw_data!$A:$A,$B9)</f>
        <v>2.5311653116531101</v>
      </c>
      <c r="W9" s="6">
        <f>SUMIFS([1]raw_data!S:S,[1]raw_data!$A:$A,$B9)</f>
        <v>33.200211000000003</v>
      </c>
      <c r="X9" s="7">
        <f>SUMIFS([1]raw_data!T:T,[1]raw_data!$A:$A,$B9)</f>
        <v>1.0654545454545401</v>
      </c>
      <c r="Y9" s="6">
        <f>SUMIFS([1]raw_data!U:U,[1]raw_data!$A:$A,$B9)</f>
        <v>15.319984</v>
      </c>
      <c r="Z9" s="7">
        <f>SUMIFS([1]raw_data!V:V,[1]raw_data!$A:$A,$B9)</f>
        <v>1.0536363636363599</v>
      </c>
      <c r="AA9" s="4">
        <f t="shared" si="0"/>
        <v>1385.3033081999999</v>
      </c>
    </row>
    <row r="10" spans="1:34" x14ac:dyDescent="0.25">
      <c r="A10" s="35"/>
      <c r="B10" s="4" t="s">
        <v>170</v>
      </c>
      <c r="C10" s="4" t="s">
        <v>106</v>
      </c>
      <c r="D10" s="4" t="s">
        <v>171</v>
      </c>
      <c r="E10" s="4" t="s">
        <v>19</v>
      </c>
      <c r="F10" s="5">
        <f>IFERROR(INDEX([1]raw_data!B:B,MATCH(B10,[1]raw_data!A:A,0)),0)</f>
        <v>3716.4</v>
      </c>
      <c r="G10" s="6">
        <f>SUMIFS([1]raw_data!C:C,[1]raw_data!$A:$A,$B10)</f>
        <v>813.48589400000003</v>
      </c>
      <c r="H10" s="7">
        <f>SUMIFS([1]raw_data!D:D,[1]raw_data!$A:$A,$B10)</f>
        <v>4.5651830392415</v>
      </c>
      <c r="I10" s="6">
        <f>SUMIFS([1]raw_data!E:E,[1]raw_data!$A:$A,$B10)</f>
        <v>188.34800300000001</v>
      </c>
      <c r="J10" s="7">
        <f>SUMIFS([1]raw_data!F:F,[1]raw_data!$A:$A,$B10)</f>
        <v>2.5380563602844299</v>
      </c>
      <c r="K10" s="6">
        <f>SUMIFS([1]raw_data!G:G,[1]raw_data!$A:$A,$B10)</f>
        <v>1633.8238570000001</v>
      </c>
      <c r="L10" s="7">
        <f>SUMIFS([1]raw_data!H:H,[1]raw_data!$A:$A,$B10)</f>
        <v>3.51013958388201</v>
      </c>
      <c r="M10" s="6">
        <f>SUMIFS([1]raw_data!I:I,[1]raw_data!$A:$A,$B10)</f>
        <v>60.679409999999997</v>
      </c>
      <c r="N10" s="7">
        <f>SUMIFS([1]raw_data!J:J,[1]raw_data!$A:$A,$B10)</f>
        <v>1.14063734527258</v>
      </c>
      <c r="O10" s="6">
        <f>SUMIFS([1]raw_data!K:K,[1]raw_data!$A:$A,$B10)</f>
        <v>767.66846799999996</v>
      </c>
      <c r="P10" s="7">
        <f>SUMIFS([1]raw_data!L:L,[1]raw_data!$A:$A,$B10)</f>
        <v>1.36334576451784</v>
      </c>
      <c r="Q10" s="6">
        <f>SUMIFS([1]raw_data!M:M,[1]raw_data!$A:$A,$B10)</f>
        <v>10.207578</v>
      </c>
      <c r="R10" s="7">
        <f>SUMIFS([1]raw_data!N:N,[1]raw_data!$A:$A,$B10)</f>
        <v>0.118007458710708</v>
      </c>
      <c r="S10" s="6">
        <f>SUMIFS([1]raw_data!O:O,[1]raw_data!$A:$A,$B10)</f>
        <v>1144.352701</v>
      </c>
      <c r="T10" s="7">
        <f>SUMIFS([1]raw_data!P:P,[1]raw_data!$A:$A,$B10)</f>
        <v>2.3461333333333299</v>
      </c>
      <c r="U10" s="6">
        <f>SUMIFS([1]raw_data!Q:Q,[1]raw_data!$A:$A,$B10)</f>
        <v>465.50190600000002</v>
      </c>
      <c r="V10" s="7">
        <f>SUMIFS([1]raw_data!R:R,[1]raw_data!$A:$A,$B10)</f>
        <v>1.1709333333333301</v>
      </c>
      <c r="W10" s="6">
        <f>SUMIFS([1]raw_data!S:S,[1]raw_data!$A:$A,$B10)</f>
        <v>1858.7866329999999</v>
      </c>
      <c r="X10" s="7">
        <f>SUMIFS([1]raw_data!T:T,[1]raw_data!$A:$A,$B10)</f>
        <v>2.49282433983926</v>
      </c>
      <c r="Y10" s="6">
        <f>SUMIFS([1]raw_data!U:U,[1]raw_data!$A:$A,$B10)</f>
        <v>89.751328999999998</v>
      </c>
      <c r="Z10" s="7">
        <f>SUMIFS([1]raw_data!V:V,[1]raw_data!$A:$A,$B10)</f>
        <v>0.402985074626865</v>
      </c>
      <c r="AA10" s="4">
        <f t="shared" si="0"/>
        <v>1243.6235105999999</v>
      </c>
    </row>
    <row r="11" spans="1:34" ht="15.75" x14ac:dyDescent="0.25">
      <c r="A11" s="35"/>
      <c r="B11" s="4" t="s">
        <v>20</v>
      </c>
      <c r="C11" s="4" t="s">
        <v>21</v>
      </c>
      <c r="D11" s="4" t="s">
        <v>22</v>
      </c>
      <c r="E11" s="4" t="s">
        <v>23</v>
      </c>
      <c r="F11" s="5">
        <f>IFERROR(INDEX([1]raw_data!B:B,MATCH(B11,[1]raw_data!A:A,0)),0)</f>
        <v>320.2</v>
      </c>
      <c r="G11" s="6">
        <f>SUMIFS([1]raw_data!C:C,[1]raw_data!$A:$A,$B11)</f>
        <v>679.65555500000005</v>
      </c>
      <c r="H11" s="7">
        <f>SUMIFS([1]raw_data!D:D,[1]raw_data!$A:$A,$B11)</f>
        <v>2.13291139240506</v>
      </c>
      <c r="I11" s="6">
        <f>SUMIFS([1]raw_data!E:E,[1]raw_data!$A:$A,$B11)</f>
        <v>557.56305799999996</v>
      </c>
      <c r="J11" s="7">
        <f>SUMIFS([1]raw_data!F:F,[1]raw_data!$A:$A,$B11)</f>
        <v>2.1012658227848098</v>
      </c>
      <c r="K11" s="6">
        <f>SUMIFS([1]raw_data!G:G,[1]raw_data!$A:$A,$B11)</f>
        <v>2129.2801359999999</v>
      </c>
      <c r="L11" s="7">
        <f>SUMIFS([1]raw_data!H:H,[1]raw_data!$A:$A,$B11)</f>
        <v>4.45</v>
      </c>
      <c r="M11" s="6">
        <f>SUMIFS([1]raw_data!I:I,[1]raw_data!$A:$A,$B11)</f>
        <v>694.74955799999998</v>
      </c>
      <c r="N11" s="7">
        <f>SUMIFS([1]raw_data!J:J,[1]raw_data!$A:$A,$B11)</f>
        <v>2.3187500000000001</v>
      </c>
      <c r="O11" s="6">
        <f>SUMIFS([1]raw_data!K:K,[1]raw_data!$A:$A,$B11)</f>
        <v>2045.7740389999999</v>
      </c>
      <c r="P11" s="7">
        <f>SUMIFS([1]raw_data!L:L,[1]raw_data!$A:$A,$B11)</f>
        <v>2.7445482866043598</v>
      </c>
      <c r="Q11" s="6">
        <f>SUMIFS([1]raw_data!M:M,[1]raw_data!$A:$A,$B11)</f>
        <v>425.370768</v>
      </c>
      <c r="R11" s="7">
        <f>SUMIFS([1]raw_data!N:N,[1]raw_data!$A:$A,$B11)</f>
        <v>1.09657320872274</v>
      </c>
      <c r="S11" s="6">
        <f>SUMIFS([1]raw_data!O:O,[1]raw_data!$A:$A,$B11)</f>
        <v>8.7541139999999995</v>
      </c>
      <c r="T11" s="7">
        <f>SUMIFS([1]raw_data!P:P,[1]raw_data!$A:$A,$B11)</f>
        <v>0.101851851851851</v>
      </c>
      <c r="U11" s="6">
        <f>SUMIFS([1]raw_data!Q:Q,[1]raw_data!$A:$A,$B11)</f>
        <v>2.545061</v>
      </c>
      <c r="V11" s="7">
        <f>SUMIFS([1]raw_data!R:R,[1]raw_data!$A:$A,$B11)</f>
        <v>5.2469135802469098E-2</v>
      </c>
      <c r="W11" s="6">
        <f>SUMIFS([1]raw_data!S:S,[1]raw_data!$A:$A,$B11)</f>
        <v>864.60437400000001</v>
      </c>
      <c r="X11" s="7">
        <f>SUMIFS([1]raw_data!T:T,[1]raw_data!$A:$A,$B11)</f>
        <v>3.5562499999999999</v>
      </c>
      <c r="Y11" s="6">
        <f>SUMIFS([1]raw_data!U:U,[1]raw_data!$A:$A,$B11)</f>
        <v>861.11427000000003</v>
      </c>
      <c r="Z11" s="7">
        <f>SUMIFS([1]raw_data!V:V,[1]raw_data!$A:$A,$B11)</f>
        <v>3.4937499999999999</v>
      </c>
      <c r="AA11" s="4">
        <f t="shared" si="0"/>
        <v>1145.6136436000002</v>
      </c>
      <c r="AC11" s="8" t="s">
        <v>37</v>
      </c>
      <c r="AD11" t="s">
        <v>38</v>
      </c>
      <c r="AE11" t="s">
        <v>39</v>
      </c>
      <c r="AF11" t="s">
        <v>40</v>
      </c>
    </row>
    <row r="12" spans="1:34" x14ac:dyDescent="0.25">
      <c r="A12" s="35"/>
      <c r="B12" s="4" t="s">
        <v>62</v>
      </c>
      <c r="C12" s="4" t="s">
        <v>63</v>
      </c>
      <c r="D12" s="4" t="s">
        <v>64</v>
      </c>
      <c r="E12" s="4" t="s">
        <v>65</v>
      </c>
      <c r="F12" s="5">
        <f>IFERROR(INDEX([1]raw_data!B:B,MATCH(B12,[1]raw_data!A:A,0)),0)</f>
        <v>647.4</v>
      </c>
      <c r="G12" s="6">
        <f>SUMIFS([1]raw_data!C:C,[1]raw_data!$A:$A,$B12)</f>
        <v>319.74330200000003</v>
      </c>
      <c r="H12" s="7">
        <f>SUMIFS([1]raw_data!D:D,[1]raw_data!$A:$A,$B12)</f>
        <v>1.4084302325581299</v>
      </c>
      <c r="I12" s="6">
        <f>SUMIFS([1]raw_data!E:E,[1]raw_data!$A:$A,$B12)</f>
        <v>137.58237800000001</v>
      </c>
      <c r="J12" s="7">
        <f>SUMIFS([1]raw_data!F:F,[1]raw_data!$A:$A,$B12)</f>
        <v>0.97529069767441801</v>
      </c>
      <c r="K12" s="6">
        <f>SUMIFS([1]raw_data!G:G,[1]raw_data!$A:$A,$B12)</f>
        <v>212.185518</v>
      </c>
      <c r="L12" s="7">
        <f>SUMIFS([1]raw_data!H:H,[1]raw_data!$A:$A,$B12)</f>
        <v>1.84791965566714</v>
      </c>
      <c r="M12" s="6">
        <f>SUMIFS([1]raw_data!I:I,[1]raw_data!$A:$A,$B12)</f>
        <v>160.96565899999999</v>
      </c>
      <c r="N12" s="7">
        <f>SUMIFS([1]raw_data!J:J,[1]raw_data!$A:$A,$B12)</f>
        <v>1.8278335724533701</v>
      </c>
      <c r="O12" s="6">
        <f>SUMIFS([1]raw_data!K:K,[1]raw_data!$A:$A,$B12)</f>
        <v>1162.814893</v>
      </c>
      <c r="P12" s="7">
        <f>SUMIFS([1]raw_data!L:L,[1]raw_data!$A:$A,$B12)</f>
        <v>1.9281609195402201</v>
      </c>
      <c r="Q12" s="6">
        <f>SUMIFS([1]raw_data!M:M,[1]raw_data!$A:$A,$B12)</f>
        <v>334.13675699999999</v>
      </c>
      <c r="R12" s="7">
        <f>SUMIFS([1]raw_data!N:N,[1]raw_data!$A:$A,$B12)</f>
        <v>0.97844827586206795</v>
      </c>
      <c r="S12" s="6">
        <f>SUMIFS([1]raw_data!O:O,[1]raw_data!$A:$A,$B12)</f>
        <v>2639.6718470000001</v>
      </c>
      <c r="T12" s="7">
        <f>SUMIFS([1]raw_data!P:P,[1]raw_data!$A:$A,$B12)</f>
        <v>5.5354058721934303</v>
      </c>
      <c r="U12" s="6">
        <f>SUMIFS([1]raw_data!Q:Q,[1]raw_data!$A:$A,$B12)</f>
        <v>457.83952199999999</v>
      </c>
      <c r="V12" s="7">
        <f>SUMIFS([1]raw_data!R:R,[1]raw_data!$A:$A,$B12)</f>
        <v>4.3402417962003401</v>
      </c>
      <c r="W12" s="6">
        <f>SUMIFS([1]raw_data!S:S,[1]raw_data!$A:$A,$B12)</f>
        <v>1204.6404669999999</v>
      </c>
      <c r="X12" s="7">
        <f>SUMIFS([1]raw_data!T:T,[1]raw_data!$A:$A,$B12)</f>
        <v>4.4731369150779798</v>
      </c>
      <c r="Y12" s="6">
        <f>SUMIFS([1]raw_data!U:U,[1]raw_data!$A:$A,$B12)</f>
        <v>624.11605999999995</v>
      </c>
      <c r="Z12" s="7">
        <f>SUMIFS([1]raw_data!V:V,[1]raw_data!$A:$A,$B12)</f>
        <v>2.9497400346620402</v>
      </c>
      <c r="AA12" s="4">
        <f t="shared" si="0"/>
        <v>1107.8112054000001</v>
      </c>
      <c r="AC12" t="s">
        <v>0</v>
      </c>
      <c r="AD12" t="s">
        <v>8</v>
      </c>
      <c r="AE12" t="s">
        <v>43</v>
      </c>
      <c r="AF12" t="s">
        <v>44</v>
      </c>
    </row>
    <row r="13" spans="1:34" x14ac:dyDescent="0.25">
      <c r="A13" s="35"/>
      <c r="B13" s="4" t="s">
        <v>130</v>
      </c>
      <c r="C13" s="4" t="s">
        <v>86</v>
      </c>
      <c r="D13" s="4" t="s">
        <v>131</v>
      </c>
      <c r="E13" s="4" t="s">
        <v>31</v>
      </c>
      <c r="F13" s="5">
        <f>IFERROR(INDEX([1]raw_data!B:B,MATCH(B13,[1]raw_data!A:A,0)),0)</f>
        <v>1789.8</v>
      </c>
      <c r="G13" s="6">
        <f>SUMIFS([1]raw_data!C:C,[1]raw_data!$A:$A,$B13)</f>
        <v>2342.7303619999998</v>
      </c>
      <c r="H13" s="7">
        <f>SUMIFS([1]raw_data!D:D,[1]raw_data!$A:$A,$B13)</f>
        <v>2.1749136939010301</v>
      </c>
      <c r="I13" s="6">
        <f>SUMIFS([1]raw_data!E:E,[1]raw_data!$A:$A,$B13)</f>
        <v>160.19562099999999</v>
      </c>
      <c r="J13" s="7">
        <f>SUMIFS([1]raw_data!F:F,[1]raw_data!$A:$A,$B13)</f>
        <v>1.18642117376294</v>
      </c>
      <c r="K13" s="6">
        <f>SUMIFS([1]raw_data!G:G,[1]raw_data!$A:$A,$B13)</f>
        <v>144.38390699999999</v>
      </c>
      <c r="L13" s="7">
        <f>SUMIFS([1]raw_data!H:H,[1]raw_data!$A:$A,$B13)</f>
        <v>0.643433179723502</v>
      </c>
      <c r="M13" s="6">
        <f>SUMIFS([1]raw_data!I:I,[1]raw_data!$A:$A,$B13)</f>
        <v>75.302671000000004</v>
      </c>
      <c r="N13" s="7">
        <f>SUMIFS([1]raw_data!J:J,[1]raw_data!$A:$A,$B13)</f>
        <v>0.62384792626728103</v>
      </c>
      <c r="O13" s="6">
        <f>SUMIFS([1]raw_data!K:K,[1]raw_data!$A:$A,$B13)</f>
        <v>2143.7532409999999</v>
      </c>
      <c r="P13" s="7">
        <f>SUMIFS([1]raw_data!L:L,[1]raw_data!$A:$A,$B13)</f>
        <v>1.2723112128146401</v>
      </c>
      <c r="Q13" s="6">
        <f>SUMIFS([1]raw_data!M:M,[1]raw_data!$A:$A,$B13)</f>
        <v>78.417467000000002</v>
      </c>
      <c r="R13" s="7">
        <f>SUMIFS([1]raw_data!N:N,[1]raw_data!$A:$A,$B13)</f>
        <v>0.33237986270022801</v>
      </c>
      <c r="S13" s="6">
        <f>SUMIFS([1]raw_data!O:O,[1]raw_data!$A:$A,$B13)</f>
        <v>439.323373</v>
      </c>
      <c r="T13" s="7">
        <f>SUMIFS([1]raw_data!P:P,[1]raw_data!$A:$A,$B13)</f>
        <v>3.1780185758513899</v>
      </c>
      <c r="U13" s="6">
        <f>SUMIFS([1]raw_data!Q:Q,[1]raw_data!$A:$A,$B13)</f>
        <v>425.32118100000002</v>
      </c>
      <c r="V13" s="7">
        <f>SUMIFS([1]raw_data!R:R,[1]raw_data!$A:$A,$B13)</f>
        <v>3.1341589267285799</v>
      </c>
      <c r="W13" s="6">
        <f>SUMIFS([1]raw_data!S:S,[1]raw_data!$A:$A,$B13)</f>
        <v>311.86291199999999</v>
      </c>
      <c r="X13" s="7">
        <f>SUMIFS([1]raw_data!T:T,[1]raw_data!$A:$A,$B13)</f>
        <v>1.36556735606484</v>
      </c>
      <c r="Y13" s="6">
        <f>SUMIFS([1]raw_data!U:U,[1]raw_data!$A:$A,$B13)</f>
        <v>302.95351199999999</v>
      </c>
      <c r="Z13" s="7">
        <f>SUMIFS([1]raw_data!V:V,[1]raw_data!$A:$A,$B13)</f>
        <v>1.3482392397987699</v>
      </c>
      <c r="AA13" s="4">
        <f t="shared" si="0"/>
        <v>1076.4107589999999</v>
      </c>
      <c r="AC13" t="s">
        <v>48</v>
      </c>
      <c r="AD13" t="s">
        <v>489</v>
      </c>
      <c r="AE13" s="31">
        <f>COUNT(AA133:AA193)</f>
        <v>61</v>
      </c>
      <c r="AF13" s="13">
        <f>SUM(F133:F193)</f>
        <v>30518.419834</v>
      </c>
      <c r="AH13" t="s">
        <v>490</v>
      </c>
    </row>
    <row r="14" spans="1:34" x14ac:dyDescent="0.25">
      <c r="A14" s="35"/>
      <c r="B14" s="4" t="s">
        <v>270</v>
      </c>
      <c r="C14" s="4" t="s">
        <v>271</v>
      </c>
      <c r="D14" s="4" t="s">
        <v>272</v>
      </c>
      <c r="E14" s="4" t="s">
        <v>23</v>
      </c>
      <c r="F14" s="5">
        <f>IFERROR(INDEX([1]raw_data!B:B,MATCH(B14,[1]raw_data!A:A,0)),0)</f>
        <v>463.8</v>
      </c>
      <c r="G14" s="6">
        <f>SUMIFS([1]raw_data!C:C,[1]raw_data!$A:$A,$B14)</f>
        <v>3451.9812480000001</v>
      </c>
      <c r="H14" s="7">
        <f>SUMIFS([1]raw_data!D:D,[1]raw_data!$A:$A,$B14)</f>
        <v>1.4291845493562201</v>
      </c>
      <c r="I14" s="6">
        <f>SUMIFS([1]raw_data!E:E,[1]raw_data!$A:$A,$B14)</f>
        <v>44.641261</v>
      </c>
      <c r="J14" s="7">
        <f>SUMIFS([1]raw_data!F:F,[1]raw_data!$A:$A,$B14)</f>
        <v>0.21244635193132999</v>
      </c>
      <c r="K14" s="6">
        <f>SUMIFS([1]raw_data!G:G,[1]raw_data!$A:$A,$B14)</f>
        <v>1117.976514</v>
      </c>
      <c r="L14" s="7">
        <f>SUMIFS([1]raw_data!H:H,[1]raw_data!$A:$A,$B14)</f>
        <v>0.92505353319057804</v>
      </c>
      <c r="M14" s="6">
        <f>SUMIFS([1]raw_data!I:I,[1]raw_data!$A:$A,$B14)</f>
        <v>79.947056000000003</v>
      </c>
      <c r="N14" s="7">
        <f>SUMIFS([1]raw_data!J:J,[1]raw_data!$A:$A,$B14)</f>
        <v>7.4946466809421797E-2</v>
      </c>
      <c r="O14" s="6">
        <f>SUMIFS([1]raw_data!K:K,[1]raw_data!$A:$A,$B14)</f>
        <v>328.32941499999998</v>
      </c>
      <c r="P14" s="7">
        <f>SUMIFS([1]raw_data!L:L,[1]raw_data!$A:$A,$B14)</f>
        <v>0.816239316239316</v>
      </c>
      <c r="Q14" s="6">
        <f>SUMIFS([1]raw_data!M:M,[1]raw_data!$A:$A,$B14)</f>
        <v>33.726993999999998</v>
      </c>
      <c r="R14" s="7">
        <f>SUMIFS([1]raw_data!N:N,[1]raw_data!$A:$A,$B14)</f>
        <v>0.262820512820512</v>
      </c>
      <c r="S14" s="6">
        <f>SUMIFS([1]raw_data!O:O,[1]raw_data!$A:$A,$B14)</f>
        <v>49.462690000000002</v>
      </c>
      <c r="T14" s="7">
        <f>SUMIFS([1]raw_data!P:P,[1]raw_data!$A:$A,$B14)</f>
        <v>0.284463894967177</v>
      </c>
      <c r="U14" s="6">
        <f>SUMIFS([1]raw_data!Q:Q,[1]raw_data!$A:$A,$B14)</f>
        <v>11.503171999999999</v>
      </c>
      <c r="V14" s="7">
        <f>SUMIFS([1]raw_data!R:R,[1]raw_data!$A:$A,$B14)</f>
        <v>0.24507658643326</v>
      </c>
      <c r="W14" s="6">
        <f>SUMIFS([1]raw_data!S:S,[1]raw_data!$A:$A,$B14)</f>
        <v>356.98080099999999</v>
      </c>
      <c r="X14" s="7">
        <f>SUMIFS([1]raw_data!T:T,[1]raw_data!$A:$A,$B14)</f>
        <v>1.27548806941431</v>
      </c>
      <c r="Y14" s="6">
        <f>SUMIFS([1]raw_data!U:U,[1]raw_data!$A:$A,$B14)</f>
        <v>348.37378799999999</v>
      </c>
      <c r="Z14" s="7">
        <f>SUMIFS([1]raw_data!V:V,[1]raw_data!$A:$A,$B14)</f>
        <v>1.0694143167028101</v>
      </c>
      <c r="AA14" s="4">
        <f t="shared" si="0"/>
        <v>1060.9461335999999</v>
      </c>
      <c r="AC14" t="s">
        <v>53</v>
      </c>
      <c r="AD14" t="s">
        <v>491</v>
      </c>
      <c r="AE14">
        <f>COUNT(AA99:AA132)</f>
        <v>34</v>
      </c>
      <c r="AF14" s="13">
        <f>SUM(F99:F132)</f>
        <v>33565.340075999993</v>
      </c>
      <c r="AH14" t="s">
        <v>492</v>
      </c>
    </row>
    <row r="15" spans="1:34" x14ac:dyDescent="0.25">
      <c r="A15" s="35"/>
      <c r="B15" s="4" t="s">
        <v>172</v>
      </c>
      <c r="C15" s="4" t="s">
        <v>173</v>
      </c>
      <c r="D15" s="4" t="s">
        <v>174</v>
      </c>
      <c r="E15" s="4" t="s">
        <v>19</v>
      </c>
      <c r="F15" s="5">
        <f>IFERROR(INDEX([1]raw_data!B:B,MATCH(B15,[1]raw_data!A:A,0)),0)</f>
        <v>2453.6</v>
      </c>
      <c r="G15" s="6">
        <f>SUMIFS([1]raw_data!C:C,[1]raw_data!$A:$A,$B15)</f>
        <v>1798.288264</v>
      </c>
      <c r="H15" s="7">
        <f>SUMIFS([1]raw_data!D:D,[1]raw_data!$A:$A,$B15)</f>
        <v>1.7548096602537799</v>
      </c>
      <c r="I15" s="6">
        <f>SUMIFS([1]raw_data!E:E,[1]raw_data!$A:$A,$B15)</f>
        <v>81.809511000000001</v>
      </c>
      <c r="J15" s="7">
        <f>SUMIFS([1]raw_data!F:F,[1]raw_data!$A:$A,$B15)</f>
        <v>0.64674580433892703</v>
      </c>
      <c r="K15" s="6">
        <f>SUMIFS([1]raw_data!G:G,[1]raw_data!$A:$A,$B15)</f>
        <v>162.231359</v>
      </c>
      <c r="L15" s="7">
        <f>SUMIFS([1]raw_data!H:H,[1]raw_data!$A:$A,$B15)</f>
        <v>0.68964110929853095</v>
      </c>
      <c r="M15" s="6">
        <f>SUMIFS([1]raw_data!I:I,[1]raw_data!$A:$A,$B15)</f>
        <v>159.758062</v>
      </c>
      <c r="N15" s="7">
        <f>SUMIFS([1]raw_data!J:J,[1]raw_data!$A:$A,$B15)</f>
        <v>0.68311582381729197</v>
      </c>
      <c r="O15" s="6">
        <f>SUMIFS([1]raw_data!K:K,[1]raw_data!$A:$A,$B15)</f>
        <v>255.87116499999999</v>
      </c>
      <c r="P15" s="7">
        <f>SUMIFS([1]raw_data!L:L,[1]raw_data!$A:$A,$B15)</f>
        <v>0.66721044045676903</v>
      </c>
      <c r="Q15" s="6">
        <f>SUMIFS([1]raw_data!M:M,[1]raw_data!$A:$A,$B15)</f>
        <v>92.221281000000005</v>
      </c>
      <c r="R15" s="7">
        <f>SUMIFS([1]raw_data!N:N,[1]raw_data!$A:$A,$B15)</f>
        <v>0.52650897226753601</v>
      </c>
      <c r="S15" s="6">
        <f>SUMIFS([1]raw_data!O:O,[1]raw_data!$A:$A,$B15)</f>
        <v>70.583475000000007</v>
      </c>
      <c r="T15" s="7">
        <f>SUMIFS([1]raw_data!P:P,[1]raw_data!$A:$A,$B15)</f>
        <v>0.29019129019128997</v>
      </c>
      <c r="U15" s="6">
        <f>SUMIFS([1]raw_data!Q:Q,[1]raw_data!$A:$A,$B15)</f>
        <v>20.730314</v>
      </c>
      <c r="V15" s="7">
        <f>SUMIFS([1]raw_data!R:R,[1]raw_data!$A:$A,$B15)</f>
        <v>0.264143264143264</v>
      </c>
      <c r="W15" s="6">
        <f>SUMIFS([1]raw_data!S:S,[1]raw_data!$A:$A,$B15)</f>
        <v>2920.166354</v>
      </c>
      <c r="X15" s="7">
        <f>SUMIFS([1]raw_data!T:T,[1]raw_data!$A:$A,$B15)</f>
        <v>2.9943181818181799</v>
      </c>
      <c r="Y15" s="6">
        <f>SUMIFS([1]raw_data!U:U,[1]raw_data!$A:$A,$B15)</f>
        <v>450.215597</v>
      </c>
      <c r="Z15" s="7">
        <f>SUMIFS([1]raw_data!V:V,[1]raw_data!$A:$A,$B15)</f>
        <v>1.79870129870129</v>
      </c>
      <c r="AA15" s="4">
        <f t="shared" si="0"/>
        <v>1041.4281234</v>
      </c>
      <c r="AC15" t="s">
        <v>59</v>
      </c>
      <c r="AD15" t="s">
        <v>493</v>
      </c>
      <c r="AE15">
        <f>COUNT(AA56:AA98)</f>
        <v>43</v>
      </c>
      <c r="AF15" s="13">
        <f>SUM(F56:F98)</f>
        <v>54862.510709000002</v>
      </c>
      <c r="AH15" t="s">
        <v>494</v>
      </c>
    </row>
    <row r="16" spans="1:34" x14ac:dyDescent="0.25">
      <c r="A16" s="35"/>
      <c r="B16" s="4" t="s">
        <v>51</v>
      </c>
      <c r="C16" s="4" t="s">
        <v>13</v>
      </c>
      <c r="D16" s="4" t="s">
        <v>52</v>
      </c>
      <c r="E16" s="4" t="s">
        <v>15</v>
      </c>
      <c r="F16" s="5">
        <f>IFERROR(INDEX([1]raw_data!B:B,MATCH(B16,[1]raw_data!A:A,0)),0)</f>
        <v>189.11111099999999</v>
      </c>
      <c r="G16" s="6">
        <f>SUMIFS([1]raw_data!C:C,[1]raw_data!$A:$A,$B16)</f>
        <v>4.9247180000000004</v>
      </c>
      <c r="H16" s="7">
        <f>SUMIFS([1]raw_data!D:D,[1]raw_data!$A:$A,$B16)</f>
        <v>4.3010752688171998E-2</v>
      </c>
      <c r="I16" s="6">
        <f>SUMIFS([1]raw_data!E:E,[1]raw_data!$A:$A,$B16)</f>
        <v>4.9247180000000004</v>
      </c>
      <c r="J16" s="7">
        <f>SUMIFS([1]raw_data!F:F,[1]raw_data!$A:$A,$B16)</f>
        <v>4.3010752688171998E-2</v>
      </c>
      <c r="K16" s="6">
        <f>SUMIFS([1]raw_data!G:G,[1]raw_data!$A:$A,$B16)</f>
        <v>804.01910899999996</v>
      </c>
      <c r="L16" s="7">
        <f>SUMIFS([1]raw_data!H:H,[1]raw_data!$A:$A,$B16)</f>
        <v>2.8947368421052602</v>
      </c>
      <c r="M16" s="6">
        <f>SUMIFS([1]raw_data!I:I,[1]raw_data!$A:$A,$B16)</f>
        <v>494.934912</v>
      </c>
      <c r="N16" s="7">
        <f>SUMIFS([1]raw_data!J:J,[1]raw_data!$A:$A,$B16)</f>
        <v>1.03157894736842</v>
      </c>
      <c r="O16" s="6">
        <f>SUMIFS([1]raw_data!K:K,[1]raw_data!$A:$A,$B16)</f>
        <v>3065.1187490000002</v>
      </c>
      <c r="P16" s="7">
        <f>SUMIFS([1]raw_data!L:L,[1]raw_data!$A:$A,$B16)</f>
        <v>2.078125</v>
      </c>
      <c r="Q16" s="6">
        <f>SUMIFS([1]raw_data!M:M,[1]raw_data!$A:$A,$B16)</f>
        <v>304.7921</v>
      </c>
      <c r="R16" s="7">
        <f>SUMIFS([1]raw_data!N:N,[1]raw_data!$A:$A,$B16)</f>
        <v>1.0625</v>
      </c>
      <c r="S16" s="6">
        <f>SUMIFS([1]raw_data!O:O,[1]raw_data!$A:$A,$B16)</f>
        <v>862.62482199999999</v>
      </c>
      <c r="T16" s="7">
        <f>SUMIFS([1]raw_data!P:P,[1]raw_data!$A:$A,$B16)</f>
        <v>2.6861702127659499</v>
      </c>
      <c r="U16" s="6">
        <f>SUMIFS([1]raw_data!Q:Q,[1]raw_data!$A:$A,$B16)</f>
        <v>814.02588600000001</v>
      </c>
      <c r="V16" s="7">
        <f>SUMIFS([1]raw_data!R:R,[1]raw_data!$A:$A,$B16)</f>
        <v>2.6702127659574399</v>
      </c>
      <c r="W16" s="6">
        <f>SUMIFS([1]raw_data!S:S,[1]raw_data!$A:$A,$B16)</f>
        <v>398.09609799999998</v>
      </c>
      <c r="X16" s="7">
        <f>SUMIFS([1]raw_data!T:T,[1]raw_data!$A:$A,$B16)</f>
        <v>1.2978723404255299</v>
      </c>
      <c r="Y16" s="6">
        <f>SUMIFS([1]raw_data!U:U,[1]raw_data!$A:$A,$B16)</f>
        <v>223.07056700000001</v>
      </c>
      <c r="Z16" s="7">
        <f>SUMIFS([1]raw_data!V:V,[1]raw_data!$A:$A,$B16)</f>
        <v>1.2553191489361699</v>
      </c>
      <c r="AA16" s="4">
        <f t="shared" si="0"/>
        <v>1026.9566992</v>
      </c>
      <c r="AC16" t="s">
        <v>66</v>
      </c>
      <c r="AD16" t="s">
        <v>495</v>
      </c>
      <c r="AE16">
        <f>COUNT(AA4:AA55)</f>
        <v>52</v>
      </c>
      <c r="AF16" s="13">
        <f>SUM(F4:F55)</f>
        <v>55430.042850999991</v>
      </c>
      <c r="AH16" t="s">
        <v>496</v>
      </c>
    </row>
    <row r="17" spans="1:27" x14ac:dyDescent="0.25">
      <c r="A17" s="35"/>
      <c r="B17" s="4" t="s">
        <v>24</v>
      </c>
      <c r="C17" s="4" t="s">
        <v>25</v>
      </c>
      <c r="D17" s="4" t="s">
        <v>26</v>
      </c>
      <c r="E17" s="4" t="s">
        <v>27</v>
      </c>
      <c r="F17" s="5">
        <f>IFERROR(INDEX([1]raw_data!B:B,MATCH(B17,[1]raw_data!A:A,0)),0)</f>
        <v>766.22222199999999</v>
      </c>
      <c r="G17" s="6">
        <f>SUMIFS([1]raw_data!C:C,[1]raw_data!$A:$A,$B17)</f>
        <v>960.652198</v>
      </c>
      <c r="H17" s="7">
        <f>SUMIFS([1]raw_data!D:D,[1]raw_data!$A:$A,$B17)</f>
        <v>3.2951885565669699</v>
      </c>
      <c r="I17" s="6">
        <f>SUMIFS([1]raw_data!E:E,[1]raw_data!$A:$A,$B17)</f>
        <v>220.01796899999999</v>
      </c>
      <c r="J17" s="7">
        <f>SUMIFS([1]raw_data!F:F,[1]raw_data!$A:$A,$B17)</f>
        <v>2.3784135240572102</v>
      </c>
      <c r="K17" s="6">
        <f>SUMIFS([1]raw_data!G:G,[1]raw_data!$A:$A,$B17)</f>
        <v>11.529491</v>
      </c>
      <c r="L17" s="7">
        <f>SUMIFS([1]raw_data!H:H,[1]raw_data!$A:$A,$B17)</f>
        <v>0.16103896103896101</v>
      </c>
      <c r="M17" s="6">
        <f>SUMIFS([1]raw_data!I:I,[1]raw_data!$A:$A,$B17)</f>
        <v>11.529491</v>
      </c>
      <c r="N17" s="7">
        <f>SUMIFS([1]raw_data!J:J,[1]raw_data!$A:$A,$B17)</f>
        <v>0.16103896103896101</v>
      </c>
      <c r="O17" s="6">
        <f>SUMIFS([1]raw_data!K:K,[1]raw_data!$A:$A,$B17)</f>
        <v>543.74913100000003</v>
      </c>
      <c r="P17" s="7">
        <f>SUMIFS([1]raw_data!L:L,[1]raw_data!$A:$A,$B17)</f>
        <v>3.2786458333333299</v>
      </c>
      <c r="Q17" s="6">
        <f>SUMIFS([1]raw_data!M:M,[1]raw_data!$A:$A,$B17)</f>
        <v>462.263216</v>
      </c>
      <c r="R17" s="7">
        <f>SUMIFS([1]raw_data!N:N,[1]raw_data!$A:$A,$B17)</f>
        <v>3.1966145833333299</v>
      </c>
      <c r="S17" s="6">
        <f>SUMIFS([1]raw_data!O:O,[1]raw_data!$A:$A,$B17)</f>
        <v>1222.81873</v>
      </c>
      <c r="T17" s="7">
        <f>SUMIFS([1]raw_data!P:P,[1]raw_data!$A:$A,$B17)</f>
        <v>6.4159061277705298</v>
      </c>
      <c r="U17" s="6">
        <f>SUMIFS([1]raw_data!Q:Q,[1]raw_data!$A:$A,$B17)</f>
        <v>1024.0025419999999</v>
      </c>
      <c r="V17" s="7">
        <f>SUMIFS([1]raw_data!R:R,[1]raw_data!$A:$A,$B17)</f>
        <v>5.9530638852672704</v>
      </c>
      <c r="W17" s="6">
        <f>SUMIFS([1]raw_data!S:S,[1]raw_data!$A:$A,$B17)</f>
        <v>2392.2077939999999</v>
      </c>
      <c r="X17" s="7">
        <f>SUMIFS([1]raw_data!T:T,[1]raw_data!$A:$A,$B17)</f>
        <v>5.7562582345191</v>
      </c>
      <c r="Y17" s="6">
        <f>SUMIFS([1]raw_data!U:U,[1]raw_data!$A:$A,$B17)</f>
        <v>746.78473799999995</v>
      </c>
      <c r="Z17" s="7">
        <f>SUMIFS([1]raw_data!V:V,[1]raw_data!$A:$A,$B17)</f>
        <v>4.64558629776021</v>
      </c>
      <c r="AA17" s="4">
        <f t="shared" si="0"/>
        <v>1026.1914688000002</v>
      </c>
    </row>
    <row r="18" spans="1:27" x14ac:dyDescent="0.25">
      <c r="A18" s="35"/>
      <c r="B18" s="4" t="s">
        <v>248</v>
      </c>
      <c r="C18" s="4" t="s">
        <v>211</v>
      </c>
      <c r="D18" s="4" t="s">
        <v>249</v>
      </c>
      <c r="E18" s="4" t="s">
        <v>76</v>
      </c>
      <c r="F18" s="5">
        <f>IFERROR(INDEX([1]raw_data!B:B,MATCH(B18,[1]raw_data!A:A,0)),0)</f>
        <v>630.66666599999996</v>
      </c>
      <c r="G18" s="6">
        <f>SUMIFS([1]raw_data!C:C,[1]raw_data!$A:$A,$B18)</f>
        <v>3005.0357680000002</v>
      </c>
      <c r="H18" s="7">
        <f>SUMIFS([1]raw_data!D:D,[1]raw_data!$A:$A,$B18)</f>
        <v>1.80223285486443</v>
      </c>
      <c r="I18" s="6">
        <f>SUMIFS([1]raw_data!E:E,[1]raw_data!$A:$A,$B18)</f>
        <v>141.62904900000001</v>
      </c>
      <c r="J18" s="7">
        <f>SUMIFS([1]raw_data!F:F,[1]raw_data!$A:$A,$B18)</f>
        <v>1.03827751196172</v>
      </c>
      <c r="K18" s="6">
        <f>SUMIFS([1]raw_data!G:G,[1]raw_data!$A:$A,$B18)</f>
        <v>254.79815199999999</v>
      </c>
      <c r="L18" s="7">
        <f>SUMIFS([1]raw_data!H:H,[1]raw_data!$A:$A,$B18)</f>
        <v>2.3548895899053601</v>
      </c>
      <c r="M18" s="6">
        <f>SUMIFS([1]raw_data!I:I,[1]raw_data!$A:$A,$B18)</f>
        <v>155.107629</v>
      </c>
      <c r="N18" s="7">
        <f>SUMIFS([1]raw_data!J:J,[1]raw_data!$A:$A,$B18)</f>
        <v>2.3264984227129299</v>
      </c>
      <c r="O18" s="6">
        <f>SUMIFS([1]raw_data!K:K,[1]raw_data!$A:$A,$B18)</f>
        <v>1432.386702</v>
      </c>
      <c r="P18" s="7">
        <f>SUMIFS([1]raw_data!L:L,[1]raw_data!$A:$A,$B18)</f>
        <v>1.0932069510268501</v>
      </c>
      <c r="Q18" s="6">
        <f>SUMIFS([1]raw_data!M:M,[1]raw_data!$A:$A,$B18)</f>
        <v>5.2752230000000004</v>
      </c>
      <c r="R18" s="7">
        <f>SUMIFS([1]raw_data!N:N,[1]raw_data!$A:$A,$B18)</f>
        <v>9.3206951026856194E-2</v>
      </c>
      <c r="S18" s="6">
        <f>SUMIFS([1]raw_data!O:O,[1]raw_data!$A:$A,$B18)</f>
        <v>13.513412000000001</v>
      </c>
      <c r="T18" s="7">
        <f>SUMIFS([1]raw_data!P:P,[1]raw_data!$A:$A,$B18)</f>
        <v>6.5079365079365001E-2</v>
      </c>
      <c r="U18" s="6">
        <f>SUMIFS([1]raw_data!Q:Q,[1]raw_data!$A:$A,$B18)</f>
        <v>13.513412000000001</v>
      </c>
      <c r="V18" s="7">
        <f>SUMIFS([1]raw_data!R:R,[1]raw_data!$A:$A,$B18)</f>
        <v>6.5079365079365001E-2</v>
      </c>
      <c r="W18" s="6">
        <f>SUMIFS([1]raw_data!S:S,[1]raw_data!$A:$A,$B18)</f>
        <v>263.519925</v>
      </c>
      <c r="X18" s="7">
        <f>SUMIFS([1]raw_data!T:T,[1]raw_data!$A:$A,$B18)</f>
        <v>1.1621621621621601</v>
      </c>
      <c r="Y18" s="6">
        <f>SUMIFS([1]raw_data!U:U,[1]raw_data!$A:$A,$B18)</f>
        <v>253.63545300000001</v>
      </c>
      <c r="Z18" s="7">
        <f>SUMIFS([1]raw_data!V:V,[1]raw_data!$A:$A,$B18)</f>
        <v>1.0985691573926799</v>
      </c>
      <c r="AA18" s="4">
        <f t="shared" si="0"/>
        <v>993.85079179999991</v>
      </c>
    </row>
    <row r="19" spans="1:27" x14ac:dyDescent="0.25">
      <c r="A19" s="35"/>
      <c r="B19" s="4" t="s">
        <v>228</v>
      </c>
      <c r="C19" s="4" t="s">
        <v>165</v>
      </c>
      <c r="D19" s="4" t="s">
        <v>229</v>
      </c>
      <c r="E19" s="4" t="s">
        <v>19</v>
      </c>
      <c r="F19" s="5">
        <f>IFERROR(INDEX([1]raw_data!B:B,MATCH(B19,[1]raw_data!A:A,0)),0)</f>
        <v>1482.8</v>
      </c>
      <c r="G19" s="6">
        <f>SUMIFS([1]raw_data!C:C,[1]raw_data!$A:$A,$B19)</f>
        <v>71.281595999999993</v>
      </c>
      <c r="H19" s="7">
        <f>SUMIFS([1]raw_data!D:D,[1]raw_data!$A:$A,$B19)</f>
        <v>0.258940397350993</v>
      </c>
      <c r="I19" s="6">
        <f>SUMIFS([1]raw_data!E:E,[1]raw_data!$A:$A,$B19)</f>
        <v>56.269154999999998</v>
      </c>
      <c r="J19" s="7">
        <f>SUMIFS([1]raw_data!F:F,[1]raw_data!$A:$A,$B19)</f>
        <v>0.24503311258278099</v>
      </c>
      <c r="K19" s="6">
        <f>SUMIFS([1]raw_data!G:G,[1]raw_data!$A:$A,$B19)</f>
        <v>135.21799100000001</v>
      </c>
      <c r="L19" s="7">
        <f>SUMIFS([1]raw_data!H:H,[1]raw_data!$A:$A,$B19)</f>
        <v>1.1892076502732201</v>
      </c>
      <c r="M19" s="6">
        <f>SUMIFS([1]raw_data!I:I,[1]raw_data!$A:$A,$B19)</f>
        <v>124.26727700000001</v>
      </c>
      <c r="N19" s="7">
        <f>SUMIFS([1]raw_data!J:J,[1]raw_data!$A:$A,$B19)</f>
        <v>1.1714480874316899</v>
      </c>
      <c r="O19" s="6">
        <f>SUMIFS([1]raw_data!K:K,[1]raw_data!$A:$A,$B19)</f>
        <v>72.161135999999999</v>
      </c>
      <c r="P19" s="7">
        <f>SUMIFS([1]raw_data!L:L,[1]raw_data!$A:$A,$B19)</f>
        <v>0.26279863481228599</v>
      </c>
      <c r="Q19" s="6">
        <f>SUMIFS([1]raw_data!M:M,[1]raw_data!$A:$A,$B19)</f>
        <v>22.318667999999999</v>
      </c>
      <c r="R19" s="7">
        <f>SUMIFS([1]raw_data!N:N,[1]raw_data!$A:$A,$B19)</f>
        <v>0.24163822525597201</v>
      </c>
      <c r="S19" s="6">
        <f>SUMIFS([1]raw_data!O:O,[1]raw_data!$A:$A,$B19)</f>
        <v>2299.9470879999999</v>
      </c>
      <c r="T19" s="7">
        <f>SUMIFS([1]raw_data!P:P,[1]raw_data!$A:$A,$B19)</f>
        <v>3.13096037609133</v>
      </c>
      <c r="U19" s="6">
        <f>SUMIFS([1]raw_data!Q:Q,[1]raw_data!$A:$A,$B19)</f>
        <v>340.18422800000002</v>
      </c>
      <c r="V19" s="7">
        <f>SUMIFS([1]raw_data!R:R,[1]raw_data!$A:$A,$B19)</f>
        <v>1.7891202149093299</v>
      </c>
      <c r="W19" s="6">
        <f>SUMIFS([1]raw_data!S:S,[1]raw_data!$A:$A,$B19)</f>
        <v>2198.5898929999998</v>
      </c>
      <c r="X19" s="7">
        <f>SUMIFS([1]raw_data!T:T,[1]raw_data!$A:$A,$B19)</f>
        <v>2.0323014804845201</v>
      </c>
      <c r="Y19" s="6">
        <f>SUMIFS([1]raw_data!U:U,[1]raw_data!$A:$A,$B19)</f>
        <v>93.903206999999995</v>
      </c>
      <c r="Z19" s="7">
        <f>SUMIFS([1]raw_data!V:V,[1]raw_data!$A:$A,$B19)</f>
        <v>0.92328398384925903</v>
      </c>
      <c r="AA19" s="4">
        <f t="shared" si="0"/>
        <v>955.43954080000003</v>
      </c>
    </row>
    <row r="20" spans="1:27" x14ac:dyDescent="0.25">
      <c r="A20" s="35"/>
      <c r="B20" s="4" t="s">
        <v>72</v>
      </c>
      <c r="C20" s="4" t="s">
        <v>29</v>
      </c>
      <c r="D20" s="4" t="s">
        <v>73</v>
      </c>
      <c r="E20" s="4" t="s">
        <v>31</v>
      </c>
      <c r="F20" s="5">
        <f>IFERROR(INDEX([1]raw_data!B:B,MATCH(B20,[1]raw_data!A:A,0)),0)</f>
        <v>281.375</v>
      </c>
      <c r="G20" s="6">
        <f>SUMIFS([1]raw_data!C:C,[1]raw_data!$A:$A,$B20)</f>
        <v>3211.011246</v>
      </c>
      <c r="H20" s="7">
        <f>SUMIFS([1]raw_data!D:D,[1]raw_data!$A:$A,$B20)</f>
        <v>1.53169014084507</v>
      </c>
      <c r="I20" s="6">
        <f>SUMIFS([1]raw_data!E:E,[1]raw_data!$A:$A,$B20)</f>
        <v>197.276186</v>
      </c>
      <c r="J20" s="7">
        <f>SUMIFS([1]raw_data!F:F,[1]raw_data!$A:$A,$B20)</f>
        <v>0.71126760563380198</v>
      </c>
      <c r="K20" s="6">
        <f>SUMIFS([1]raw_data!G:G,[1]raw_data!$A:$A,$B20)</f>
        <v>81.064815999999993</v>
      </c>
      <c r="L20" s="7">
        <f>SUMIFS([1]raw_data!H:H,[1]raw_data!$A:$A,$B20)</f>
        <v>0.43416370106761498</v>
      </c>
      <c r="M20" s="6">
        <f>SUMIFS([1]raw_data!I:I,[1]raw_data!$A:$A,$B20)</f>
        <v>81.064815999999993</v>
      </c>
      <c r="N20" s="7">
        <f>SUMIFS([1]raw_data!J:J,[1]raw_data!$A:$A,$B20)</f>
        <v>0.43416370106761498</v>
      </c>
      <c r="O20" s="6">
        <f>SUMIFS([1]raw_data!K:K,[1]raw_data!$A:$A,$B20)</f>
        <v>20.287009999999999</v>
      </c>
      <c r="P20" s="7">
        <f>SUMIFS([1]raw_data!L:L,[1]raw_data!$A:$A,$B20)</f>
        <v>8.5409252669039107E-2</v>
      </c>
      <c r="Q20" s="6">
        <f>SUMIFS([1]raw_data!M:M,[1]raw_data!$A:$A,$B20)</f>
        <v>9.3793589999999991</v>
      </c>
      <c r="R20" s="7">
        <f>SUMIFS([1]raw_data!N:N,[1]raw_data!$A:$A,$B20)</f>
        <v>8.1850533807829098E-2</v>
      </c>
      <c r="S20" s="6">
        <f>SUMIFS([1]raw_data!O:O,[1]raw_data!$A:$A,$B20)</f>
        <v>156.79398699999999</v>
      </c>
      <c r="T20" s="7">
        <f>SUMIFS([1]raw_data!P:P,[1]raw_data!$A:$A,$B20)</f>
        <v>1.1214285714285701</v>
      </c>
      <c r="U20" s="6">
        <f>SUMIFS([1]raw_data!Q:Q,[1]raw_data!$A:$A,$B20)</f>
        <v>156.51535699999999</v>
      </c>
      <c r="V20" s="7">
        <f>SUMIFS([1]raw_data!R:R,[1]raw_data!$A:$A,$B20)</f>
        <v>1.11785714285714</v>
      </c>
      <c r="W20" s="6">
        <f>SUMIFS([1]raw_data!S:S,[1]raw_data!$A:$A,$B20)</f>
        <v>1158.511964</v>
      </c>
      <c r="X20" s="7">
        <f>SUMIFS([1]raw_data!T:T,[1]raw_data!$A:$A,$B20)</f>
        <v>3.3107142857142802</v>
      </c>
      <c r="Y20" s="6">
        <f>SUMIFS([1]raw_data!U:U,[1]raw_data!$A:$A,$B20)</f>
        <v>1158.511964</v>
      </c>
      <c r="Z20" s="7">
        <f>SUMIFS([1]raw_data!V:V,[1]raw_data!$A:$A,$B20)</f>
        <v>3.3107142857142802</v>
      </c>
      <c r="AA20" s="4">
        <f t="shared" si="0"/>
        <v>925.53380460000005</v>
      </c>
    </row>
    <row r="21" spans="1:27" x14ac:dyDescent="0.25">
      <c r="A21" s="35"/>
      <c r="B21" s="4" t="s">
        <v>161</v>
      </c>
      <c r="C21" s="4" t="s">
        <v>162</v>
      </c>
      <c r="D21" s="4" t="s">
        <v>163</v>
      </c>
      <c r="E21" s="4" t="s">
        <v>76</v>
      </c>
      <c r="F21" s="5">
        <f>IFERROR(INDEX([1]raw_data!B:B,MATCH(B21,[1]raw_data!A:A,0)),0)</f>
        <v>490.6</v>
      </c>
      <c r="G21" s="6">
        <f>SUMIFS([1]raw_data!C:C,[1]raw_data!$A:$A,$B21)</f>
        <v>3646.735463</v>
      </c>
      <c r="H21" s="7">
        <f>SUMIFS([1]raw_data!D:D,[1]raw_data!$A:$A,$B21)</f>
        <v>2.1683569979716002</v>
      </c>
      <c r="I21" s="6">
        <f>SUMIFS([1]raw_data!E:E,[1]raw_data!$A:$A,$B21)</f>
        <v>256.82989300000003</v>
      </c>
      <c r="J21" s="7">
        <f>SUMIFS([1]raw_data!F:F,[1]raw_data!$A:$A,$B21)</f>
        <v>1.04868154158215</v>
      </c>
      <c r="K21" s="6">
        <f>SUMIFS([1]raw_data!G:G,[1]raw_data!$A:$A,$B21)</f>
        <v>191.02836099999999</v>
      </c>
      <c r="L21" s="7">
        <f>SUMIFS([1]raw_data!H:H,[1]raw_data!$A:$A,$B21)</f>
        <v>1.2020408163265299</v>
      </c>
      <c r="M21" s="6">
        <f>SUMIFS([1]raw_data!I:I,[1]raw_data!$A:$A,$B21)</f>
        <v>184.79260300000001</v>
      </c>
      <c r="N21" s="7">
        <f>SUMIFS([1]raw_data!J:J,[1]raw_data!$A:$A,$B21)</f>
        <v>1.19591836734693</v>
      </c>
      <c r="O21" s="6">
        <f>SUMIFS([1]raw_data!K:K,[1]raw_data!$A:$A,$B21)</f>
        <v>181.55433500000001</v>
      </c>
      <c r="P21" s="7">
        <f>SUMIFS([1]raw_data!L:L,[1]raw_data!$A:$A,$B21)</f>
        <v>0.203252032520325</v>
      </c>
      <c r="Q21" s="6">
        <f>SUMIFS([1]raw_data!M:M,[1]raw_data!$A:$A,$B21)</f>
        <v>9.4368560000000006</v>
      </c>
      <c r="R21" s="7">
        <f>SUMIFS([1]raw_data!N:N,[1]raw_data!$A:$A,$B21)</f>
        <v>0.17886178861788599</v>
      </c>
      <c r="S21" s="6">
        <f>SUMIFS([1]raw_data!O:O,[1]raw_data!$A:$A,$B21)</f>
        <v>463.89207099999999</v>
      </c>
      <c r="T21" s="7">
        <f>SUMIFS([1]raw_data!P:P,[1]raw_data!$A:$A,$B21)</f>
        <v>2.5506072874493899</v>
      </c>
      <c r="U21" s="6">
        <f>SUMIFS([1]raw_data!Q:Q,[1]raw_data!$A:$A,$B21)</f>
        <v>381.273954</v>
      </c>
      <c r="V21" s="7">
        <f>SUMIFS([1]raw_data!R:R,[1]raw_data!$A:$A,$B21)</f>
        <v>2.4757085020242902</v>
      </c>
      <c r="W21" s="6">
        <f>SUMIFS([1]raw_data!S:S,[1]raw_data!$A:$A,$B21)</f>
        <v>25.253889999999998</v>
      </c>
      <c r="X21" s="7">
        <f>SUMIFS([1]raw_data!T:T,[1]raw_data!$A:$A,$B21)</f>
        <v>8.0578512396694196E-2</v>
      </c>
      <c r="Y21" s="6">
        <f>SUMIFS([1]raw_data!U:U,[1]raw_data!$A:$A,$B21)</f>
        <v>6.6074719999999996</v>
      </c>
      <c r="Z21" s="7">
        <f>SUMIFS([1]raw_data!V:V,[1]raw_data!$A:$A,$B21)</f>
        <v>6.6115702479338803E-2</v>
      </c>
      <c r="AA21" s="4">
        <f t="shared" si="0"/>
        <v>901.69282399999997</v>
      </c>
    </row>
    <row r="22" spans="1:27" x14ac:dyDescent="0.25">
      <c r="A22" s="35"/>
      <c r="B22" s="4" t="s">
        <v>120</v>
      </c>
      <c r="C22" s="4" t="s">
        <v>63</v>
      </c>
      <c r="D22" s="4" t="s">
        <v>121</v>
      </c>
      <c r="E22" s="4" t="s">
        <v>65</v>
      </c>
      <c r="F22" s="5">
        <f>IFERROR(INDEX([1]raw_data!B:B,MATCH(B22,[1]raw_data!A:A,0)),0)</f>
        <v>635</v>
      </c>
      <c r="G22" s="6">
        <f>SUMIFS([1]raw_data!C:C,[1]raw_data!$A:$A,$B22)</f>
        <v>298.47822100000002</v>
      </c>
      <c r="H22" s="7">
        <f>SUMIFS([1]raw_data!D:D,[1]raw_data!$A:$A,$B22)</f>
        <v>1.49674267100977</v>
      </c>
      <c r="I22" s="6">
        <f>SUMIFS([1]raw_data!E:E,[1]raw_data!$A:$A,$B22)</f>
        <v>118.309612</v>
      </c>
      <c r="J22" s="7">
        <f>SUMIFS([1]raw_data!F:F,[1]raw_data!$A:$A,$B22)</f>
        <v>1.0602605863192101</v>
      </c>
      <c r="K22" s="6">
        <f>SUMIFS([1]raw_data!G:G,[1]raw_data!$A:$A,$B22)</f>
        <v>1902.4654909999999</v>
      </c>
      <c r="L22" s="7">
        <f>SUMIFS([1]raw_data!H:H,[1]raw_data!$A:$A,$B22)</f>
        <v>2.35313001605136</v>
      </c>
      <c r="M22" s="6">
        <f>SUMIFS([1]raw_data!I:I,[1]raw_data!$A:$A,$B22)</f>
        <v>196.85104100000001</v>
      </c>
      <c r="N22" s="7">
        <f>SUMIFS([1]raw_data!J:J,[1]raw_data!$A:$A,$B22)</f>
        <v>0.92616372391653201</v>
      </c>
      <c r="O22" s="6">
        <f>SUMIFS([1]raw_data!K:K,[1]raw_data!$A:$A,$B22)</f>
        <v>105.180319</v>
      </c>
      <c r="P22" s="7">
        <f>SUMIFS([1]raw_data!L:L,[1]raw_data!$A:$A,$B22)</f>
        <v>0.24</v>
      </c>
      <c r="Q22" s="6">
        <f>SUMIFS([1]raw_data!M:M,[1]raw_data!$A:$A,$B22)</f>
        <v>51.547412999999999</v>
      </c>
      <c r="R22" s="7">
        <f>SUMIFS([1]raw_data!N:N,[1]raw_data!$A:$A,$B22)</f>
        <v>0.2</v>
      </c>
      <c r="S22" s="6">
        <f>SUMIFS([1]raw_data!O:O,[1]raw_data!$A:$A,$B22)</f>
        <v>1581.6804520000001</v>
      </c>
      <c r="T22" s="7">
        <f>SUMIFS([1]raw_data!P:P,[1]raw_data!$A:$A,$B22)</f>
        <v>1.94240837696335</v>
      </c>
      <c r="U22" s="6">
        <f>SUMIFS([1]raw_data!Q:Q,[1]raw_data!$A:$A,$B22)</f>
        <v>262.40267499999999</v>
      </c>
      <c r="V22" s="7">
        <f>SUMIFS([1]raw_data!R:R,[1]raw_data!$A:$A,$B22)</f>
        <v>1.59511343804537</v>
      </c>
      <c r="W22" s="6">
        <f>SUMIFS([1]raw_data!S:S,[1]raw_data!$A:$A,$B22)</f>
        <v>540.64734099999998</v>
      </c>
      <c r="X22" s="7">
        <f>SUMIFS([1]raw_data!T:T,[1]raw_data!$A:$A,$B22)</f>
        <v>2.2229729729729701</v>
      </c>
      <c r="Y22" s="6">
        <f>SUMIFS([1]raw_data!U:U,[1]raw_data!$A:$A,$B22)</f>
        <v>497.15256699999998</v>
      </c>
      <c r="Z22" s="7">
        <f>SUMIFS([1]raw_data!V:V,[1]raw_data!$A:$A,$B22)</f>
        <v>1.7905405405405399</v>
      </c>
      <c r="AA22" s="4">
        <f t="shared" si="0"/>
        <v>885.6903648</v>
      </c>
    </row>
    <row r="23" spans="1:27" x14ac:dyDescent="0.25">
      <c r="A23" s="35"/>
      <c r="B23" s="4" t="s">
        <v>394</v>
      </c>
      <c r="C23" s="4" t="s">
        <v>395</v>
      </c>
      <c r="D23" s="4" t="s">
        <v>396</v>
      </c>
      <c r="E23" s="4" t="s">
        <v>31</v>
      </c>
      <c r="F23" s="5">
        <f>IFERROR(INDEX([1]raw_data!B:B,MATCH(B23,[1]raw_data!A:A,0)),0)</f>
        <v>1665.4</v>
      </c>
      <c r="G23" s="6">
        <f>SUMIFS([1]raw_data!C:C,[1]raw_data!$A:$A,$B23)</f>
        <v>3957.1273930000002</v>
      </c>
      <c r="H23" s="7">
        <f>SUMIFS([1]raw_data!D:D,[1]raw_data!$A:$A,$B23)</f>
        <v>2.79638752052545</v>
      </c>
      <c r="I23" s="6">
        <f>SUMIFS([1]raw_data!E:E,[1]raw_data!$A:$A,$B23)</f>
        <v>183.21883399999999</v>
      </c>
      <c r="J23" s="7">
        <f>SUMIFS([1]raw_data!F:F,[1]raw_data!$A:$A,$B23)</f>
        <v>1.4822112753147201</v>
      </c>
      <c r="K23" s="6">
        <f>SUMIFS([1]raw_data!G:G,[1]raw_data!$A:$A,$B23)</f>
        <v>210.718771</v>
      </c>
      <c r="L23" s="7">
        <f>SUMIFS([1]raw_data!H:H,[1]raw_data!$A:$A,$B23)</f>
        <v>0.476780185758513</v>
      </c>
      <c r="M23" s="6">
        <f>SUMIFS([1]raw_data!I:I,[1]raw_data!$A:$A,$B23)</f>
        <v>21.000278999999999</v>
      </c>
      <c r="N23" s="7">
        <f>SUMIFS([1]raw_data!J:J,[1]raw_data!$A:$A,$B23)</f>
        <v>0.18988648090815199</v>
      </c>
      <c r="O23" s="6">
        <f>SUMIFS([1]raw_data!K:K,[1]raw_data!$A:$A,$B23)</f>
        <v>58.141278999999997</v>
      </c>
      <c r="P23" s="7">
        <f>SUMIFS([1]raw_data!L:L,[1]raw_data!$A:$A,$B23)</f>
        <v>1.00646678424456</v>
      </c>
      <c r="Q23" s="6">
        <f>SUMIFS([1]raw_data!M:M,[1]raw_data!$A:$A,$B23)</f>
        <v>42.457318999999998</v>
      </c>
      <c r="R23" s="7">
        <f>SUMIFS([1]raw_data!N:N,[1]raw_data!$A:$A,$B23)</f>
        <v>0.92475014697236901</v>
      </c>
      <c r="S23" s="6">
        <f>SUMIFS([1]raw_data!O:O,[1]raw_data!$A:$A,$B23)</f>
        <v>15.954567000000001</v>
      </c>
      <c r="T23" s="7">
        <f>SUMIFS([1]raw_data!P:P,[1]raw_data!$A:$A,$B23)</f>
        <v>0.116152450090744</v>
      </c>
      <c r="U23" s="6">
        <f>SUMIFS([1]raw_data!Q:Q,[1]raw_data!$A:$A,$B23)</f>
        <v>7.714912</v>
      </c>
      <c r="V23" s="7">
        <f>SUMIFS([1]raw_data!R:R,[1]raw_data!$A:$A,$B23)</f>
        <v>9.9818511796733206E-2</v>
      </c>
      <c r="W23" s="6">
        <f>SUMIFS([1]raw_data!S:S,[1]raw_data!$A:$A,$B23)</f>
        <v>35.988684999999997</v>
      </c>
      <c r="X23" s="7">
        <f>SUMIFS([1]raw_data!T:T,[1]raw_data!$A:$A,$B23)</f>
        <v>0.40079590676520699</v>
      </c>
      <c r="Y23" s="6">
        <f>SUMIFS([1]raw_data!U:U,[1]raw_data!$A:$A,$B23)</f>
        <v>34.664695000000002</v>
      </c>
      <c r="Z23" s="7">
        <f>SUMIFS([1]raw_data!V:V,[1]raw_data!$A:$A,$B23)</f>
        <v>0.39340534394542298</v>
      </c>
      <c r="AA23" s="4">
        <f t="shared" si="0"/>
        <v>855.58613900000023</v>
      </c>
    </row>
    <row r="24" spans="1:27" x14ac:dyDescent="0.25">
      <c r="A24" s="35"/>
      <c r="B24" s="4" t="s">
        <v>310</v>
      </c>
      <c r="C24" s="4" t="s">
        <v>311</v>
      </c>
      <c r="D24" s="4" t="s">
        <v>312</v>
      </c>
      <c r="E24" s="4" t="s">
        <v>19</v>
      </c>
      <c r="F24" s="5">
        <f>IFERROR(INDEX([1]raw_data!B:B,MATCH(B24,[1]raw_data!A:A,0)),0)</f>
        <v>3001.7777769999998</v>
      </c>
      <c r="G24" s="6">
        <f>SUMIFS([1]raw_data!C:C,[1]raw_data!$A:$A,$B24)</f>
        <v>59.119782000000001</v>
      </c>
      <c r="H24" s="7">
        <f>SUMIFS([1]raw_data!D:D,[1]raw_data!$A:$A,$B24)</f>
        <v>0.540252827677977</v>
      </c>
      <c r="I24" s="6">
        <f>SUMIFS([1]raw_data!E:E,[1]raw_data!$A:$A,$B24)</f>
        <v>59.119782000000001</v>
      </c>
      <c r="J24" s="7">
        <f>SUMIFS([1]raw_data!F:F,[1]raw_data!$A:$A,$B24)</f>
        <v>0.540252827677977</v>
      </c>
      <c r="K24" s="6">
        <f>SUMIFS([1]raw_data!G:G,[1]raw_data!$A:$A,$B24)</f>
        <v>104.945424</v>
      </c>
      <c r="L24" s="7">
        <f>SUMIFS([1]raw_data!H:H,[1]raw_data!$A:$A,$B24)</f>
        <v>0.30878938640132603</v>
      </c>
      <c r="M24" s="6">
        <f>SUMIFS([1]raw_data!I:I,[1]raw_data!$A:$A,$B24)</f>
        <v>23.114746</v>
      </c>
      <c r="N24" s="7">
        <f>SUMIFS([1]raw_data!J:J,[1]raw_data!$A:$A,$B24)</f>
        <v>0.118407960199004</v>
      </c>
      <c r="O24" s="6">
        <f>SUMIFS([1]raw_data!K:K,[1]raw_data!$A:$A,$B24)</f>
        <v>474.85866399999998</v>
      </c>
      <c r="P24" s="7">
        <f>SUMIFS([1]raw_data!L:L,[1]raw_data!$A:$A,$B24)</f>
        <v>1.24850696748506</v>
      </c>
      <c r="Q24" s="6">
        <f>SUMIFS([1]raw_data!M:M,[1]raw_data!$A:$A,$B24)</f>
        <v>74.968153999999998</v>
      </c>
      <c r="R24" s="7">
        <f>SUMIFS([1]raw_data!N:N,[1]raw_data!$A:$A,$B24)</f>
        <v>0.77272727272727204</v>
      </c>
      <c r="S24" s="6">
        <f>SUMIFS([1]raw_data!O:O,[1]raw_data!$A:$A,$B24)</f>
        <v>229.433288</v>
      </c>
      <c r="T24" s="7">
        <f>SUMIFS([1]raw_data!P:P,[1]raw_data!$A:$A,$B24)</f>
        <v>1.5482907401261199</v>
      </c>
      <c r="U24" s="6">
        <f>SUMIFS([1]raw_data!Q:Q,[1]raw_data!$A:$A,$B24)</f>
        <v>147.40764999999999</v>
      </c>
      <c r="V24" s="7">
        <f>SUMIFS([1]raw_data!R:R,[1]raw_data!$A:$A,$B24)</f>
        <v>0.95917690009956802</v>
      </c>
      <c r="W24" s="6">
        <f>SUMIFS([1]raw_data!S:S,[1]raw_data!$A:$A,$B24)</f>
        <v>3408.5227129999998</v>
      </c>
      <c r="X24" s="7">
        <f>SUMIFS([1]raw_data!T:T,[1]raw_data!$A:$A,$B24)</f>
        <v>2.2598717516031002</v>
      </c>
      <c r="Y24" s="6">
        <f>SUMIFS([1]raw_data!U:U,[1]raw_data!$A:$A,$B24)</f>
        <v>147.12523899999999</v>
      </c>
      <c r="Z24" s="7">
        <f>SUMIFS([1]raw_data!V:V,[1]raw_data!$A:$A,$B24)</f>
        <v>0.593992575092811</v>
      </c>
      <c r="AA24" s="4">
        <f t="shared" si="0"/>
        <v>855.37597419999997</v>
      </c>
    </row>
    <row r="25" spans="1:27" x14ac:dyDescent="0.25">
      <c r="A25" s="35"/>
      <c r="B25" s="4" t="s">
        <v>56</v>
      </c>
      <c r="C25" s="4" t="s">
        <v>57</v>
      </c>
      <c r="D25" s="4" t="s">
        <v>58</v>
      </c>
      <c r="E25" s="4" t="s">
        <v>19</v>
      </c>
      <c r="F25" s="5">
        <f>IFERROR(INDEX([1]raw_data!B:B,MATCH(B25,[1]raw_data!A:A,0)),0)</f>
        <v>26.571428000000001</v>
      </c>
      <c r="G25" s="6">
        <f>SUMIFS([1]raw_data!C:C,[1]raw_data!$A:$A,$B25)</f>
        <v>28.890062</v>
      </c>
      <c r="H25" s="7">
        <f>SUMIFS([1]raw_data!D:D,[1]raw_data!$A:$A,$B25)</f>
        <v>0.12903225806451599</v>
      </c>
      <c r="I25" s="6">
        <f>SUMIFS([1]raw_data!E:E,[1]raw_data!$A:$A,$B25)</f>
        <v>28.890062</v>
      </c>
      <c r="J25" s="7">
        <f>SUMIFS([1]raw_data!F:F,[1]raw_data!$A:$A,$B25)</f>
        <v>0.12903225806451599</v>
      </c>
      <c r="K25" s="6">
        <f>SUMIFS([1]raw_data!G:G,[1]raw_data!$A:$A,$B25)</f>
        <v>169.45605900000001</v>
      </c>
      <c r="L25" s="7">
        <f>SUMIFS([1]raw_data!H:H,[1]raw_data!$A:$A,$B25)</f>
        <v>1.0967741935483799</v>
      </c>
      <c r="M25" s="6">
        <f>SUMIFS([1]raw_data!I:I,[1]raw_data!$A:$A,$B25)</f>
        <v>169.45605900000001</v>
      </c>
      <c r="N25" s="7">
        <f>SUMIFS([1]raw_data!J:J,[1]raw_data!$A:$A,$B25)</f>
        <v>1.0967741935483799</v>
      </c>
      <c r="O25" s="6">
        <f>SUMIFS([1]raw_data!K:K,[1]raw_data!$A:$A,$B25)</f>
        <v>774.29623600000002</v>
      </c>
      <c r="P25" s="7">
        <f>SUMIFS([1]raw_data!L:L,[1]raw_data!$A:$A,$B25)</f>
        <v>0.38709677419354799</v>
      </c>
      <c r="Q25" s="6">
        <f>SUMIFS([1]raw_data!M:M,[1]raw_data!$A:$A,$B25)</f>
        <v>226.41881699999999</v>
      </c>
      <c r="R25" s="7">
        <f>SUMIFS([1]raw_data!N:N,[1]raw_data!$A:$A,$B25)</f>
        <v>0.25806451612903197</v>
      </c>
      <c r="S25" s="6">
        <f>SUMIFS([1]raw_data!O:O,[1]raw_data!$A:$A,$B25)</f>
        <v>95.686666000000002</v>
      </c>
      <c r="T25" s="7">
        <f>SUMIFS([1]raw_data!P:P,[1]raw_data!$A:$A,$B25)</f>
        <v>1.1000000000000001</v>
      </c>
      <c r="U25" s="6">
        <f>SUMIFS([1]raw_data!Q:Q,[1]raw_data!$A:$A,$B25)</f>
        <v>95.686666000000002</v>
      </c>
      <c r="V25" s="7">
        <f>SUMIFS([1]raw_data!R:R,[1]raw_data!$A:$A,$B25)</f>
        <v>1.1000000000000001</v>
      </c>
      <c r="W25" s="6">
        <f>SUMIFS([1]raw_data!S:S,[1]raw_data!$A:$A,$B25)</f>
        <v>3096.9843740000001</v>
      </c>
      <c r="X25" s="7">
        <f>SUMIFS([1]raw_data!T:T,[1]raw_data!$A:$A,$B25)</f>
        <v>4.625</v>
      </c>
      <c r="Y25" s="6">
        <f>SUMIFS([1]raw_data!U:U,[1]raw_data!$A:$A,$B25)</f>
        <v>1302.8072910000001</v>
      </c>
      <c r="Z25" s="7">
        <f>SUMIFS([1]raw_data!V:V,[1]raw_data!$A:$A,$B25)</f>
        <v>3.5625</v>
      </c>
      <c r="AA25" s="4">
        <f t="shared" si="0"/>
        <v>833.06267939999998</v>
      </c>
    </row>
    <row r="26" spans="1:27" x14ac:dyDescent="0.25">
      <c r="A26" s="35"/>
      <c r="B26" s="4" t="s">
        <v>12</v>
      </c>
      <c r="C26" s="4" t="s">
        <v>13</v>
      </c>
      <c r="D26" s="4" t="s">
        <v>14</v>
      </c>
      <c r="E26" s="4" t="s">
        <v>15</v>
      </c>
      <c r="F26" s="5">
        <f>IFERROR(INDEX([1]raw_data!B:B,MATCH(B26,[1]raw_data!A:A,0)),0)</f>
        <v>938.5</v>
      </c>
      <c r="G26" s="6">
        <f>SUMIFS([1]raw_data!C:C,[1]raw_data!$A:$A,$B26)</f>
        <v>36.783123000000003</v>
      </c>
      <c r="H26" s="7">
        <f>SUMIFS([1]raw_data!D:D,[1]raw_data!$A:$A,$B26)</f>
        <v>0.187113857016769</v>
      </c>
      <c r="I26" s="6">
        <f>SUMIFS([1]raw_data!E:E,[1]raw_data!$A:$A,$B26)</f>
        <v>36.783123000000003</v>
      </c>
      <c r="J26" s="7">
        <f>SUMIFS([1]raw_data!F:F,[1]raw_data!$A:$A,$B26)</f>
        <v>0.187113857016769</v>
      </c>
      <c r="K26" s="6">
        <f>SUMIFS([1]raw_data!G:G,[1]raw_data!$A:$A,$B26)</f>
        <v>355.562141</v>
      </c>
      <c r="L26" s="7">
        <f>SUMIFS([1]raw_data!H:H,[1]raw_data!$A:$A,$B26)</f>
        <v>1.1356957649092401</v>
      </c>
      <c r="M26" s="6">
        <f>SUMIFS([1]raw_data!I:I,[1]raw_data!$A:$A,$B26)</f>
        <v>338.43867</v>
      </c>
      <c r="N26" s="7">
        <f>SUMIFS([1]raw_data!J:J,[1]raw_data!$A:$A,$B26)</f>
        <v>1.12791702679343</v>
      </c>
      <c r="O26" s="6">
        <f>SUMIFS([1]raw_data!K:K,[1]raw_data!$A:$A,$B26)</f>
        <v>283.72983900000003</v>
      </c>
      <c r="P26" s="7">
        <f>SUMIFS([1]raw_data!L:L,[1]raw_data!$A:$A,$B26)</f>
        <v>0.18836565096952901</v>
      </c>
      <c r="Q26" s="6">
        <f>SUMIFS([1]raw_data!M:M,[1]raw_data!$A:$A,$B26)</f>
        <v>34.433995000000003</v>
      </c>
      <c r="R26" s="7">
        <f>SUMIFS([1]raw_data!N:N,[1]raw_data!$A:$A,$B26)</f>
        <v>9.3259464450600099E-2</v>
      </c>
      <c r="S26" s="6">
        <f>SUMIFS([1]raw_data!O:O,[1]raw_data!$A:$A,$B26)</f>
        <v>88.714450999999997</v>
      </c>
      <c r="T26" s="7">
        <f>SUMIFS([1]raw_data!P:P,[1]raw_data!$A:$A,$B26)</f>
        <v>0.21058558558558499</v>
      </c>
      <c r="U26" s="6">
        <f>SUMIFS([1]raw_data!Q:Q,[1]raw_data!$A:$A,$B26)</f>
        <v>70.178622000000004</v>
      </c>
      <c r="V26" s="7">
        <f>SUMIFS([1]raw_data!R:R,[1]raw_data!$A:$A,$B26)</f>
        <v>0.20270270270270199</v>
      </c>
      <c r="W26" s="6">
        <f>SUMIFS([1]raw_data!S:S,[1]raw_data!$A:$A,$B26)</f>
        <v>2912.5</v>
      </c>
      <c r="X26" s="7">
        <f>SUMIFS([1]raw_data!T:T,[1]raw_data!$A:$A,$B26)</f>
        <v>10</v>
      </c>
      <c r="Y26" s="6">
        <f>SUMIFS([1]raw_data!U:U,[1]raw_data!$A:$A,$B26)</f>
        <v>2912.5</v>
      </c>
      <c r="Z26" s="7">
        <f>SUMIFS([1]raw_data!V:V,[1]raw_data!$A:$A,$B26)</f>
        <v>10</v>
      </c>
      <c r="AA26" s="4">
        <f t="shared" si="0"/>
        <v>735.45791080000004</v>
      </c>
    </row>
    <row r="27" spans="1:27" x14ac:dyDescent="0.25">
      <c r="A27" s="35"/>
      <c r="B27" s="4" t="s">
        <v>77</v>
      </c>
      <c r="C27" s="4" t="s">
        <v>78</v>
      </c>
      <c r="D27" s="4" t="s">
        <v>79</v>
      </c>
      <c r="E27" s="4" t="s">
        <v>15</v>
      </c>
      <c r="F27" s="5">
        <f>IFERROR(INDEX([1]raw_data!B:B,MATCH(B27,[1]raw_data!A:A,0)),0)</f>
        <v>1598.8</v>
      </c>
      <c r="G27" s="6">
        <f>SUMIFS([1]raw_data!C:C,[1]raw_data!$A:$A,$B27)</f>
        <v>754.12926500000003</v>
      </c>
      <c r="H27" s="7">
        <f>SUMIFS([1]raw_data!D:D,[1]raw_data!$A:$A,$B27)</f>
        <v>2.3661504424778701</v>
      </c>
      <c r="I27" s="6">
        <f>SUMIFS([1]raw_data!E:E,[1]raw_data!$A:$A,$B27)</f>
        <v>29.527079000000001</v>
      </c>
      <c r="J27" s="7">
        <f>SUMIFS([1]raw_data!F:F,[1]raw_data!$A:$A,$B27)</f>
        <v>0.11504424778760999</v>
      </c>
      <c r="K27" s="6">
        <f>SUMIFS([1]raw_data!G:G,[1]raw_data!$A:$A,$B27)</f>
        <v>1408.641292</v>
      </c>
      <c r="L27" s="7">
        <f>SUMIFS([1]raw_data!H:H,[1]raw_data!$A:$A,$B27)</f>
        <v>3.57821229050279</v>
      </c>
      <c r="M27" s="6">
        <f>SUMIFS([1]raw_data!I:I,[1]raw_data!$A:$A,$B27)</f>
        <v>645.20146799999998</v>
      </c>
      <c r="N27" s="7">
        <f>SUMIFS([1]raw_data!J:J,[1]raw_data!$A:$A,$B27)</f>
        <v>3.1011173184357501</v>
      </c>
      <c r="O27" s="6">
        <f>SUMIFS([1]raw_data!K:K,[1]raw_data!$A:$A,$B27)</f>
        <v>1151.5359699999999</v>
      </c>
      <c r="P27" s="7">
        <f>SUMIFS([1]raw_data!L:L,[1]raw_data!$A:$A,$B27)</f>
        <v>3.1907158836688998</v>
      </c>
      <c r="Q27" s="6">
        <f>SUMIFS([1]raw_data!M:M,[1]raw_data!$A:$A,$B27)</f>
        <v>574.44378200000006</v>
      </c>
      <c r="R27" s="7">
        <f>SUMIFS([1]raw_data!N:N,[1]raw_data!$A:$A,$B27)</f>
        <v>2.3836689038031298</v>
      </c>
      <c r="S27" s="6">
        <f>SUMIFS([1]raw_data!O:O,[1]raw_data!$A:$A,$B27)</f>
        <v>225.948577</v>
      </c>
      <c r="T27" s="7">
        <f>SUMIFS([1]raw_data!P:P,[1]raw_data!$A:$A,$B27)</f>
        <v>0.81412429378531004</v>
      </c>
      <c r="U27" s="6">
        <f>SUMIFS([1]raw_data!Q:Q,[1]raw_data!$A:$A,$B27)</f>
        <v>176.40363400000001</v>
      </c>
      <c r="V27" s="7">
        <f>SUMIFS([1]raw_data!R:R,[1]raw_data!$A:$A,$B27)</f>
        <v>0.78248587570621397</v>
      </c>
      <c r="W27" s="6">
        <f>SUMIFS([1]raw_data!S:S,[1]raw_data!$A:$A,$B27)</f>
        <v>121.857586</v>
      </c>
      <c r="X27" s="7">
        <f>SUMIFS([1]raw_data!T:T,[1]raw_data!$A:$A,$B27)</f>
        <v>0.76636050516647503</v>
      </c>
      <c r="Y27" s="6">
        <f>SUMIFS([1]raw_data!U:U,[1]raw_data!$A:$A,$B27)</f>
        <v>75.233408999999995</v>
      </c>
      <c r="Z27" s="7">
        <f>SUMIFS([1]raw_data!V:V,[1]raw_data!$A:$A,$B27)</f>
        <v>0.70264064293914996</v>
      </c>
      <c r="AA27" s="4">
        <f t="shared" si="0"/>
        <v>732.42253800000003</v>
      </c>
    </row>
    <row r="28" spans="1:27" x14ac:dyDescent="0.25">
      <c r="A28" s="35"/>
      <c r="B28" s="4" t="s">
        <v>122</v>
      </c>
      <c r="C28" s="4" t="s">
        <v>123</v>
      </c>
      <c r="D28" s="4" t="s">
        <v>124</v>
      </c>
      <c r="E28" s="4" t="s">
        <v>19</v>
      </c>
      <c r="F28" s="5">
        <f>IFERROR(INDEX([1]raw_data!B:B,MATCH(B28,[1]raw_data!A:A,0)),0)</f>
        <v>686.33333300000004</v>
      </c>
      <c r="G28" s="6">
        <f>SUMIFS([1]raw_data!C:C,[1]raw_data!$A:$A,$B28)</f>
        <v>371.61434600000001</v>
      </c>
      <c r="H28" s="7">
        <f>SUMIFS([1]raw_data!D:D,[1]raw_data!$A:$A,$B28)</f>
        <v>2.5716486902927498</v>
      </c>
      <c r="I28" s="6">
        <f>SUMIFS([1]raw_data!E:E,[1]raw_data!$A:$A,$B28)</f>
        <v>371.51650799999999</v>
      </c>
      <c r="J28" s="7">
        <f>SUMIFS([1]raw_data!F:F,[1]raw_data!$A:$A,$B28)</f>
        <v>2.5701078582434498</v>
      </c>
      <c r="K28" s="6">
        <f>SUMIFS([1]raw_data!G:G,[1]raw_data!$A:$A,$B28)</f>
        <v>432.03947399999998</v>
      </c>
      <c r="L28" s="7">
        <f>SUMIFS([1]raw_data!H:H,[1]raw_data!$A:$A,$B28)</f>
        <v>6.3387358184764899</v>
      </c>
      <c r="M28" s="6">
        <f>SUMIFS([1]raw_data!I:I,[1]raw_data!$A:$A,$B28)</f>
        <v>432.03947399999998</v>
      </c>
      <c r="N28" s="7">
        <f>SUMIFS([1]raw_data!J:J,[1]raw_data!$A:$A,$B28)</f>
        <v>6.3387358184764899</v>
      </c>
      <c r="O28" s="6">
        <f>SUMIFS([1]raw_data!K:K,[1]raw_data!$A:$A,$B28)</f>
        <v>1454.5516009999999</v>
      </c>
      <c r="P28" s="7">
        <f>SUMIFS([1]raw_data!L:L,[1]raw_data!$A:$A,$B28)</f>
        <v>2.7133550488599298</v>
      </c>
      <c r="Q28" s="6">
        <f>SUMIFS([1]raw_data!M:M,[1]raw_data!$A:$A,$B28)</f>
        <v>144.52451099999999</v>
      </c>
      <c r="R28" s="7">
        <f>SUMIFS([1]raw_data!N:N,[1]raw_data!$A:$A,$B28)</f>
        <v>1.4185667752442901</v>
      </c>
      <c r="S28" s="6">
        <f>SUMIFS([1]raw_data!O:O,[1]raw_data!$A:$A,$B28)</f>
        <v>771.49030500000003</v>
      </c>
      <c r="T28" s="7">
        <f>SUMIFS([1]raw_data!P:P,[1]raw_data!$A:$A,$B28)</f>
        <v>2.7517433751743301</v>
      </c>
      <c r="U28" s="6">
        <f>SUMIFS([1]raw_data!Q:Q,[1]raw_data!$A:$A,$B28)</f>
        <v>169.23026400000001</v>
      </c>
      <c r="V28" s="7">
        <f>SUMIFS([1]raw_data!R:R,[1]raw_data!$A:$A,$B28)</f>
        <v>1.60669456066945</v>
      </c>
      <c r="W28" s="6">
        <f>SUMIFS([1]raw_data!S:S,[1]raw_data!$A:$A,$B28)</f>
        <v>526.32085300000006</v>
      </c>
      <c r="X28" s="7">
        <f>SUMIFS([1]raw_data!T:T,[1]raw_data!$A:$A,$B28)</f>
        <v>0.67125000000000001</v>
      </c>
      <c r="Y28" s="6">
        <f>SUMIFS([1]raw_data!U:U,[1]raw_data!$A:$A,$B28)</f>
        <v>8.8938120000000005</v>
      </c>
      <c r="Z28" s="7">
        <f>SUMIFS([1]raw_data!V:V,[1]raw_data!$A:$A,$B28)</f>
        <v>5.3749999999999999E-2</v>
      </c>
      <c r="AA28" s="4">
        <f t="shared" si="0"/>
        <v>711.20331580000004</v>
      </c>
    </row>
    <row r="29" spans="1:27" x14ac:dyDescent="0.25">
      <c r="A29" s="35"/>
      <c r="B29" s="4" t="s">
        <v>266</v>
      </c>
      <c r="C29" s="4" t="s">
        <v>169</v>
      </c>
      <c r="D29" s="4" t="s">
        <v>267</v>
      </c>
      <c r="E29" s="4" t="s">
        <v>23</v>
      </c>
      <c r="F29" s="5">
        <f>IFERROR(INDEX([1]raw_data!B:B,MATCH(B29,[1]raw_data!A:A,0)),0)</f>
        <v>1312.2</v>
      </c>
      <c r="G29" s="6">
        <f>SUMIFS([1]raw_data!C:C,[1]raw_data!$A:$A,$B29)</f>
        <v>1833.25766</v>
      </c>
      <c r="H29" s="7">
        <f>SUMIFS([1]raw_data!D:D,[1]raw_data!$A:$A,$B29)</f>
        <v>0.88261851015801296</v>
      </c>
      <c r="I29" s="6">
        <f>SUMIFS([1]raw_data!E:E,[1]raw_data!$A:$A,$B29)</f>
        <v>8.2182619999999993</v>
      </c>
      <c r="J29" s="7">
        <f>SUMIFS([1]raw_data!F:F,[1]raw_data!$A:$A,$B29)</f>
        <v>5.1166290443942802E-2</v>
      </c>
      <c r="K29" s="6">
        <f>SUMIFS([1]raw_data!G:G,[1]raw_data!$A:$A,$B29)</f>
        <v>69.848995000000002</v>
      </c>
      <c r="L29" s="7">
        <f>SUMIFS([1]raw_data!H:H,[1]raw_data!$A:$A,$B29)</f>
        <v>0.21872659176029899</v>
      </c>
      <c r="M29" s="6">
        <f>SUMIFS([1]raw_data!I:I,[1]raw_data!$A:$A,$B29)</f>
        <v>46.858854999999998</v>
      </c>
      <c r="N29" s="7">
        <f>SUMIFS([1]raw_data!J:J,[1]raw_data!$A:$A,$B29)</f>
        <v>0.21048689138576701</v>
      </c>
      <c r="O29" s="6">
        <f>SUMIFS([1]raw_data!K:K,[1]raw_data!$A:$A,$B29)</f>
        <v>980.29363899999998</v>
      </c>
      <c r="P29" s="7">
        <f>SUMIFS([1]raw_data!L:L,[1]raw_data!$A:$A,$B29)</f>
        <v>1.5487256371814</v>
      </c>
      <c r="Q29" s="6">
        <f>SUMIFS([1]raw_data!M:M,[1]raw_data!$A:$A,$B29)</f>
        <v>45.556421</v>
      </c>
      <c r="R29" s="7">
        <f>SUMIFS([1]raw_data!N:N,[1]raw_data!$A:$A,$B29)</f>
        <v>0.37031484257871</v>
      </c>
      <c r="S29" s="6">
        <f>SUMIFS([1]raw_data!O:O,[1]raw_data!$A:$A,$B29)</f>
        <v>365.89860099999999</v>
      </c>
      <c r="T29" s="7">
        <f>SUMIFS([1]raw_data!P:P,[1]raw_data!$A:$A,$B29)</f>
        <v>2.2677345537757398</v>
      </c>
      <c r="U29" s="6">
        <f>SUMIFS([1]raw_data!Q:Q,[1]raw_data!$A:$A,$B29)</f>
        <v>339.01078000000001</v>
      </c>
      <c r="V29" s="7">
        <f>SUMIFS([1]raw_data!R:R,[1]raw_data!$A:$A,$B29)</f>
        <v>2.2044241037375998</v>
      </c>
      <c r="W29" s="6">
        <f>SUMIFS([1]raw_data!S:S,[1]raw_data!$A:$A,$B29)</f>
        <v>165.419274</v>
      </c>
      <c r="X29" s="7">
        <f>SUMIFS([1]raw_data!T:T,[1]raw_data!$A:$A,$B29)</f>
        <v>0.73801916932907297</v>
      </c>
      <c r="Y29" s="6">
        <f>SUMIFS([1]raw_data!U:U,[1]raw_data!$A:$A,$B29)</f>
        <v>85.247563</v>
      </c>
      <c r="Z29" s="7">
        <f>SUMIFS([1]raw_data!V:V,[1]raw_data!$A:$A,$B29)</f>
        <v>0.68370607028753905</v>
      </c>
      <c r="AA29" s="4">
        <f t="shared" si="0"/>
        <v>682.94363379999993</v>
      </c>
    </row>
    <row r="30" spans="1:27" x14ac:dyDescent="0.25">
      <c r="A30" s="35"/>
      <c r="B30" s="4" t="s">
        <v>111</v>
      </c>
      <c r="C30" s="4" t="s">
        <v>112</v>
      </c>
      <c r="D30" s="4" t="s">
        <v>113</v>
      </c>
      <c r="E30" s="4" t="s">
        <v>23</v>
      </c>
      <c r="F30" s="5">
        <f>IFERROR(INDEX([1]raw_data!B:B,MATCH(B30,[1]raw_data!A:A,0)),0)</f>
        <v>1071.2222220000001</v>
      </c>
      <c r="G30" s="6">
        <f>SUMIFS([1]raw_data!C:C,[1]raw_data!$A:$A,$B30)</f>
        <v>1232.94319</v>
      </c>
      <c r="H30" s="7">
        <f>SUMIFS([1]raw_data!D:D,[1]raw_data!$A:$A,$B30)</f>
        <v>1.3531073446327599</v>
      </c>
      <c r="I30" s="6">
        <f>SUMIFS([1]raw_data!E:E,[1]raw_data!$A:$A,$B30)</f>
        <v>225.470091</v>
      </c>
      <c r="J30" s="7">
        <f>SUMIFS([1]raw_data!F:F,[1]raw_data!$A:$A,$B30)</f>
        <v>0.96327683615819204</v>
      </c>
      <c r="K30" s="6">
        <f>SUMIFS([1]raw_data!G:G,[1]raw_data!$A:$A,$B30)</f>
        <v>187.56984700000001</v>
      </c>
      <c r="L30" s="7">
        <f>SUMIFS([1]raw_data!H:H,[1]raw_data!$A:$A,$B30)</f>
        <v>0.70774976657329502</v>
      </c>
      <c r="M30" s="6">
        <f>SUMIFS([1]raw_data!I:I,[1]raw_data!$A:$A,$B30)</f>
        <v>173.61753100000001</v>
      </c>
      <c r="N30" s="7">
        <f>SUMIFS([1]raw_data!J:J,[1]raw_data!$A:$A,$B30)</f>
        <v>0.67320261437908402</v>
      </c>
      <c r="O30" s="6">
        <f>SUMIFS([1]raw_data!K:K,[1]raw_data!$A:$A,$B30)</f>
        <v>1224.9969510000001</v>
      </c>
      <c r="P30" s="7">
        <f>SUMIFS([1]raw_data!L:L,[1]raw_data!$A:$A,$B30)</f>
        <v>2.8115671641790998</v>
      </c>
      <c r="Q30" s="6">
        <f>SUMIFS([1]raw_data!M:M,[1]raw_data!$A:$A,$B30)</f>
        <v>179.120475</v>
      </c>
      <c r="R30" s="7">
        <f>SUMIFS([1]raw_data!N:N,[1]raw_data!$A:$A,$B30)</f>
        <v>1.78731343283582</v>
      </c>
      <c r="S30" s="6">
        <f>SUMIFS([1]raw_data!O:O,[1]raw_data!$A:$A,$B30)</f>
        <v>367.108948</v>
      </c>
      <c r="T30" s="7">
        <f>SUMIFS([1]raw_data!P:P,[1]raw_data!$A:$A,$B30)</f>
        <v>1.45191409897292</v>
      </c>
      <c r="U30" s="6">
        <f>SUMIFS([1]raw_data!Q:Q,[1]raw_data!$A:$A,$B30)</f>
        <v>367.108948</v>
      </c>
      <c r="V30" s="7">
        <f>SUMIFS([1]raw_data!R:R,[1]raw_data!$A:$A,$B30)</f>
        <v>1.45191409897292</v>
      </c>
      <c r="W30" s="6">
        <f>SUMIFS([1]raw_data!S:S,[1]raw_data!$A:$A,$B30)</f>
        <v>377.86595599999998</v>
      </c>
      <c r="X30" s="7">
        <f>SUMIFS([1]raw_data!T:T,[1]raw_data!$A:$A,$B30)</f>
        <v>2.0805555555555499</v>
      </c>
      <c r="Y30" s="6">
        <f>SUMIFS([1]raw_data!U:U,[1]raw_data!$A:$A,$B30)</f>
        <v>248.16834800000001</v>
      </c>
      <c r="Z30" s="7">
        <f>SUMIFS([1]raw_data!V:V,[1]raw_data!$A:$A,$B30)</f>
        <v>1.0490740740740701</v>
      </c>
      <c r="AA30" s="4">
        <f t="shared" si="0"/>
        <v>678.09697840000001</v>
      </c>
    </row>
    <row r="31" spans="1:27" x14ac:dyDescent="0.25">
      <c r="A31" s="35"/>
      <c r="B31" s="4" t="s">
        <v>330</v>
      </c>
      <c r="C31" s="4" t="s">
        <v>331</v>
      </c>
      <c r="D31" s="4" t="s">
        <v>332</v>
      </c>
      <c r="E31" s="4" t="s">
        <v>23</v>
      </c>
      <c r="F31" s="5">
        <f>IFERROR(INDEX([1]raw_data!B:B,MATCH(B31,[1]raw_data!A:A,0)),0)</f>
        <v>1757.6</v>
      </c>
      <c r="G31" s="6">
        <f>SUMIFS([1]raw_data!C:C,[1]raw_data!$A:$A,$B31)</f>
        <v>2574.222209</v>
      </c>
      <c r="H31" s="7">
        <f>SUMIFS([1]raw_data!D:D,[1]raw_data!$A:$A,$B31)</f>
        <v>2.4510250569476</v>
      </c>
      <c r="I31" s="6">
        <f>SUMIFS([1]raw_data!E:E,[1]raw_data!$A:$A,$B31)</f>
        <v>140.663656</v>
      </c>
      <c r="J31" s="7">
        <f>SUMIFS([1]raw_data!F:F,[1]raw_data!$A:$A,$B31)</f>
        <v>1.3883826879271</v>
      </c>
      <c r="K31" s="6">
        <f>SUMIFS([1]raw_data!G:G,[1]raw_data!$A:$A,$B31)</f>
        <v>279.71175799999997</v>
      </c>
      <c r="L31" s="7">
        <f>SUMIFS([1]raw_data!H:H,[1]raw_data!$A:$A,$B31)</f>
        <v>1.8622448979591799</v>
      </c>
      <c r="M31" s="6">
        <f>SUMIFS([1]raw_data!I:I,[1]raw_data!$A:$A,$B31)</f>
        <v>196.90589</v>
      </c>
      <c r="N31" s="7">
        <f>SUMIFS([1]raw_data!J:J,[1]raw_data!$A:$A,$B31)</f>
        <v>1.7998866213151901</v>
      </c>
      <c r="O31" s="6">
        <f>SUMIFS([1]raw_data!K:K,[1]raw_data!$A:$A,$B31)</f>
        <v>124.283995</v>
      </c>
      <c r="P31" s="7">
        <f>SUMIFS([1]raw_data!L:L,[1]raw_data!$A:$A,$B31)</f>
        <v>0.54906409529211497</v>
      </c>
      <c r="Q31" s="6">
        <f>SUMIFS([1]raw_data!M:M,[1]raw_data!$A:$A,$B31)</f>
        <v>44.254877999999998</v>
      </c>
      <c r="R31" s="7">
        <f>SUMIFS([1]raw_data!N:N,[1]raw_data!$A:$A,$B31)</f>
        <v>0.44923425978445802</v>
      </c>
      <c r="S31" s="6">
        <f>SUMIFS([1]raw_data!O:O,[1]raw_data!$A:$A,$B31)</f>
        <v>31.84592</v>
      </c>
      <c r="T31" s="7">
        <f>SUMIFS([1]raw_data!P:P,[1]raw_data!$A:$A,$B31)</f>
        <v>0.271485486624928</v>
      </c>
      <c r="U31" s="6">
        <f>SUMIFS([1]raw_data!Q:Q,[1]raw_data!$A:$A,$B31)</f>
        <v>31.575934</v>
      </c>
      <c r="V31" s="7">
        <f>SUMIFS([1]raw_data!R:R,[1]raw_data!$A:$A,$B31)</f>
        <v>0.27091633466135401</v>
      </c>
      <c r="W31" s="6">
        <f>SUMIFS([1]raw_data!S:S,[1]raw_data!$A:$A,$B31)</f>
        <v>284.78255000000001</v>
      </c>
      <c r="X31" s="7">
        <f>SUMIFS([1]raw_data!T:T,[1]raw_data!$A:$A,$B31)</f>
        <v>1.52173913043478</v>
      </c>
      <c r="Y31" s="6">
        <f>SUMIFS([1]raw_data!U:U,[1]raw_data!$A:$A,$B31)</f>
        <v>18.078565000000001</v>
      </c>
      <c r="Z31" s="7">
        <f>SUMIFS([1]raw_data!V:V,[1]raw_data!$A:$A,$B31)</f>
        <v>0.21052631578947301</v>
      </c>
      <c r="AA31" s="4">
        <f t="shared" si="0"/>
        <v>658.96928639999999</v>
      </c>
    </row>
    <row r="32" spans="1:27" x14ac:dyDescent="0.25">
      <c r="A32" s="35"/>
      <c r="B32" s="4" t="s">
        <v>295</v>
      </c>
      <c r="C32" s="4" t="s">
        <v>123</v>
      </c>
      <c r="D32" s="4" t="s">
        <v>296</v>
      </c>
      <c r="E32" s="4" t="s">
        <v>19</v>
      </c>
      <c r="F32" s="5">
        <f>IFERROR(INDEX([1]raw_data!B:B,MATCH(B32,[1]raw_data!A:A,0)),0)</f>
        <v>1002.6</v>
      </c>
      <c r="G32" s="6">
        <f>SUMIFS([1]raw_data!C:C,[1]raw_data!$A:$A,$B32)</f>
        <v>297.284874</v>
      </c>
      <c r="H32" s="7">
        <f>SUMIFS([1]raw_data!D:D,[1]raw_data!$A:$A,$B32)</f>
        <v>1.6653386454183201</v>
      </c>
      <c r="I32" s="6">
        <f>SUMIFS([1]raw_data!E:E,[1]raw_data!$A:$A,$B32)</f>
        <v>77.534343000000007</v>
      </c>
      <c r="J32" s="7">
        <f>SUMIFS([1]raw_data!F:F,[1]raw_data!$A:$A,$B32)</f>
        <v>1.15139442231075</v>
      </c>
      <c r="K32" s="6">
        <f>SUMIFS([1]raw_data!G:G,[1]raw_data!$A:$A,$B32)</f>
        <v>62.196033999999997</v>
      </c>
      <c r="L32" s="7">
        <f>SUMIFS([1]raw_data!H:H,[1]raw_data!$A:$A,$B32)</f>
        <v>0.39221556886227499</v>
      </c>
      <c r="M32" s="6">
        <f>SUMIFS([1]raw_data!I:I,[1]raw_data!$A:$A,$B32)</f>
        <v>61.023384999999998</v>
      </c>
      <c r="N32" s="7">
        <f>SUMIFS([1]raw_data!J:J,[1]raw_data!$A:$A,$B32)</f>
        <v>0.37425149700598798</v>
      </c>
      <c r="O32" s="6">
        <f>SUMIFS([1]raw_data!K:K,[1]raw_data!$A:$A,$B32)</f>
        <v>140.51683199999999</v>
      </c>
      <c r="P32" s="7">
        <f>SUMIFS([1]raw_data!L:L,[1]raw_data!$A:$A,$B32)</f>
        <v>0.46407185628742498</v>
      </c>
      <c r="Q32" s="6">
        <f>SUMIFS([1]raw_data!M:M,[1]raw_data!$A:$A,$B32)</f>
        <v>47.071789000000003</v>
      </c>
      <c r="R32" s="7">
        <f>SUMIFS([1]raw_data!N:N,[1]raw_data!$A:$A,$B32)</f>
        <v>0.25648702594810302</v>
      </c>
      <c r="S32" s="6">
        <f>SUMIFS([1]raw_data!O:O,[1]raw_data!$A:$A,$B32)</f>
        <v>151.527649</v>
      </c>
      <c r="T32" s="7">
        <f>SUMIFS([1]raw_data!P:P,[1]raw_data!$A:$A,$B32)</f>
        <v>0.50049850448653999</v>
      </c>
      <c r="U32" s="6">
        <f>SUMIFS([1]raw_data!Q:Q,[1]raw_data!$A:$A,$B32)</f>
        <v>57.276553</v>
      </c>
      <c r="V32" s="7">
        <f>SUMIFS([1]raw_data!R:R,[1]raw_data!$A:$A,$B32)</f>
        <v>0.336989032901296</v>
      </c>
      <c r="W32" s="6">
        <f>SUMIFS([1]raw_data!S:S,[1]raw_data!$A:$A,$B32)</f>
        <v>2607.1217889999998</v>
      </c>
      <c r="X32" s="7">
        <f>SUMIFS([1]raw_data!T:T,[1]raw_data!$A:$A,$B32)</f>
        <v>3.5808383233532899</v>
      </c>
      <c r="Y32" s="6">
        <f>SUMIFS([1]raw_data!U:U,[1]raw_data!$A:$A,$B32)</f>
        <v>239.38772399999999</v>
      </c>
      <c r="Z32" s="7">
        <f>SUMIFS([1]raw_data!V:V,[1]raw_data!$A:$A,$B32)</f>
        <v>2.1207584830339301</v>
      </c>
      <c r="AA32" s="4">
        <f t="shared" si="0"/>
        <v>651.72943559999999</v>
      </c>
    </row>
    <row r="33" spans="1:30" x14ac:dyDescent="0.25">
      <c r="A33" s="35"/>
      <c r="B33" s="4" t="s">
        <v>281</v>
      </c>
      <c r="C33" s="4" t="s">
        <v>282</v>
      </c>
      <c r="D33" s="4" t="s">
        <v>283</v>
      </c>
      <c r="E33" s="4" t="s">
        <v>23</v>
      </c>
      <c r="F33" s="5">
        <f>IFERROR(INDEX([1]raw_data!B:B,MATCH(B33,[1]raw_data!A:A,0)),0)</f>
        <v>446</v>
      </c>
      <c r="G33" s="6">
        <f>SUMIFS([1]raw_data!C:C,[1]raw_data!$A:$A,$B33)</f>
        <v>1771.3033170000001</v>
      </c>
      <c r="H33" s="7">
        <f>SUMIFS([1]raw_data!D:D,[1]raw_data!$A:$A,$B33)</f>
        <v>1.5528089887640399</v>
      </c>
      <c r="I33" s="6">
        <f>SUMIFS([1]raw_data!E:E,[1]raw_data!$A:$A,$B33)</f>
        <v>160.54343900000001</v>
      </c>
      <c r="J33" s="7">
        <f>SUMIFS([1]raw_data!F:F,[1]raw_data!$A:$A,$B33)</f>
        <v>0.69887640449438204</v>
      </c>
      <c r="K33" s="6">
        <f>SUMIFS([1]raw_data!G:G,[1]raw_data!$A:$A,$B33)</f>
        <v>1461.225543</v>
      </c>
      <c r="L33" s="7">
        <f>SUMIFS([1]raw_data!H:H,[1]raw_data!$A:$A,$B33)</f>
        <v>2.86353467561521</v>
      </c>
      <c r="M33" s="6">
        <f>SUMIFS([1]raw_data!I:I,[1]raw_data!$A:$A,$B33)</f>
        <v>342.525825</v>
      </c>
      <c r="N33" s="7">
        <f>SUMIFS([1]raw_data!J:J,[1]raw_data!$A:$A,$B33)</f>
        <v>2.0827740492169999</v>
      </c>
      <c r="O33" s="6">
        <f>SUMIFS([1]raw_data!K:K,[1]raw_data!$A:$A,$B33)</f>
        <v>0</v>
      </c>
      <c r="P33" s="7">
        <f>SUMIFS([1]raw_data!L:L,[1]raw_data!$A:$A,$B33)</f>
        <v>0</v>
      </c>
      <c r="Q33" s="6">
        <f>SUMIFS([1]raw_data!M:M,[1]raw_data!$A:$A,$B33)</f>
        <v>0</v>
      </c>
      <c r="R33" s="7">
        <f>SUMIFS([1]raw_data!N:N,[1]raw_data!$A:$A,$B33)</f>
        <v>0</v>
      </c>
      <c r="S33" s="6">
        <f>SUMIFS([1]raw_data!O:O,[1]raw_data!$A:$A,$B33)</f>
        <v>0</v>
      </c>
      <c r="T33" s="7">
        <f>SUMIFS([1]raw_data!P:P,[1]raw_data!$A:$A,$B33)</f>
        <v>0</v>
      </c>
      <c r="U33" s="6">
        <f>SUMIFS([1]raw_data!Q:Q,[1]raw_data!$A:$A,$B33)</f>
        <v>0</v>
      </c>
      <c r="V33" s="7">
        <f>SUMIFS([1]raw_data!R:R,[1]raw_data!$A:$A,$B33)</f>
        <v>0</v>
      </c>
      <c r="W33" s="6">
        <f>SUMIFS([1]raw_data!S:S,[1]raw_data!$A:$A,$B33)</f>
        <v>0</v>
      </c>
      <c r="X33" s="7">
        <f>SUMIFS([1]raw_data!T:T,[1]raw_data!$A:$A,$B33)</f>
        <v>0</v>
      </c>
      <c r="Y33" s="6">
        <f>SUMIFS([1]raw_data!U:U,[1]raw_data!$A:$A,$B33)</f>
        <v>0</v>
      </c>
      <c r="Z33" s="7">
        <f>SUMIFS([1]raw_data!V:V,[1]raw_data!$A:$A,$B33)</f>
        <v>0</v>
      </c>
      <c r="AA33" s="4">
        <f t="shared" si="0"/>
        <v>646.50577200000009</v>
      </c>
    </row>
    <row r="34" spans="1:30" x14ac:dyDescent="0.25">
      <c r="A34" s="35"/>
      <c r="B34" s="4" t="s">
        <v>241</v>
      </c>
      <c r="C34" s="4" t="s">
        <v>63</v>
      </c>
      <c r="D34" s="4" t="s">
        <v>63</v>
      </c>
      <c r="E34" s="4" t="s">
        <v>65</v>
      </c>
      <c r="F34" s="5">
        <f>IFERROR(INDEX([1]raw_data!B:B,MATCH(B34,[1]raw_data!A:A,0)),0)</f>
        <v>436</v>
      </c>
      <c r="G34" s="6">
        <f>SUMIFS([1]raw_data!C:C,[1]raw_data!$A:$A,$B34)</f>
        <v>69.209192999999999</v>
      </c>
      <c r="H34" s="7">
        <f>SUMIFS([1]raw_data!D:D,[1]raw_data!$A:$A,$B34)</f>
        <v>0.78995433789954295</v>
      </c>
      <c r="I34" s="6">
        <f>SUMIFS([1]raw_data!E:E,[1]raw_data!$A:$A,$B34)</f>
        <v>66.254829000000001</v>
      </c>
      <c r="J34" s="7">
        <f>SUMIFS([1]raw_data!F:F,[1]raw_data!$A:$A,$B34)</f>
        <v>0.78538812785388101</v>
      </c>
      <c r="K34" s="6">
        <f>SUMIFS([1]raw_data!G:G,[1]raw_data!$A:$A,$B34)</f>
        <v>326.67781200000002</v>
      </c>
      <c r="L34" s="7">
        <f>SUMIFS([1]raw_data!H:H,[1]raw_data!$A:$A,$B34)</f>
        <v>2.0022779043280101</v>
      </c>
      <c r="M34" s="6">
        <f>SUMIFS([1]raw_data!I:I,[1]raw_data!$A:$A,$B34)</f>
        <v>313.48558100000002</v>
      </c>
      <c r="N34" s="7">
        <f>SUMIFS([1]raw_data!J:J,[1]raw_data!$A:$A,$B34)</f>
        <v>1.9977220956719799</v>
      </c>
      <c r="O34" s="6">
        <f>SUMIFS([1]raw_data!K:K,[1]raw_data!$A:$A,$B34)</f>
        <v>3.3419720000000002</v>
      </c>
      <c r="P34" s="7">
        <f>SUMIFS([1]raw_data!L:L,[1]raw_data!$A:$A,$B34)</f>
        <v>4.5871559633027499E-3</v>
      </c>
      <c r="Q34" s="6">
        <f>SUMIFS([1]raw_data!M:M,[1]raw_data!$A:$A,$B34)</f>
        <v>0.74934999999999996</v>
      </c>
      <c r="R34" s="7">
        <f>SUMIFS([1]raw_data!N:N,[1]raw_data!$A:$A,$B34)</f>
        <v>2.2935779816513702E-3</v>
      </c>
      <c r="S34" s="6">
        <f>SUMIFS([1]raw_data!O:O,[1]raw_data!$A:$A,$B34)</f>
        <v>2717.771812</v>
      </c>
      <c r="T34" s="7">
        <f>SUMIFS([1]raw_data!P:P,[1]raw_data!$A:$A,$B34)</f>
        <v>1.54631828978622</v>
      </c>
      <c r="U34" s="6">
        <f>SUMIFS([1]raw_data!Q:Q,[1]raw_data!$A:$A,$B34)</f>
        <v>106.888915</v>
      </c>
      <c r="V34" s="7">
        <f>SUMIFS([1]raw_data!R:R,[1]raw_data!$A:$A,$B34)</f>
        <v>0.45605700712588998</v>
      </c>
      <c r="W34" s="6">
        <f>SUMIFS([1]raw_data!S:S,[1]raw_data!$A:$A,$B34)</f>
        <v>102.45829500000001</v>
      </c>
      <c r="X34" s="7">
        <f>SUMIFS([1]raw_data!T:T,[1]raw_data!$A:$A,$B34)</f>
        <v>1.01793721973094</v>
      </c>
      <c r="Y34" s="6">
        <f>SUMIFS([1]raw_data!U:U,[1]raw_data!$A:$A,$B34)</f>
        <v>102.1926</v>
      </c>
      <c r="Z34" s="7">
        <f>SUMIFS([1]raw_data!V:V,[1]raw_data!$A:$A,$B34)</f>
        <v>1.0134529147982001</v>
      </c>
      <c r="AA34" s="4">
        <f t="shared" si="0"/>
        <v>643.89181680000002</v>
      </c>
    </row>
    <row r="35" spans="1:30" x14ac:dyDescent="0.25">
      <c r="A35" s="35"/>
      <c r="B35" s="4" t="s">
        <v>204</v>
      </c>
      <c r="C35" s="4" t="s">
        <v>169</v>
      </c>
      <c r="D35" s="4" t="s">
        <v>205</v>
      </c>
      <c r="E35" s="4" t="s">
        <v>23</v>
      </c>
      <c r="F35" s="5">
        <f>IFERROR(INDEX([1]raw_data!B:B,MATCH(B35,[1]raw_data!A:A,0)),0)</f>
        <v>1547.6666660000001</v>
      </c>
      <c r="G35" s="6">
        <f>SUMIFS([1]raw_data!C:C,[1]raw_data!$A:$A,$B35)</f>
        <v>2004.6303640000001</v>
      </c>
      <c r="H35" s="7">
        <f>SUMIFS([1]raw_data!D:D,[1]raw_data!$A:$A,$B35)</f>
        <v>2.1951530612244801</v>
      </c>
      <c r="I35" s="6">
        <f>SUMIFS([1]raw_data!E:E,[1]raw_data!$A:$A,$B35)</f>
        <v>201.05788000000001</v>
      </c>
      <c r="J35" s="7">
        <f>SUMIFS([1]raw_data!F:F,[1]raw_data!$A:$A,$B35)</f>
        <v>1.6664540816326501</v>
      </c>
      <c r="K35" s="6">
        <f>SUMIFS([1]raw_data!G:G,[1]raw_data!$A:$A,$B35)</f>
        <v>143.504321</v>
      </c>
      <c r="L35" s="7">
        <f>SUMIFS([1]raw_data!H:H,[1]raw_data!$A:$A,$B35)</f>
        <v>1.0292249047013899</v>
      </c>
      <c r="M35" s="6">
        <f>SUMIFS([1]raw_data!I:I,[1]raw_data!$A:$A,$B35)</f>
        <v>74.883812000000006</v>
      </c>
      <c r="N35" s="7">
        <f>SUMIFS([1]raw_data!J:J,[1]raw_data!$A:$A,$B35)</f>
        <v>0.99301143583227403</v>
      </c>
      <c r="O35" s="6">
        <f>SUMIFS([1]raw_data!K:K,[1]raw_data!$A:$A,$B35)</f>
        <v>634.11761799999999</v>
      </c>
      <c r="P35" s="7">
        <f>SUMIFS([1]raw_data!L:L,[1]raw_data!$A:$A,$B35)</f>
        <v>1.5298223350253799</v>
      </c>
      <c r="Q35" s="6">
        <f>SUMIFS([1]raw_data!M:M,[1]raw_data!$A:$A,$B35)</f>
        <v>117.67208100000001</v>
      </c>
      <c r="R35" s="7">
        <f>SUMIFS([1]raw_data!N:N,[1]raw_data!$A:$A,$B35)</f>
        <v>0.85215736040609102</v>
      </c>
      <c r="S35" s="6">
        <f>SUMIFS([1]raw_data!O:O,[1]raw_data!$A:$A,$B35)</f>
        <v>264.51210300000002</v>
      </c>
      <c r="T35" s="7">
        <f>SUMIFS([1]raw_data!P:P,[1]raw_data!$A:$A,$B35)</f>
        <v>1.7825242718446599</v>
      </c>
      <c r="U35" s="6">
        <f>SUMIFS([1]raw_data!Q:Q,[1]raw_data!$A:$A,$B35)</f>
        <v>264.51210300000002</v>
      </c>
      <c r="V35" s="7">
        <f>SUMIFS([1]raw_data!R:R,[1]raw_data!$A:$A,$B35)</f>
        <v>1.7825242718446599</v>
      </c>
      <c r="W35" s="6">
        <f>SUMIFS([1]raw_data!S:S,[1]raw_data!$A:$A,$B35)</f>
        <v>139.719413</v>
      </c>
      <c r="X35" s="7">
        <f>SUMIFS([1]raw_data!T:T,[1]raw_data!$A:$A,$B35)</f>
        <v>0.229986431478968</v>
      </c>
      <c r="Y35" s="6">
        <f>SUMIFS([1]raw_data!U:U,[1]raw_data!$A:$A,$B35)</f>
        <v>27.690535000000001</v>
      </c>
      <c r="Z35" s="7">
        <f>SUMIFS([1]raw_data!V:V,[1]raw_data!$A:$A,$B35)</f>
        <v>0.18995929443690601</v>
      </c>
      <c r="AA35" s="4">
        <f t="shared" si="0"/>
        <v>637.29676380000001</v>
      </c>
      <c r="AC35" t="s">
        <v>27</v>
      </c>
      <c r="AD35">
        <f>COUNTIF(E4:E55,"Muskegon")</f>
        <v>4</v>
      </c>
    </row>
    <row r="36" spans="1:30" x14ac:dyDescent="0.25">
      <c r="A36" s="35"/>
      <c r="B36" s="4" t="s">
        <v>94</v>
      </c>
      <c r="C36" s="4" t="s">
        <v>95</v>
      </c>
      <c r="D36" s="4" t="s">
        <v>96</v>
      </c>
      <c r="E36" s="4" t="s">
        <v>19</v>
      </c>
      <c r="F36" s="5">
        <f>IFERROR(INDEX([1]raw_data!B:B,MATCH(B36,[1]raw_data!A:A,0)),0)</f>
        <v>1544.5555549999999</v>
      </c>
      <c r="G36" s="6">
        <f>SUMIFS([1]raw_data!C:C,[1]raw_data!$A:$A,$B36)</f>
        <v>12.160321</v>
      </c>
      <c r="H36" s="7">
        <f>SUMIFS([1]raw_data!D:D,[1]raw_data!$A:$A,$B36)</f>
        <v>0.103938024531956</v>
      </c>
      <c r="I36" s="6">
        <f>SUMIFS([1]raw_data!E:E,[1]raw_data!$A:$A,$B36)</f>
        <v>11.836368999999999</v>
      </c>
      <c r="J36" s="7">
        <f>SUMIFS([1]raw_data!F:F,[1]raw_data!$A:$A,$B36)</f>
        <v>0.103292446739832</v>
      </c>
      <c r="K36" s="6">
        <f>SUMIFS([1]raw_data!G:G,[1]raw_data!$A:$A,$B36)</f>
        <v>583.13712399999997</v>
      </c>
      <c r="L36" s="7">
        <f>SUMIFS([1]raw_data!H:H,[1]raw_data!$A:$A,$B36)</f>
        <v>1.20245003223726</v>
      </c>
      <c r="M36" s="6">
        <f>SUMIFS([1]raw_data!I:I,[1]raw_data!$A:$A,$B36)</f>
        <v>575.11156400000004</v>
      </c>
      <c r="N36" s="7">
        <f>SUMIFS([1]raw_data!J:J,[1]raw_data!$A:$A,$B36)</f>
        <v>1.15538362346872</v>
      </c>
      <c r="O36" s="6">
        <f>SUMIFS([1]raw_data!K:K,[1]raw_data!$A:$A,$B36)</f>
        <v>606.35234700000001</v>
      </c>
      <c r="P36" s="7">
        <f>SUMIFS([1]raw_data!L:L,[1]raw_data!$A:$A,$B36)</f>
        <v>4.1008403361344499</v>
      </c>
      <c r="Q36" s="6">
        <f>SUMIFS([1]raw_data!M:M,[1]raw_data!$A:$A,$B36)</f>
        <v>604.00853199999995</v>
      </c>
      <c r="R36" s="7">
        <f>SUMIFS([1]raw_data!N:N,[1]raw_data!$A:$A,$B36)</f>
        <v>4.0982546864899803</v>
      </c>
      <c r="S36" s="6">
        <f>SUMIFS([1]raw_data!O:O,[1]raw_data!$A:$A,$B36)</f>
        <v>75.03228</v>
      </c>
      <c r="T36" s="7">
        <f>SUMIFS([1]raw_data!P:P,[1]raw_data!$A:$A,$B36)</f>
        <v>0.56742671009771894</v>
      </c>
      <c r="U36" s="6">
        <f>SUMIFS([1]raw_data!Q:Q,[1]raw_data!$A:$A,$B36)</f>
        <v>75.03228</v>
      </c>
      <c r="V36" s="7">
        <f>SUMIFS([1]raw_data!R:R,[1]raw_data!$A:$A,$B36)</f>
        <v>0.56742671009771894</v>
      </c>
      <c r="W36" s="6">
        <f>SUMIFS([1]raw_data!S:S,[1]raw_data!$A:$A,$B36)</f>
        <v>1754.2377489999999</v>
      </c>
      <c r="X36" s="7">
        <f>SUMIFS([1]raw_data!T:T,[1]raw_data!$A:$A,$B36)</f>
        <v>1.0026041666666601</v>
      </c>
      <c r="Y36" s="6">
        <f>SUMIFS([1]raw_data!U:U,[1]raw_data!$A:$A,$B36)</f>
        <v>32.683832000000002</v>
      </c>
      <c r="Z36" s="7">
        <f>SUMIFS([1]raw_data!V:V,[1]raw_data!$A:$A,$B36)</f>
        <v>0.31966145833333298</v>
      </c>
      <c r="AA36" s="4">
        <f t="shared" si="0"/>
        <v>606.18396419999988</v>
      </c>
      <c r="AC36" t="s">
        <v>76</v>
      </c>
      <c r="AD36">
        <f>COUNTIF(E4:E55,"Jackson")</f>
        <v>9</v>
      </c>
    </row>
    <row r="37" spans="1:30" x14ac:dyDescent="0.25">
      <c r="A37" s="35"/>
      <c r="B37" s="4" t="s">
        <v>16</v>
      </c>
      <c r="C37" s="4" t="s">
        <v>17</v>
      </c>
      <c r="D37" s="4" t="s">
        <v>18</v>
      </c>
      <c r="E37" s="4" t="s">
        <v>19</v>
      </c>
      <c r="F37" s="5">
        <f>IFERROR(INDEX([1]raw_data!B:B,MATCH(B37,[1]raw_data!A:A,0)),0)</f>
        <v>97.5</v>
      </c>
      <c r="G37" s="6">
        <f>SUMIFS([1]raw_data!C:C,[1]raw_data!$A:$A,$B37)</f>
        <v>2.0923280000000002</v>
      </c>
      <c r="H37" s="7">
        <f>SUMIFS([1]raw_data!D:D,[1]raw_data!$A:$A,$B37)</f>
        <v>2.7027027027027001E-2</v>
      </c>
      <c r="I37" s="6">
        <f>SUMIFS([1]raw_data!E:E,[1]raw_data!$A:$A,$B37)</f>
        <v>2.0923280000000002</v>
      </c>
      <c r="J37" s="7">
        <f>SUMIFS([1]raw_data!F:F,[1]raw_data!$A:$A,$B37)</f>
        <v>2.7027027027027001E-2</v>
      </c>
      <c r="K37" s="6">
        <f>SUMIFS([1]raw_data!G:G,[1]raw_data!$A:$A,$B37)</f>
        <v>10.627008999999999</v>
      </c>
      <c r="L37" s="7">
        <f>SUMIFS([1]raw_data!H:H,[1]raw_data!$A:$A,$B37)</f>
        <v>9.1743119266054995E-2</v>
      </c>
      <c r="M37" s="6">
        <f>SUMIFS([1]raw_data!I:I,[1]raw_data!$A:$A,$B37)</f>
        <v>10.627008999999999</v>
      </c>
      <c r="N37" s="7">
        <f>SUMIFS([1]raw_data!J:J,[1]raw_data!$A:$A,$B37)</f>
        <v>9.1743119266054995E-2</v>
      </c>
      <c r="O37" s="6">
        <f>SUMIFS([1]raw_data!K:K,[1]raw_data!$A:$A,$B37)</f>
        <v>33.639042000000003</v>
      </c>
      <c r="P37" s="7">
        <f>SUMIFS([1]raw_data!L:L,[1]raw_data!$A:$A,$B37)</f>
        <v>0.101851851851851</v>
      </c>
      <c r="Q37" s="6">
        <f>SUMIFS([1]raw_data!M:M,[1]raw_data!$A:$A,$B37)</f>
        <v>5.6944439999999998</v>
      </c>
      <c r="R37" s="7">
        <f>SUMIFS([1]raw_data!N:N,[1]raw_data!$A:$A,$B37)</f>
        <v>9.2592592592592504E-2</v>
      </c>
      <c r="S37" s="6">
        <f>SUMIFS([1]raw_data!O:O,[1]raw_data!$A:$A,$B37)</f>
        <v>143.33301800000001</v>
      </c>
      <c r="T37" s="7">
        <f>SUMIFS([1]raw_data!P:P,[1]raw_data!$A:$A,$B37)</f>
        <v>1.02830188679245</v>
      </c>
      <c r="U37" s="6">
        <f>SUMIFS([1]raw_data!Q:Q,[1]raw_data!$A:$A,$B37)</f>
        <v>143.33301800000001</v>
      </c>
      <c r="V37" s="7">
        <f>SUMIFS([1]raw_data!R:R,[1]raw_data!$A:$A,$B37)</f>
        <v>1.02830188679245</v>
      </c>
      <c r="W37" s="6">
        <f>SUMIFS([1]raw_data!S:S,[1]raw_data!$A:$A,$B37)</f>
        <v>2794.547286</v>
      </c>
      <c r="X37" s="7">
        <f>SUMIFS([1]raw_data!T:T,[1]raw_data!$A:$A,$B37)</f>
        <v>20.558139534883701</v>
      </c>
      <c r="Y37" s="6">
        <f>SUMIFS([1]raw_data!U:U,[1]raw_data!$A:$A,$B37)</f>
        <v>2794.547286</v>
      </c>
      <c r="Z37" s="7">
        <f>SUMIFS([1]raw_data!V:V,[1]raw_data!$A:$A,$B37)</f>
        <v>20.558139534883701</v>
      </c>
      <c r="AA37" s="4">
        <f t="shared" si="0"/>
        <v>596.84773659999996</v>
      </c>
      <c r="AC37" t="s">
        <v>31</v>
      </c>
      <c r="AD37">
        <f>COUNTIF(E4:E55,"Adrian")</f>
        <v>5</v>
      </c>
    </row>
    <row r="38" spans="1:30" x14ac:dyDescent="0.25">
      <c r="A38" s="35"/>
      <c r="B38" s="4" t="s">
        <v>181</v>
      </c>
      <c r="C38" s="4" t="s">
        <v>89</v>
      </c>
      <c r="D38" s="4" t="s">
        <v>89</v>
      </c>
      <c r="E38" s="4" t="s">
        <v>15</v>
      </c>
      <c r="F38" s="5">
        <f>IFERROR(INDEX([1]raw_data!B:B,MATCH(B38,[1]raw_data!A:A,0)),0)</f>
        <v>651.6</v>
      </c>
      <c r="G38" s="6">
        <f>SUMIFS([1]raw_data!C:C,[1]raw_data!$A:$A,$B38)</f>
        <v>243.039333</v>
      </c>
      <c r="H38" s="7">
        <f>SUMIFS([1]raw_data!D:D,[1]raw_data!$A:$A,$B38)</f>
        <v>0.43565891472868201</v>
      </c>
      <c r="I38" s="6">
        <f>SUMIFS([1]raw_data!E:E,[1]raw_data!$A:$A,$B38)</f>
        <v>112.076106</v>
      </c>
      <c r="J38" s="7">
        <f>SUMIFS([1]raw_data!F:F,[1]raw_data!$A:$A,$B38)</f>
        <v>0.32558139534883701</v>
      </c>
      <c r="K38" s="6">
        <f>SUMIFS([1]raw_data!G:G,[1]raw_data!$A:$A,$B38)</f>
        <v>288.89203600000002</v>
      </c>
      <c r="L38" s="7">
        <f>SUMIFS([1]raw_data!H:H,[1]raw_data!$A:$A,$B38)</f>
        <v>0.34678624813153902</v>
      </c>
      <c r="M38" s="6">
        <f>SUMIFS([1]raw_data!I:I,[1]raw_data!$A:$A,$B38)</f>
        <v>109.87294199999999</v>
      </c>
      <c r="N38" s="7">
        <f>SUMIFS([1]raw_data!J:J,[1]raw_data!$A:$A,$B38)</f>
        <v>0.25261584454409503</v>
      </c>
      <c r="O38" s="6">
        <f>SUMIFS([1]raw_data!K:K,[1]raw_data!$A:$A,$B38)</f>
        <v>466.24829499999998</v>
      </c>
      <c r="P38" s="7">
        <f>SUMIFS([1]raw_data!L:L,[1]raw_data!$A:$A,$B38)</f>
        <v>0.581168831168831</v>
      </c>
      <c r="Q38" s="6">
        <f>SUMIFS([1]raw_data!M:M,[1]raw_data!$A:$A,$B38)</f>
        <v>103.30928</v>
      </c>
      <c r="R38" s="7">
        <f>SUMIFS([1]raw_data!N:N,[1]raw_data!$A:$A,$B38)</f>
        <v>0.456168831168831</v>
      </c>
      <c r="S38" s="6">
        <f>SUMIFS([1]raw_data!O:O,[1]raw_data!$A:$A,$B38)</f>
        <v>255.833258</v>
      </c>
      <c r="T38" s="7">
        <f>SUMIFS([1]raw_data!P:P,[1]raw_data!$A:$A,$B38)</f>
        <v>1.56541353383458</v>
      </c>
      <c r="U38" s="6">
        <f>SUMIFS([1]raw_data!Q:Q,[1]raw_data!$A:$A,$B38)</f>
        <v>86.428020000000004</v>
      </c>
      <c r="V38" s="7">
        <f>SUMIFS([1]raw_data!R:R,[1]raw_data!$A:$A,$B38)</f>
        <v>0.51428571428571401</v>
      </c>
      <c r="W38" s="6">
        <f>SUMIFS([1]raw_data!S:S,[1]raw_data!$A:$A,$B38)</f>
        <v>1714.5584699999999</v>
      </c>
      <c r="X38" s="7">
        <f>SUMIFS([1]raw_data!T:T,[1]raw_data!$A:$A,$B38)</f>
        <v>2.04826546003016</v>
      </c>
      <c r="Y38" s="6">
        <f>SUMIFS([1]raw_data!U:U,[1]raw_data!$A:$A,$B38)</f>
        <v>379.699748</v>
      </c>
      <c r="Z38" s="7">
        <f>SUMIFS([1]raw_data!V:V,[1]raw_data!$A:$A,$B38)</f>
        <v>1.2503770739064799</v>
      </c>
      <c r="AA38" s="4">
        <f t="shared" si="0"/>
        <v>593.71427840000001</v>
      </c>
      <c r="AC38" t="s">
        <v>65</v>
      </c>
      <c r="AD38">
        <f>COUNTIF(E4:E55,"Battle Creek")</f>
        <v>4</v>
      </c>
    </row>
    <row r="39" spans="1:30" x14ac:dyDescent="0.25">
      <c r="A39" s="35"/>
      <c r="B39" s="4" t="s">
        <v>326</v>
      </c>
      <c r="C39" s="4" t="s">
        <v>288</v>
      </c>
      <c r="D39" s="4" t="s">
        <v>327</v>
      </c>
      <c r="E39" s="4" t="s">
        <v>76</v>
      </c>
      <c r="F39" s="5">
        <f>IFERROR(INDEX([1]raw_data!B:B,MATCH(B39,[1]raw_data!A:A,0)),0)</f>
        <v>544.6</v>
      </c>
      <c r="G39" s="6">
        <f>SUMIFS([1]raw_data!C:C,[1]raw_data!$A:$A,$B39)</f>
        <v>2238.0801719999999</v>
      </c>
      <c r="H39" s="7">
        <f>SUMIFS([1]raw_data!D:D,[1]raw_data!$A:$A,$B39)</f>
        <v>1.0354767184035401</v>
      </c>
      <c r="I39" s="6">
        <f>SUMIFS([1]raw_data!E:E,[1]raw_data!$A:$A,$B39)</f>
        <v>23.944382000000001</v>
      </c>
      <c r="J39" s="7">
        <f>SUMIFS([1]raw_data!F:F,[1]raw_data!$A:$A,$B39)</f>
        <v>0.186252771618625</v>
      </c>
      <c r="K39" s="6">
        <f>SUMIFS([1]raw_data!G:G,[1]raw_data!$A:$A,$B39)</f>
        <v>218.11501200000001</v>
      </c>
      <c r="L39" s="7">
        <f>SUMIFS([1]raw_data!H:H,[1]raw_data!$A:$A,$B39)</f>
        <v>1.66161616161616</v>
      </c>
      <c r="M39" s="6">
        <f>SUMIFS([1]raw_data!I:I,[1]raw_data!$A:$A,$B39)</f>
        <v>147.269927</v>
      </c>
      <c r="N39" s="7">
        <f>SUMIFS([1]raw_data!J:J,[1]raw_data!$A:$A,$B39)</f>
        <v>1.4865319865319799</v>
      </c>
      <c r="O39" s="6">
        <f>SUMIFS([1]raw_data!K:K,[1]raw_data!$A:$A,$B39)</f>
        <v>296.652694</v>
      </c>
      <c r="P39" s="7">
        <f>SUMIFS([1]raw_data!L:L,[1]raw_data!$A:$A,$B39)</f>
        <v>0.39999999999999902</v>
      </c>
      <c r="Q39" s="6">
        <f>SUMIFS([1]raw_data!M:M,[1]raw_data!$A:$A,$B39)</f>
        <v>131.69347200000001</v>
      </c>
      <c r="R39" s="7">
        <f>SUMIFS([1]raw_data!N:N,[1]raw_data!$A:$A,$B39)</f>
        <v>0.37333333333333302</v>
      </c>
      <c r="S39" s="6">
        <f>SUMIFS([1]raw_data!O:O,[1]raw_data!$A:$A,$B39)</f>
        <v>106.805595</v>
      </c>
      <c r="T39" s="7">
        <f>SUMIFS([1]raw_data!P:P,[1]raw_data!$A:$A,$B39)</f>
        <v>1.11433756805807</v>
      </c>
      <c r="U39" s="6">
        <f>SUMIFS([1]raw_data!Q:Q,[1]raw_data!$A:$A,$B39)</f>
        <v>106.245977</v>
      </c>
      <c r="V39" s="7">
        <f>SUMIFS([1]raw_data!R:R,[1]raw_data!$A:$A,$B39)</f>
        <v>1.1125226860254001</v>
      </c>
      <c r="W39" s="6">
        <f>SUMIFS([1]raw_data!S:S,[1]raw_data!$A:$A,$B39)</f>
        <v>30.643073000000001</v>
      </c>
      <c r="X39" s="7">
        <f>SUMIFS([1]raw_data!T:T,[1]raw_data!$A:$A,$B39)</f>
        <v>0.25047438330170702</v>
      </c>
      <c r="Y39" s="6">
        <f>SUMIFS([1]raw_data!U:U,[1]raw_data!$A:$A,$B39)</f>
        <v>25.212333000000001</v>
      </c>
      <c r="Z39" s="7">
        <f>SUMIFS([1]raw_data!V:V,[1]raw_data!$A:$A,$B39)</f>
        <v>0.20493358633775999</v>
      </c>
      <c r="AA39" s="4">
        <f t="shared" si="0"/>
        <v>578.05930920000003</v>
      </c>
      <c r="AC39" t="s">
        <v>23</v>
      </c>
      <c r="AD39">
        <f>COUNTIF(E4:E55,"Kalamazoo")</f>
        <v>10</v>
      </c>
    </row>
    <row r="40" spans="1:30" x14ac:dyDescent="0.25">
      <c r="A40" s="35"/>
      <c r="B40" s="4" t="s">
        <v>287</v>
      </c>
      <c r="C40" s="4" t="s">
        <v>288</v>
      </c>
      <c r="D40" s="4" t="s">
        <v>289</v>
      </c>
      <c r="E40" s="4" t="s">
        <v>76</v>
      </c>
      <c r="F40" s="5">
        <f>IFERROR(INDEX([1]raw_data!B:B,MATCH(B40,[1]raw_data!A:A,0)),0)</f>
        <v>1476</v>
      </c>
      <c r="G40" s="6">
        <f>SUMIFS([1]raw_data!C:C,[1]raw_data!$A:$A,$B40)</f>
        <v>2403.3893480000002</v>
      </c>
      <c r="H40" s="7">
        <f>SUMIFS([1]raw_data!D:D,[1]raw_data!$A:$A,$B40)</f>
        <v>2.63253012048192</v>
      </c>
      <c r="I40" s="6">
        <f>SUMIFS([1]raw_data!E:E,[1]raw_data!$A:$A,$B40)</f>
        <v>153.507677</v>
      </c>
      <c r="J40" s="7">
        <f>SUMIFS([1]raw_data!F:F,[1]raw_data!$A:$A,$B40)</f>
        <v>1.21419009370816</v>
      </c>
      <c r="K40" s="6">
        <f>SUMIFS([1]raw_data!G:G,[1]raw_data!$A:$A,$B40)</f>
        <v>101.876982</v>
      </c>
      <c r="L40" s="7">
        <f>SUMIFS([1]raw_data!H:H,[1]raw_data!$A:$A,$B40)</f>
        <v>1.1647612642905101</v>
      </c>
      <c r="M40" s="6">
        <f>SUMIFS([1]raw_data!I:I,[1]raw_data!$A:$A,$B40)</f>
        <v>54.994219999999999</v>
      </c>
      <c r="N40" s="7">
        <f>SUMIFS([1]raw_data!J:J,[1]raw_data!$A:$A,$B40)</f>
        <v>1.1338264963012701</v>
      </c>
      <c r="O40" s="6">
        <f>SUMIFS([1]raw_data!K:K,[1]raw_data!$A:$A,$B40)</f>
        <v>37.629125999999999</v>
      </c>
      <c r="P40" s="7">
        <f>SUMIFS([1]raw_data!L:L,[1]raw_data!$A:$A,$B40)</f>
        <v>0.16462585034013599</v>
      </c>
      <c r="Q40" s="6">
        <f>SUMIFS([1]raw_data!M:M,[1]raw_data!$A:$A,$B40)</f>
        <v>37.629125999999999</v>
      </c>
      <c r="R40" s="7">
        <f>SUMIFS([1]raw_data!N:N,[1]raw_data!$A:$A,$B40)</f>
        <v>0.16462585034013599</v>
      </c>
      <c r="S40" s="6">
        <f>SUMIFS([1]raw_data!O:O,[1]raw_data!$A:$A,$B40)</f>
        <v>131.78282300000001</v>
      </c>
      <c r="T40" s="7">
        <f>SUMIFS([1]raw_data!P:P,[1]raw_data!$A:$A,$B40)</f>
        <v>0.27581521739130399</v>
      </c>
      <c r="U40" s="6">
        <f>SUMIFS([1]raw_data!Q:Q,[1]raw_data!$A:$A,$B40)</f>
        <v>77.300362000000007</v>
      </c>
      <c r="V40" s="7">
        <f>SUMIFS([1]raw_data!R:R,[1]raw_data!$A:$A,$B40)</f>
        <v>0.23709239130434701</v>
      </c>
      <c r="W40" s="6">
        <f>SUMIFS([1]raw_data!S:S,[1]raw_data!$A:$A,$B40)</f>
        <v>179.84659400000001</v>
      </c>
      <c r="X40" s="7">
        <f>SUMIFS([1]raw_data!T:T,[1]raw_data!$A:$A,$B40)</f>
        <v>2.0900962861072898</v>
      </c>
      <c r="Y40" s="6">
        <f>SUMIFS([1]raw_data!U:U,[1]raw_data!$A:$A,$B40)</f>
        <v>176.917812</v>
      </c>
      <c r="Z40" s="7">
        <f>SUMIFS([1]raw_data!V:V,[1]raw_data!$A:$A,$B40)</f>
        <v>2.0880330123796398</v>
      </c>
      <c r="AA40" s="4">
        <f t="shared" si="0"/>
        <v>570.90497460000006</v>
      </c>
      <c r="AC40" t="s">
        <v>15</v>
      </c>
      <c r="AD40">
        <f>COUNTIF(E4:E55,"Flint")</f>
        <v>5</v>
      </c>
    </row>
    <row r="41" spans="1:30" x14ac:dyDescent="0.25">
      <c r="A41" s="35"/>
      <c r="B41" s="4" t="s">
        <v>375</v>
      </c>
      <c r="C41" s="4" t="s">
        <v>274</v>
      </c>
      <c r="D41" s="4" t="s">
        <v>376</v>
      </c>
      <c r="E41" s="4" t="s">
        <v>76</v>
      </c>
      <c r="F41" s="5">
        <f>IFERROR(INDEX([1]raw_data!B:B,MATCH(B41,[1]raw_data!A:A,0)),0)</f>
        <v>602.55555500000003</v>
      </c>
      <c r="G41" s="6">
        <f>SUMIFS([1]raw_data!C:C,[1]raw_data!$A:$A,$B41)</f>
        <v>2201.1256709999998</v>
      </c>
      <c r="H41" s="7">
        <f>SUMIFS([1]raw_data!D:D,[1]raw_data!$A:$A,$B41)</f>
        <v>2.0716666666666601</v>
      </c>
      <c r="I41" s="6">
        <f>SUMIFS([1]raw_data!E:E,[1]raw_data!$A:$A,$B41)</f>
        <v>17.510266000000001</v>
      </c>
      <c r="J41" s="7">
        <f>SUMIFS([1]raw_data!F:F,[1]raw_data!$A:$A,$B41)</f>
        <v>0.29666666666666602</v>
      </c>
      <c r="K41" s="6">
        <f>SUMIFS([1]raw_data!G:G,[1]raw_data!$A:$A,$B41)</f>
        <v>271.84444999999999</v>
      </c>
      <c r="L41" s="7">
        <f>SUMIFS([1]raw_data!H:H,[1]raw_data!$A:$A,$B41)</f>
        <v>0.12709030100334401</v>
      </c>
      <c r="M41" s="6">
        <f>SUMIFS([1]raw_data!I:I,[1]raw_data!$A:$A,$B41)</f>
        <v>14.733521</v>
      </c>
      <c r="N41" s="7">
        <f>SUMIFS([1]raw_data!J:J,[1]raw_data!$A:$A,$B41)</f>
        <v>5.0167224080267497E-2</v>
      </c>
      <c r="O41" s="6">
        <f>SUMIFS([1]raw_data!K:K,[1]raw_data!$A:$A,$B41)</f>
        <v>216.21785600000001</v>
      </c>
      <c r="P41" s="7">
        <f>SUMIFS([1]raw_data!L:L,[1]raw_data!$A:$A,$B41)</f>
        <v>1.13636363636363</v>
      </c>
      <c r="Q41" s="6">
        <f>SUMIFS([1]raw_data!M:M,[1]raw_data!$A:$A,$B41)</f>
        <v>196.245454</v>
      </c>
      <c r="R41" s="7">
        <f>SUMIFS([1]raw_data!N:N,[1]raw_data!$A:$A,$B41)</f>
        <v>1.1071428571428501</v>
      </c>
      <c r="S41" s="6">
        <f>SUMIFS([1]raw_data!O:O,[1]raw_data!$A:$A,$B41)</f>
        <v>94.14864</v>
      </c>
      <c r="T41" s="7">
        <f>SUMIFS([1]raw_data!P:P,[1]raw_data!$A:$A,$B41)</f>
        <v>0.56769983686786196</v>
      </c>
      <c r="U41" s="6">
        <f>SUMIFS([1]raw_data!Q:Q,[1]raw_data!$A:$A,$B41)</f>
        <v>93.175366999999994</v>
      </c>
      <c r="V41" s="7">
        <f>SUMIFS([1]raw_data!R:R,[1]raw_data!$A:$A,$B41)</f>
        <v>0.55301794453507302</v>
      </c>
      <c r="W41" s="6">
        <f>SUMIFS([1]raw_data!S:S,[1]raw_data!$A:$A,$B41)</f>
        <v>33.072085000000001</v>
      </c>
      <c r="X41" s="7">
        <f>SUMIFS([1]raw_data!T:T,[1]raw_data!$A:$A,$B41)</f>
        <v>0.25834797891036898</v>
      </c>
      <c r="Y41" s="6">
        <f>SUMIFS([1]raw_data!U:U,[1]raw_data!$A:$A,$B41)</f>
        <v>33.072085000000001</v>
      </c>
      <c r="Z41" s="7">
        <f>SUMIFS([1]raw_data!V:V,[1]raw_data!$A:$A,$B41)</f>
        <v>0.25834797891036898</v>
      </c>
      <c r="AA41" s="4">
        <f t="shared" si="0"/>
        <v>563.28174039999999</v>
      </c>
      <c r="AC41" t="s">
        <v>19</v>
      </c>
      <c r="AD41">
        <f>COUNTIF(E4:E55,"Grand Rapids")</f>
        <v>15</v>
      </c>
    </row>
    <row r="42" spans="1:30" x14ac:dyDescent="0.25">
      <c r="A42" s="35"/>
      <c r="B42" s="4" t="s">
        <v>32</v>
      </c>
      <c r="C42" s="4" t="s">
        <v>21</v>
      </c>
      <c r="D42" s="4" t="s">
        <v>33</v>
      </c>
      <c r="E42" s="4" t="s">
        <v>23</v>
      </c>
      <c r="F42" s="5">
        <f>IFERROR(INDEX([1]raw_data!B:B,MATCH(B42,[1]raw_data!A:A,0)),0)</f>
        <v>229.25</v>
      </c>
      <c r="G42" s="6">
        <f>SUMIFS([1]raw_data!C:C,[1]raw_data!$A:$A,$B42)</f>
        <v>972.31505900000002</v>
      </c>
      <c r="H42" s="7">
        <f>SUMIFS([1]raw_data!D:D,[1]raw_data!$A:$A,$B42)</f>
        <v>1.72413793103448</v>
      </c>
      <c r="I42" s="6">
        <f>SUMIFS([1]raw_data!E:E,[1]raw_data!$A:$A,$B42)</f>
        <v>182.198418</v>
      </c>
      <c r="J42" s="7">
        <f>SUMIFS([1]raw_data!F:F,[1]raw_data!$A:$A,$B42)</f>
        <v>1.40948275862068</v>
      </c>
      <c r="K42" s="6">
        <f>SUMIFS([1]raw_data!G:G,[1]raw_data!$A:$A,$B42)</f>
        <v>848.48058900000001</v>
      </c>
      <c r="L42" s="7">
        <f>SUMIFS([1]raw_data!H:H,[1]raw_data!$A:$A,$B42)</f>
        <v>2</v>
      </c>
      <c r="M42" s="6">
        <f>SUMIFS([1]raw_data!I:I,[1]raw_data!$A:$A,$B42)</f>
        <v>848.48058900000001</v>
      </c>
      <c r="N42" s="7">
        <f>SUMIFS([1]raw_data!J:J,[1]raw_data!$A:$A,$B42)</f>
        <v>2</v>
      </c>
      <c r="O42" s="6">
        <f>SUMIFS([1]raw_data!K:K,[1]raw_data!$A:$A,$B42)</f>
        <v>14.829824</v>
      </c>
      <c r="P42" s="7">
        <f>SUMIFS([1]raw_data!L:L,[1]raw_data!$A:$A,$B42)</f>
        <v>3.07017543859649E-2</v>
      </c>
      <c r="Q42" s="6">
        <f>SUMIFS([1]raw_data!M:M,[1]raw_data!$A:$A,$B42)</f>
        <v>11.219443999999999</v>
      </c>
      <c r="R42" s="7">
        <f>SUMIFS([1]raw_data!N:N,[1]raw_data!$A:$A,$B42)</f>
        <v>2.1929824561403501E-2</v>
      </c>
      <c r="S42" s="6">
        <f>SUMIFS([1]raw_data!O:O,[1]raw_data!$A:$A,$B42)</f>
        <v>542.36747400000002</v>
      </c>
      <c r="T42" s="7">
        <f>SUMIFS([1]raw_data!P:P,[1]raw_data!$A:$A,$B42)</f>
        <v>4.0396475770925102</v>
      </c>
      <c r="U42" s="6">
        <f>SUMIFS([1]raw_data!Q:Q,[1]raw_data!$A:$A,$B42)</f>
        <v>542.36747400000002</v>
      </c>
      <c r="V42" s="7">
        <f>SUMIFS([1]raw_data!R:R,[1]raw_data!$A:$A,$B42)</f>
        <v>4.0396475770925102</v>
      </c>
      <c r="W42" s="6">
        <f>SUMIFS([1]raw_data!S:S,[1]raw_data!$A:$A,$B42)</f>
        <v>431.474853</v>
      </c>
      <c r="X42" s="7">
        <f>SUMIFS([1]raw_data!T:T,[1]raw_data!$A:$A,$B42)</f>
        <v>1.29824561403508</v>
      </c>
      <c r="Y42" s="6">
        <f>SUMIFS([1]raw_data!U:U,[1]raw_data!$A:$A,$B42)</f>
        <v>430.52741200000003</v>
      </c>
      <c r="Z42" s="7">
        <f>SUMIFS([1]raw_data!V:V,[1]raw_data!$A:$A,$B42)</f>
        <v>1.2938596491228</v>
      </c>
      <c r="AA42" s="4">
        <f t="shared" si="0"/>
        <v>561.89355980000005</v>
      </c>
    </row>
    <row r="43" spans="1:30" x14ac:dyDescent="0.25">
      <c r="A43" s="35"/>
      <c r="B43" s="4" t="s">
        <v>138</v>
      </c>
      <c r="C43" s="4" t="s">
        <v>139</v>
      </c>
      <c r="D43" s="4" t="s">
        <v>140</v>
      </c>
      <c r="E43" s="4" t="s">
        <v>19</v>
      </c>
      <c r="F43" s="5">
        <f>IFERROR(INDEX([1]raw_data!B:B,MATCH(B43,[1]raw_data!A:A,0)),0)</f>
        <v>929</v>
      </c>
      <c r="G43" s="6">
        <f>SUMIFS([1]raw_data!C:C,[1]raw_data!$A:$A,$B43)</f>
        <v>10.77075</v>
      </c>
      <c r="H43" s="7">
        <f>SUMIFS([1]raw_data!D:D,[1]raw_data!$A:$A,$B43)</f>
        <v>5.6350626118067897E-2</v>
      </c>
      <c r="I43" s="6">
        <f>SUMIFS([1]raw_data!E:E,[1]raw_data!$A:$A,$B43)</f>
        <v>9.8672620000000002</v>
      </c>
      <c r="J43" s="7">
        <f>SUMIFS([1]raw_data!F:F,[1]raw_data!$A:$A,$B43)</f>
        <v>5.5456171735241498E-2</v>
      </c>
      <c r="K43" s="6">
        <f>SUMIFS([1]raw_data!G:G,[1]raw_data!$A:$A,$B43)</f>
        <v>395.03999700000003</v>
      </c>
      <c r="L43" s="7">
        <f>SUMIFS([1]raw_data!H:H,[1]raw_data!$A:$A,$B43)</f>
        <v>0.49808795411089801</v>
      </c>
      <c r="M43" s="6">
        <f>SUMIFS([1]raw_data!I:I,[1]raw_data!$A:$A,$B43)</f>
        <v>49.360008000000001</v>
      </c>
      <c r="N43" s="7">
        <f>SUMIFS([1]raw_data!J:J,[1]raw_data!$A:$A,$B43)</f>
        <v>0.19024856596558301</v>
      </c>
      <c r="O43" s="6">
        <f>SUMIFS([1]raw_data!K:K,[1]raw_data!$A:$A,$B43)</f>
        <v>116.53115</v>
      </c>
      <c r="P43" s="7">
        <f>SUMIFS([1]raw_data!L:L,[1]raw_data!$A:$A,$B43)</f>
        <v>0.24952561669829201</v>
      </c>
      <c r="Q43" s="6">
        <f>SUMIFS([1]raw_data!M:M,[1]raw_data!$A:$A,$B43)</f>
        <v>13.585594</v>
      </c>
      <c r="R43" s="7">
        <f>SUMIFS([1]raw_data!N:N,[1]raw_data!$A:$A,$B43)</f>
        <v>0.18785578747628001</v>
      </c>
      <c r="S43" s="6">
        <f>SUMIFS([1]raw_data!O:O,[1]raw_data!$A:$A,$B43)</f>
        <v>751.58055200000001</v>
      </c>
      <c r="T43" s="7">
        <f>SUMIFS([1]raw_data!P:P,[1]raw_data!$A:$A,$B43)</f>
        <v>3.2374877330716298</v>
      </c>
      <c r="U43" s="6">
        <f>SUMIFS([1]raw_data!Q:Q,[1]raw_data!$A:$A,$B43)</f>
        <v>164.308325</v>
      </c>
      <c r="V43" s="7">
        <f>SUMIFS([1]raw_data!R:R,[1]raw_data!$A:$A,$B43)</f>
        <v>2.17762512266928</v>
      </c>
      <c r="W43" s="6">
        <f>SUMIFS([1]raw_data!S:S,[1]raw_data!$A:$A,$B43)</f>
        <v>1475.838847</v>
      </c>
      <c r="X43" s="7">
        <f>SUMIFS([1]raw_data!T:T,[1]raw_data!$A:$A,$B43)</f>
        <v>1.8357843137254899</v>
      </c>
      <c r="Y43" s="6">
        <f>SUMIFS([1]raw_data!U:U,[1]raw_data!$A:$A,$B43)</f>
        <v>711.42790000000002</v>
      </c>
      <c r="Z43" s="7">
        <f>SUMIFS([1]raw_data!V:V,[1]raw_data!$A:$A,$B43)</f>
        <v>1.56617647058823</v>
      </c>
      <c r="AA43" s="4">
        <f t="shared" si="0"/>
        <v>549.95225920000007</v>
      </c>
    </row>
    <row r="44" spans="1:30" x14ac:dyDescent="0.25">
      <c r="A44" s="35"/>
      <c r="B44" s="4" t="s">
        <v>343</v>
      </c>
      <c r="C44" s="4" t="s">
        <v>162</v>
      </c>
      <c r="D44" s="4" t="s">
        <v>344</v>
      </c>
      <c r="E44" s="4" t="s">
        <v>76</v>
      </c>
      <c r="F44" s="5">
        <f>IFERROR(INDEX([1]raw_data!B:B,MATCH(B44,[1]raw_data!A:A,0)),0)</f>
        <v>358.83333299999998</v>
      </c>
      <c r="G44" s="6">
        <f>SUMIFS([1]raw_data!C:C,[1]raw_data!$A:$A,$B44)</f>
        <v>2444.77054</v>
      </c>
      <c r="H44" s="7">
        <f>SUMIFS([1]raw_data!D:D,[1]raw_data!$A:$A,$B44)</f>
        <v>0.53571428571428503</v>
      </c>
      <c r="I44" s="6">
        <f>SUMIFS([1]raw_data!E:E,[1]raw_data!$A:$A,$B44)</f>
        <v>111.517708</v>
      </c>
      <c r="J44" s="7">
        <f>SUMIFS([1]raw_data!F:F,[1]raw_data!$A:$A,$B44)</f>
        <v>0.115384615384615</v>
      </c>
      <c r="K44" s="6">
        <f>SUMIFS([1]raw_data!G:G,[1]raw_data!$A:$A,$B44)</f>
        <v>32.871737000000003</v>
      </c>
      <c r="L44" s="7">
        <f>SUMIFS([1]raw_data!H:H,[1]raw_data!$A:$A,$B44)</f>
        <v>0.13150684931506801</v>
      </c>
      <c r="M44" s="6">
        <f>SUMIFS([1]raw_data!I:I,[1]raw_data!$A:$A,$B44)</f>
        <v>32.871737000000003</v>
      </c>
      <c r="N44" s="7">
        <f>SUMIFS([1]raw_data!J:J,[1]raw_data!$A:$A,$B44)</f>
        <v>0.13150684931506801</v>
      </c>
      <c r="O44" s="6">
        <f>SUMIFS([1]raw_data!K:K,[1]raw_data!$A:$A,$B44)</f>
        <v>16.626887</v>
      </c>
      <c r="P44" s="7">
        <f>SUMIFS([1]raw_data!L:L,[1]raw_data!$A:$A,$B44)</f>
        <v>0.12983425414364599</v>
      </c>
      <c r="Q44" s="6">
        <f>SUMIFS([1]raw_data!M:M,[1]raw_data!$A:$A,$B44)</f>
        <v>16.626887</v>
      </c>
      <c r="R44" s="7">
        <f>SUMIFS([1]raw_data!N:N,[1]raw_data!$A:$A,$B44)</f>
        <v>0.12983425414364599</v>
      </c>
      <c r="S44" s="6">
        <f>SUMIFS([1]raw_data!O:O,[1]raw_data!$A:$A,$B44)</f>
        <v>241.086815</v>
      </c>
      <c r="T44" s="7">
        <f>SUMIFS([1]raw_data!P:P,[1]raw_data!$A:$A,$B44)</f>
        <v>1.0919220055710299</v>
      </c>
      <c r="U44" s="6">
        <f>SUMIFS([1]raw_data!Q:Q,[1]raw_data!$A:$A,$B44)</f>
        <v>241.086815</v>
      </c>
      <c r="V44" s="7">
        <f>SUMIFS([1]raw_data!R:R,[1]raw_data!$A:$A,$B44)</f>
        <v>1.0919220055710299</v>
      </c>
      <c r="W44" s="6">
        <f>SUMIFS([1]raw_data!S:S,[1]raw_data!$A:$A,$B44)</f>
        <v>14.389282</v>
      </c>
      <c r="X44" s="7">
        <f>SUMIFS([1]raw_data!T:T,[1]raw_data!$A:$A,$B44)</f>
        <v>0.17404129793510301</v>
      </c>
      <c r="Y44" s="6">
        <f>SUMIFS([1]raw_data!U:U,[1]raw_data!$A:$A,$B44)</f>
        <v>14.389282</v>
      </c>
      <c r="Z44" s="7">
        <f>SUMIFS([1]raw_data!V:V,[1]raw_data!$A:$A,$B44)</f>
        <v>0.17404129793510301</v>
      </c>
      <c r="AA44" s="4">
        <f t="shared" si="0"/>
        <v>549.94905219999998</v>
      </c>
    </row>
    <row r="45" spans="1:30" x14ac:dyDescent="0.25">
      <c r="A45" s="35"/>
      <c r="B45" s="4" t="s">
        <v>34</v>
      </c>
      <c r="C45" s="4" t="s">
        <v>35</v>
      </c>
      <c r="D45" s="4" t="s">
        <v>36</v>
      </c>
      <c r="E45" s="4" t="s">
        <v>15</v>
      </c>
      <c r="F45" s="5">
        <f>IFERROR(INDEX([1]raw_data!B:B,MATCH(B45,[1]raw_data!A:A,0)),0)</f>
        <v>1213.4000000000001</v>
      </c>
      <c r="G45" s="6">
        <f>SUMIFS([1]raw_data!C:C,[1]raw_data!$A:$A,$B45)</f>
        <v>324.26567</v>
      </c>
      <c r="H45" s="7">
        <f>SUMIFS([1]raw_data!D:D,[1]raw_data!$A:$A,$B45)</f>
        <v>1.9806397306397301</v>
      </c>
      <c r="I45" s="6">
        <f>SUMIFS([1]raw_data!E:E,[1]raw_data!$A:$A,$B45)</f>
        <v>303.224852</v>
      </c>
      <c r="J45" s="7">
        <f>SUMIFS([1]raw_data!F:F,[1]raw_data!$A:$A,$B45)</f>
        <v>1.9638047138047099</v>
      </c>
      <c r="K45" s="6">
        <f>SUMIFS([1]raw_data!G:G,[1]raw_data!$A:$A,$B45)</f>
        <v>779.845598</v>
      </c>
      <c r="L45" s="7">
        <f>SUMIFS([1]raw_data!H:H,[1]raw_data!$A:$A,$B45)</f>
        <v>2.6413043478260798</v>
      </c>
      <c r="M45" s="6">
        <f>SUMIFS([1]raw_data!I:I,[1]raw_data!$A:$A,$B45)</f>
        <v>610.75228400000003</v>
      </c>
      <c r="N45" s="7">
        <f>SUMIFS([1]raw_data!J:J,[1]raw_data!$A:$A,$B45)</f>
        <v>2.5351170568561798</v>
      </c>
      <c r="O45" s="6">
        <f>SUMIFS([1]raw_data!K:K,[1]raw_data!$A:$A,$B45)</f>
        <v>701.83879400000001</v>
      </c>
      <c r="P45" s="7">
        <f>SUMIFS([1]raw_data!L:L,[1]raw_data!$A:$A,$B45)</f>
        <v>3.9368155012636801</v>
      </c>
      <c r="Q45" s="6">
        <f>SUMIFS([1]raw_data!M:M,[1]raw_data!$A:$A,$B45)</f>
        <v>688.37534300000004</v>
      </c>
      <c r="R45" s="7">
        <f>SUMIFS([1]raw_data!N:N,[1]raw_data!$A:$A,$B45)</f>
        <v>3.9098567818028598</v>
      </c>
      <c r="S45" s="6">
        <f>SUMIFS([1]raw_data!O:O,[1]raw_data!$A:$A,$B45)</f>
        <v>249.568016</v>
      </c>
      <c r="T45" s="7">
        <f>SUMIFS([1]raw_data!P:P,[1]raw_data!$A:$A,$B45)</f>
        <v>0.50040096230954201</v>
      </c>
      <c r="U45" s="6">
        <f>SUMIFS([1]raw_data!Q:Q,[1]raw_data!$A:$A,$B45)</f>
        <v>87.759889999999999</v>
      </c>
      <c r="V45" s="7">
        <f>SUMIFS([1]raw_data!R:R,[1]raw_data!$A:$A,$B45)</f>
        <v>0.37610264635124202</v>
      </c>
      <c r="W45" s="6">
        <f>SUMIFS([1]raw_data!S:S,[1]raw_data!$A:$A,$B45)</f>
        <v>684.83887000000004</v>
      </c>
      <c r="X45" s="7">
        <f>SUMIFS([1]raw_data!T:T,[1]raw_data!$A:$A,$B45)</f>
        <v>1.24339471577261</v>
      </c>
      <c r="Y45" s="6">
        <f>SUMIFS([1]raw_data!U:U,[1]raw_data!$A:$A,$B45)</f>
        <v>282.07016199999998</v>
      </c>
      <c r="Z45" s="7">
        <f>SUMIFS([1]raw_data!V:V,[1]raw_data!$A:$A,$B45)</f>
        <v>1.0536429143314601</v>
      </c>
      <c r="AA45" s="4">
        <f t="shared" si="0"/>
        <v>548.07138959999997</v>
      </c>
    </row>
    <row r="46" spans="1:30" x14ac:dyDescent="0.25">
      <c r="A46" s="35"/>
      <c r="B46" s="4" t="s">
        <v>184</v>
      </c>
      <c r="C46" s="4" t="s">
        <v>185</v>
      </c>
      <c r="D46" s="4" t="s">
        <v>186</v>
      </c>
      <c r="E46" s="4" t="s">
        <v>27</v>
      </c>
      <c r="F46" s="5">
        <f>IFERROR(INDEX([1]raw_data!B:B,MATCH(B46,[1]raw_data!A:A,0)),0)</f>
        <v>1118.4000000000001</v>
      </c>
      <c r="G46" s="6">
        <f>SUMIFS([1]raw_data!C:C,[1]raw_data!$A:$A,$B46)</f>
        <v>622.63824999999997</v>
      </c>
      <c r="H46" s="7">
        <f>SUMIFS([1]raw_data!D:D,[1]raw_data!$A:$A,$B46)</f>
        <v>0.82616487455197096</v>
      </c>
      <c r="I46" s="6">
        <f>SUMIFS([1]raw_data!E:E,[1]raw_data!$A:$A,$B46)</f>
        <v>114.190977</v>
      </c>
      <c r="J46" s="7">
        <f>SUMIFS([1]raw_data!F:F,[1]raw_data!$A:$A,$B46)</f>
        <v>0.55197132616487399</v>
      </c>
      <c r="K46" s="6">
        <f>SUMIFS([1]raw_data!G:G,[1]raw_data!$A:$A,$B46)</f>
        <v>73.512559999999993</v>
      </c>
      <c r="L46" s="7">
        <f>SUMIFS([1]raw_data!H:H,[1]raw_data!$A:$A,$B46)</f>
        <v>0.33691756272401402</v>
      </c>
      <c r="M46" s="6">
        <f>SUMIFS([1]raw_data!I:I,[1]raw_data!$A:$A,$B46)</f>
        <v>72.293120999999999</v>
      </c>
      <c r="N46" s="7">
        <f>SUMIFS([1]raw_data!J:J,[1]raw_data!$A:$A,$B46)</f>
        <v>0.33602150537634401</v>
      </c>
      <c r="O46" s="6">
        <f>SUMIFS([1]raw_data!K:K,[1]raw_data!$A:$A,$B46)</f>
        <v>795.92536399999995</v>
      </c>
      <c r="P46" s="7">
        <f>SUMIFS([1]raw_data!L:L,[1]raw_data!$A:$A,$B46)</f>
        <v>0.624664879356568</v>
      </c>
      <c r="Q46" s="6">
        <f>SUMIFS([1]raw_data!M:M,[1]raw_data!$A:$A,$B46)</f>
        <v>27.734286000000001</v>
      </c>
      <c r="R46" s="7">
        <f>SUMIFS([1]raw_data!N:N,[1]raw_data!$A:$A,$B46)</f>
        <v>0.208221626452189</v>
      </c>
      <c r="S46" s="6">
        <f>SUMIFS([1]raw_data!O:O,[1]raw_data!$A:$A,$B46)</f>
        <v>316.41290800000002</v>
      </c>
      <c r="T46" s="7">
        <f>SUMIFS([1]raw_data!P:P,[1]raw_data!$A:$A,$B46)</f>
        <v>0.932263814616755</v>
      </c>
      <c r="U46" s="6">
        <f>SUMIFS([1]raw_data!Q:Q,[1]raw_data!$A:$A,$B46)</f>
        <v>35.172311000000001</v>
      </c>
      <c r="V46" s="7">
        <f>SUMIFS([1]raw_data!R:R,[1]raw_data!$A:$A,$B46)</f>
        <v>0.37522281639928601</v>
      </c>
      <c r="W46" s="6">
        <f>SUMIFS([1]raw_data!S:S,[1]raw_data!$A:$A,$B46)</f>
        <v>927.15982899999995</v>
      </c>
      <c r="X46" s="7">
        <f>SUMIFS([1]raw_data!T:T,[1]raw_data!$A:$A,$B46)</f>
        <v>2.46559428060768</v>
      </c>
      <c r="Y46" s="6">
        <f>SUMIFS([1]raw_data!U:U,[1]raw_data!$A:$A,$B46)</f>
        <v>503.80761000000001</v>
      </c>
      <c r="Z46" s="7">
        <f>SUMIFS([1]raw_data!V:V,[1]raw_data!$A:$A,$B46)</f>
        <v>1.8865058087578099</v>
      </c>
      <c r="AA46" s="4">
        <f t="shared" si="0"/>
        <v>547.12978219999991</v>
      </c>
    </row>
    <row r="47" spans="1:30" x14ac:dyDescent="0.25">
      <c r="A47" s="35"/>
      <c r="B47" s="4" t="s">
        <v>28</v>
      </c>
      <c r="C47" s="4" t="s">
        <v>29</v>
      </c>
      <c r="D47" s="4" t="s">
        <v>30</v>
      </c>
      <c r="E47" s="4" t="s">
        <v>31</v>
      </c>
      <c r="F47" s="5">
        <f>IFERROR(INDEX([1]raw_data!B:B,MATCH(B47,[1]raw_data!A:A,0)),0)</f>
        <v>896</v>
      </c>
      <c r="G47" s="6">
        <f>SUMIFS([1]raw_data!C:C,[1]raw_data!$A:$A,$B47)</f>
        <v>1584.280722</v>
      </c>
      <c r="H47" s="7">
        <f>SUMIFS([1]raw_data!D:D,[1]raw_data!$A:$A,$B47)</f>
        <v>8.6051587301587293</v>
      </c>
      <c r="I47" s="6">
        <f>SUMIFS([1]raw_data!E:E,[1]raw_data!$A:$A,$B47)</f>
        <v>963.49289399999998</v>
      </c>
      <c r="J47" s="7">
        <f>SUMIFS([1]raw_data!F:F,[1]raw_data!$A:$A,$B47)</f>
        <v>5.9980158730158699</v>
      </c>
      <c r="K47" s="6">
        <f>SUMIFS([1]raw_data!G:G,[1]raw_data!$A:$A,$B47)</f>
        <v>138.462243</v>
      </c>
      <c r="L47" s="7">
        <f>SUMIFS([1]raw_data!H:H,[1]raw_data!$A:$A,$B47)</f>
        <v>1.5803842264914001</v>
      </c>
      <c r="M47" s="6">
        <f>SUMIFS([1]raw_data!I:I,[1]raw_data!$A:$A,$B47)</f>
        <v>137.176367</v>
      </c>
      <c r="N47" s="7">
        <f>SUMIFS([1]raw_data!J:J,[1]raw_data!$A:$A,$B47)</f>
        <v>1.5733063700707699</v>
      </c>
      <c r="O47" s="6">
        <f>SUMIFS([1]raw_data!K:K,[1]raw_data!$A:$A,$B47)</f>
        <v>18.361093</v>
      </c>
      <c r="P47" s="7">
        <f>SUMIFS([1]raw_data!L:L,[1]raw_data!$A:$A,$B47)</f>
        <v>0.231755424063116</v>
      </c>
      <c r="Q47" s="6">
        <f>SUMIFS([1]raw_data!M:M,[1]raw_data!$A:$A,$B47)</f>
        <v>18.212835999999999</v>
      </c>
      <c r="R47" s="7">
        <f>SUMIFS([1]raw_data!N:N,[1]raw_data!$A:$A,$B47)</f>
        <v>0.22978303747534501</v>
      </c>
      <c r="S47" s="6">
        <f>SUMIFS([1]raw_data!O:O,[1]raw_data!$A:$A,$B47)</f>
        <v>124.695329</v>
      </c>
      <c r="T47" s="7">
        <f>SUMIFS([1]raw_data!P:P,[1]raw_data!$A:$A,$B47)</f>
        <v>1.0238500851788701</v>
      </c>
      <c r="U47" s="6">
        <f>SUMIFS([1]raw_data!Q:Q,[1]raw_data!$A:$A,$B47)</f>
        <v>124.695329</v>
      </c>
      <c r="V47" s="7">
        <f>SUMIFS([1]raw_data!R:R,[1]raw_data!$A:$A,$B47)</f>
        <v>1.0238500851788701</v>
      </c>
      <c r="W47" s="6">
        <f>SUMIFS([1]raw_data!S:S,[1]raw_data!$A:$A,$B47)</f>
        <v>831.64991399999997</v>
      </c>
      <c r="X47" s="7">
        <f>SUMIFS([1]raw_data!T:T,[1]raw_data!$A:$A,$B47)</f>
        <v>3.0857142857142801</v>
      </c>
      <c r="Y47" s="6">
        <f>SUMIFS([1]raw_data!U:U,[1]raw_data!$A:$A,$B47)</f>
        <v>831.64991399999997</v>
      </c>
      <c r="Z47" s="7">
        <f>SUMIFS([1]raw_data!V:V,[1]raw_data!$A:$A,$B47)</f>
        <v>3.0857142857142801</v>
      </c>
      <c r="AA47" s="4">
        <f t="shared" si="0"/>
        <v>539.48986019999995</v>
      </c>
    </row>
    <row r="48" spans="1:30" x14ac:dyDescent="0.25">
      <c r="A48" s="35"/>
      <c r="B48" s="4" t="s">
        <v>105</v>
      </c>
      <c r="C48" s="4" t="s">
        <v>106</v>
      </c>
      <c r="D48" s="4" t="s">
        <v>107</v>
      </c>
      <c r="E48" s="4" t="s">
        <v>19</v>
      </c>
      <c r="F48" s="5">
        <f>IFERROR(INDEX([1]raw_data!B:B,MATCH(B48,[1]raw_data!A:A,0)),0)</f>
        <v>965.2</v>
      </c>
      <c r="G48" s="6">
        <f>SUMIFS([1]raw_data!C:C,[1]raw_data!$A:$A,$B48)</f>
        <v>287.60849999999999</v>
      </c>
      <c r="H48" s="7">
        <f>SUMIFS([1]raw_data!D:D,[1]raw_data!$A:$A,$B48)</f>
        <v>1.13065326633165</v>
      </c>
      <c r="I48" s="6">
        <f>SUMIFS([1]raw_data!E:E,[1]raw_data!$A:$A,$B48)</f>
        <v>287.10176899999999</v>
      </c>
      <c r="J48" s="7">
        <f>SUMIFS([1]raw_data!F:F,[1]raw_data!$A:$A,$B48)</f>
        <v>1.1286432160804001</v>
      </c>
      <c r="K48" s="6">
        <f>SUMIFS([1]raw_data!G:G,[1]raw_data!$A:$A,$B48)</f>
        <v>1690.6741850000001</v>
      </c>
      <c r="L48" s="7">
        <f>SUMIFS([1]raw_data!H:H,[1]raw_data!$A:$A,$B48)</f>
        <v>4.4883720930232496</v>
      </c>
      <c r="M48" s="6">
        <f>SUMIFS([1]raw_data!I:I,[1]raw_data!$A:$A,$B48)</f>
        <v>337.15798699999999</v>
      </c>
      <c r="N48" s="7">
        <f>SUMIFS([1]raw_data!J:J,[1]raw_data!$A:$A,$B48)</f>
        <v>2.81298449612403</v>
      </c>
      <c r="O48" s="6">
        <f>SUMIFS([1]raw_data!K:K,[1]raw_data!$A:$A,$B48)</f>
        <v>95.410060000000001</v>
      </c>
      <c r="P48" s="7">
        <f>SUMIFS([1]raw_data!L:L,[1]raw_data!$A:$A,$B48)</f>
        <v>1.1463178294573599</v>
      </c>
      <c r="Q48" s="6">
        <f>SUMIFS([1]raw_data!M:M,[1]raw_data!$A:$A,$B48)</f>
        <v>14.249337000000001</v>
      </c>
      <c r="R48" s="7">
        <f>SUMIFS([1]raw_data!N:N,[1]raw_data!$A:$A,$B48)</f>
        <v>0.111434108527131</v>
      </c>
      <c r="S48" s="6">
        <f>SUMIFS([1]raw_data!O:O,[1]raw_data!$A:$A,$B48)</f>
        <v>588.12784299999998</v>
      </c>
      <c r="T48" s="7">
        <f>SUMIFS([1]raw_data!P:P,[1]raw_data!$A:$A,$B48)</f>
        <v>2.0107991360691102</v>
      </c>
      <c r="U48" s="6">
        <f>SUMIFS([1]raw_data!Q:Q,[1]raw_data!$A:$A,$B48)</f>
        <v>548.74258399999997</v>
      </c>
      <c r="V48" s="7">
        <f>SUMIFS([1]raw_data!R:R,[1]raw_data!$A:$A,$B48)</f>
        <v>1.98380129589632</v>
      </c>
      <c r="W48" s="6">
        <f>SUMIFS([1]raw_data!S:S,[1]raw_data!$A:$A,$B48)</f>
        <v>18.152515999999999</v>
      </c>
      <c r="X48" s="7">
        <f>SUMIFS([1]raw_data!T:T,[1]raw_data!$A:$A,$B48)</f>
        <v>0.1474435196195</v>
      </c>
      <c r="Y48" s="6">
        <f>SUMIFS([1]raw_data!U:U,[1]raw_data!$A:$A,$B48)</f>
        <v>16.958997</v>
      </c>
      <c r="Z48" s="7">
        <f>SUMIFS([1]raw_data!V:V,[1]raw_data!$A:$A,$B48)</f>
        <v>0.143876337693222</v>
      </c>
      <c r="AA48" s="4">
        <f t="shared" si="0"/>
        <v>535.99462080000012</v>
      </c>
    </row>
    <row r="49" spans="1:30" x14ac:dyDescent="0.25">
      <c r="A49" s="35"/>
      <c r="B49" s="4" t="s">
        <v>358</v>
      </c>
      <c r="C49" s="4" t="s">
        <v>220</v>
      </c>
      <c r="D49" s="4" t="s">
        <v>359</v>
      </c>
      <c r="E49" s="4" t="s">
        <v>27</v>
      </c>
      <c r="F49" s="5">
        <f>IFERROR(INDEX([1]raw_data!B:B,MATCH(B49,[1]raw_data!A:A,0)),0)</f>
        <v>695.4</v>
      </c>
      <c r="G49" s="6">
        <f>SUMIFS([1]raw_data!C:C,[1]raw_data!$A:$A,$B49)</f>
        <v>1624.441607</v>
      </c>
      <c r="H49" s="7">
        <f>SUMIFS([1]raw_data!D:D,[1]raw_data!$A:$A,$B49)</f>
        <v>1.6024691358024601</v>
      </c>
      <c r="I49" s="6">
        <f>SUMIFS([1]raw_data!E:E,[1]raw_data!$A:$A,$B49)</f>
        <v>52.958053</v>
      </c>
      <c r="J49" s="7">
        <f>SUMIFS([1]raw_data!F:F,[1]raw_data!$A:$A,$B49)</f>
        <v>0.52592592592592502</v>
      </c>
      <c r="K49" s="6">
        <f>SUMIFS([1]raw_data!G:G,[1]raw_data!$A:$A,$B49)</f>
        <v>55.021016000000003</v>
      </c>
      <c r="L49" s="7">
        <f>SUMIFS([1]raw_data!H:H,[1]raw_data!$A:$A,$B49)</f>
        <v>0.44812680115273701</v>
      </c>
      <c r="M49" s="6">
        <f>SUMIFS([1]raw_data!I:I,[1]raw_data!$A:$A,$B49)</f>
        <v>40.325161000000001</v>
      </c>
      <c r="N49" s="7">
        <f>SUMIFS([1]raw_data!J:J,[1]raw_data!$A:$A,$B49)</f>
        <v>0.33285302593659899</v>
      </c>
      <c r="O49" s="6">
        <f>SUMIFS([1]raw_data!K:K,[1]raw_data!$A:$A,$B49)</f>
        <v>489.304078</v>
      </c>
      <c r="P49" s="7">
        <f>SUMIFS([1]raw_data!L:L,[1]raw_data!$A:$A,$B49)</f>
        <v>1.38888888888888</v>
      </c>
      <c r="Q49" s="6">
        <f>SUMIFS([1]raw_data!M:M,[1]raw_data!$A:$A,$B49)</f>
        <v>62.016866</v>
      </c>
      <c r="R49" s="7">
        <f>SUMIFS([1]raw_data!N:N,[1]raw_data!$A:$A,$B49)</f>
        <v>0.38738738738738698</v>
      </c>
      <c r="S49" s="6">
        <f>SUMIFS([1]raw_data!O:O,[1]raw_data!$A:$A,$B49)</f>
        <v>219.499719</v>
      </c>
      <c r="T49" s="7">
        <f>SUMIFS([1]raw_data!P:P,[1]raw_data!$A:$A,$B49)</f>
        <v>1.4237804878048701</v>
      </c>
      <c r="U49" s="6">
        <f>SUMIFS([1]raw_data!Q:Q,[1]raw_data!$A:$A,$B49)</f>
        <v>139.49923699999999</v>
      </c>
      <c r="V49" s="7">
        <f>SUMIFS([1]raw_data!R:R,[1]raw_data!$A:$A,$B49)</f>
        <v>1.33079268292682</v>
      </c>
      <c r="W49" s="6">
        <f>SUMIFS([1]raw_data!S:S,[1]raw_data!$A:$A,$B49)</f>
        <v>277.331233</v>
      </c>
      <c r="X49" s="7">
        <f>SUMIFS([1]raw_data!T:T,[1]raw_data!$A:$A,$B49)</f>
        <v>0.73579109062979997</v>
      </c>
      <c r="Y49" s="6">
        <f>SUMIFS([1]raw_data!U:U,[1]raw_data!$A:$A,$B49)</f>
        <v>79.423091999999997</v>
      </c>
      <c r="Z49" s="7">
        <f>SUMIFS([1]raw_data!V:V,[1]raw_data!$A:$A,$B49)</f>
        <v>0.62365591397849396</v>
      </c>
      <c r="AA49" s="4">
        <f t="shared" si="0"/>
        <v>533.11953059999996</v>
      </c>
    </row>
    <row r="50" spans="1:30" x14ac:dyDescent="0.25">
      <c r="A50" s="35"/>
      <c r="B50" s="4" t="s">
        <v>285</v>
      </c>
      <c r="C50" s="4" t="s">
        <v>262</v>
      </c>
      <c r="D50" s="4" t="s">
        <v>286</v>
      </c>
      <c r="E50" s="4" t="s">
        <v>19</v>
      </c>
      <c r="F50" s="5">
        <f>IFERROR(INDEX([1]raw_data!B:B,MATCH(B50,[1]raw_data!A:A,0)),0)</f>
        <v>2148.6</v>
      </c>
      <c r="G50" s="6">
        <f>SUMIFS([1]raw_data!C:C,[1]raw_data!$A:$A,$B50)</f>
        <v>18.975339999999999</v>
      </c>
      <c r="H50" s="7">
        <f>SUMIFS([1]raw_data!D:D,[1]raw_data!$A:$A,$B50)</f>
        <v>0.108194112967382</v>
      </c>
      <c r="I50" s="6">
        <f>SUMIFS([1]raw_data!E:E,[1]raw_data!$A:$A,$B50)</f>
        <v>17.855402000000002</v>
      </c>
      <c r="J50" s="7">
        <f>SUMIFS([1]raw_data!F:F,[1]raw_data!$A:$A,$B50)</f>
        <v>0.105807478122513</v>
      </c>
      <c r="K50" s="6">
        <f>SUMIFS([1]raw_data!G:G,[1]raw_data!$A:$A,$B50)</f>
        <v>83.219797</v>
      </c>
      <c r="L50" s="7">
        <f>SUMIFS([1]raw_data!H:H,[1]raw_data!$A:$A,$B50)</f>
        <v>0.148691514670896</v>
      </c>
      <c r="M50" s="6">
        <f>SUMIFS([1]raw_data!I:I,[1]raw_data!$A:$A,$B50)</f>
        <v>3.7600099999999999</v>
      </c>
      <c r="N50" s="7">
        <f>SUMIFS([1]raw_data!J:J,[1]raw_data!$A:$A,$B50)</f>
        <v>7.0975416336241007E-2</v>
      </c>
      <c r="O50" s="6">
        <f>SUMIFS([1]raw_data!K:K,[1]raw_data!$A:$A,$B50)</f>
        <v>102.164726</v>
      </c>
      <c r="P50" s="7">
        <f>SUMIFS([1]raw_data!L:L,[1]raw_data!$A:$A,$B50)</f>
        <v>1.1076125946592199</v>
      </c>
      <c r="Q50" s="6">
        <f>SUMIFS([1]raw_data!M:M,[1]raw_data!$A:$A,$B50)</f>
        <v>99.877786</v>
      </c>
      <c r="R50" s="7">
        <f>SUMIFS([1]raw_data!N:N,[1]raw_data!$A:$A,$B50)</f>
        <v>1.09565563969709</v>
      </c>
      <c r="S50" s="6">
        <f>SUMIFS([1]raw_data!O:O,[1]raw_data!$A:$A,$B50)</f>
        <v>308.60321900000002</v>
      </c>
      <c r="T50" s="7">
        <f>SUMIFS([1]raw_data!P:P,[1]raw_data!$A:$A,$B50)</f>
        <v>1.4852620087336199</v>
      </c>
      <c r="U50" s="6">
        <f>SUMIFS([1]raw_data!Q:Q,[1]raw_data!$A:$A,$B50)</f>
        <v>258.58404200000001</v>
      </c>
      <c r="V50" s="7">
        <f>SUMIFS([1]raw_data!R:R,[1]raw_data!$A:$A,$B50)</f>
        <v>1.4388646288209599</v>
      </c>
      <c r="W50" s="6">
        <f>SUMIFS([1]raw_data!S:S,[1]raw_data!$A:$A,$B50)</f>
        <v>2066.8328809999998</v>
      </c>
      <c r="X50" s="7">
        <f>SUMIFS([1]raw_data!T:T,[1]raw_data!$A:$A,$B50)</f>
        <v>5.0014641288433301</v>
      </c>
      <c r="Y50" s="6">
        <f>SUMIFS([1]raw_data!U:U,[1]raw_data!$A:$A,$B50)</f>
        <v>122.350707</v>
      </c>
      <c r="Z50" s="7">
        <f>SUMIFS([1]raw_data!V:V,[1]raw_data!$A:$A,$B50)</f>
        <v>0.42240117130307397</v>
      </c>
      <c r="AA50" s="4">
        <f t="shared" si="0"/>
        <v>515.95919259999994</v>
      </c>
    </row>
    <row r="51" spans="1:30" x14ac:dyDescent="0.25">
      <c r="A51" s="35"/>
      <c r="B51" s="4" t="s">
        <v>82</v>
      </c>
      <c r="C51" s="4" t="s">
        <v>83</v>
      </c>
      <c r="D51" s="4" t="s">
        <v>84</v>
      </c>
      <c r="E51" s="4" t="s">
        <v>19</v>
      </c>
      <c r="F51" s="5">
        <f>IFERROR(INDEX([1]raw_data!B:B,MATCH(B51,[1]raw_data!A:A,0)),0)</f>
        <v>551</v>
      </c>
      <c r="G51" s="6">
        <f>SUMIFS([1]raw_data!C:C,[1]raw_data!$A:$A,$B51)</f>
        <v>75.388831999999994</v>
      </c>
      <c r="H51" s="7">
        <f>SUMIFS([1]raw_data!D:D,[1]raw_data!$A:$A,$B51)</f>
        <v>0.98727272727272697</v>
      </c>
      <c r="I51" s="6">
        <f>SUMIFS([1]raw_data!E:E,[1]raw_data!$A:$A,$B51)</f>
        <v>75.317212999999995</v>
      </c>
      <c r="J51" s="7">
        <f>SUMIFS([1]raw_data!F:F,[1]raw_data!$A:$A,$B51)</f>
        <v>0.98545454545454503</v>
      </c>
      <c r="K51" s="6">
        <f>SUMIFS([1]raw_data!G:G,[1]raw_data!$A:$A,$B51)</f>
        <v>1964.8346469999999</v>
      </c>
      <c r="L51" s="7">
        <f>SUMIFS([1]raw_data!H:H,[1]raw_data!$A:$A,$B51)</f>
        <v>2.8378378378378302</v>
      </c>
      <c r="M51" s="6">
        <f>SUMIFS([1]raw_data!I:I,[1]raw_data!$A:$A,$B51)</f>
        <v>774.96845399999995</v>
      </c>
      <c r="N51" s="7">
        <f>SUMIFS([1]raw_data!J:J,[1]raw_data!$A:$A,$B51)</f>
        <v>1.92252252252252</v>
      </c>
      <c r="O51" s="6">
        <f>SUMIFS([1]raw_data!K:K,[1]raw_data!$A:$A,$B51)</f>
        <v>236.29394400000001</v>
      </c>
      <c r="P51" s="7">
        <f>SUMIFS([1]raw_data!L:L,[1]raw_data!$A:$A,$B51)</f>
        <v>2.91187050359712</v>
      </c>
      <c r="Q51" s="6">
        <f>SUMIFS([1]raw_data!M:M,[1]raw_data!$A:$A,$B51)</f>
        <v>231.529256</v>
      </c>
      <c r="R51" s="7">
        <f>SUMIFS([1]raw_data!N:N,[1]raw_data!$A:$A,$B51)</f>
        <v>2.9082733812949599</v>
      </c>
      <c r="S51" s="6">
        <f>SUMIFS([1]raw_data!O:O,[1]raw_data!$A:$A,$B51)</f>
        <v>269.82518099999999</v>
      </c>
      <c r="T51" s="7">
        <f>SUMIFS([1]raw_data!P:P,[1]raw_data!$A:$A,$B51)</f>
        <v>3.1159420289855002</v>
      </c>
      <c r="U51" s="6">
        <f>SUMIFS([1]raw_data!Q:Q,[1]raw_data!$A:$A,$B51)</f>
        <v>269.82518099999999</v>
      </c>
      <c r="V51" s="7">
        <f>SUMIFS([1]raw_data!R:R,[1]raw_data!$A:$A,$B51)</f>
        <v>3.1159420289855002</v>
      </c>
      <c r="W51" s="6">
        <f>SUMIFS([1]raw_data!S:S,[1]raw_data!$A:$A,$B51)</f>
        <v>19.616042</v>
      </c>
      <c r="X51" s="7">
        <f>SUMIFS([1]raw_data!T:T,[1]raw_data!$A:$A,$B51)</f>
        <v>4.8689138576778999E-2</v>
      </c>
      <c r="Y51" s="6">
        <f>SUMIFS([1]raw_data!U:U,[1]raw_data!$A:$A,$B51)</f>
        <v>19.616042</v>
      </c>
      <c r="Z51" s="7">
        <f>SUMIFS([1]raw_data!V:V,[1]raw_data!$A:$A,$B51)</f>
        <v>4.8689138576778999E-2</v>
      </c>
      <c r="AA51" s="4">
        <f t="shared" si="0"/>
        <v>513.19172920000005</v>
      </c>
    </row>
    <row r="52" spans="1:30" x14ac:dyDescent="0.25">
      <c r="A52" s="35"/>
      <c r="B52" s="4" t="s">
        <v>151</v>
      </c>
      <c r="C52" s="4" t="s">
        <v>123</v>
      </c>
      <c r="D52" s="4" t="s">
        <v>152</v>
      </c>
      <c r="E52" s="4" t="s">
        <v>19</v>
      </c>
      <c r="F52" s="5">
        <f>IFERROR(INDEX([1]raw_data!B:B,MATCH(B52,[1]raw_data!A:A,0)),0)</f>
        <v>92.375</v>
      </c>
      <c r="G52" s="6">
        <f>SUMIFS([1]raw_data!C:C,[1]raw_data!$A:$A,$B52)</f>
        <v>779.11005999999998</v>
      </c>
      <c r="H52" s="7">
        <f>SUMIFS([1]raw_data!D:D,[1]raw_data!$A:$A,$B52)</f>
        <v>1.2688172043010699</v>
      </c>
      <c r="I52" s="6">
        <f>SUMIFS([1]raw_data!E:E,[1]raw_data!$A:$A,$B52)</f>
        <v>299.74387899999999</v>
      </c>
      <c r="J52" s="7">
        <f>SUMIFS([1]raw_data!F:F,[1]raw_data!$A:$A,$B52)</f>
        <v>0.82795698924731098</v>
      </c>
      <c r="K52" s="6">
        <f>SUMIFS([1]raw_data!G:G,[1]raw_data!$A:$A,$B52)</f>
        <v>38.893259</v>
      </c>
      <c r="L52" s="7">
        <f>SUMIFS([1]raw_data!H:H,[1]raw_data!$A:$A,$B52)</f>
        <v>8.5106382978723402E-2</v>
      </c>
      <c r="M52" s="6">
        <f>SUMIFS([1]raw_data!I:I,[1]raw_data!$A:$A,$B52)</f>
        <v>38.893259</v>
      </c>
      <c r="N52" s="7">
        <f>SUMIFS([1]raw_data!J:J,[1]raw_data!$A:$A,$B52)</f>
        <v>8.5106382978723402E-2</v>
      </c>
      <c r="O52" s="6">
        <f>SUMIFS([1]raw_data!K:K,[1]raw_data!$A:$A,$B52)</f>
        <v>59.027597</v>
      </c>
      <c r="P52" s="7">
        <f>SUMIFS([1]raw_data!L:L,[1]raw_data!$A:$A,$B52)</f>
        <v>0.462365591397849</v>
      </c>
      <c r="Q52" s="6">
        <f>SUMIFS([1]raw_data!M:M,[1]raw_data!$A:$A,$B52)</f>
        <v>36.155017000000001</v>
      </c>
      <c r="R52" s="7">
        <f>SUMIFS([1]raw_data!N:N,[1]raw_data!$A:$A,$B52)</f>
        <v>0.45161290322580599</v>
      </c>
      <c r="S52" s="6">
        <f>SUMIFS([1]raw_data!O:O,[1]raw_data!$A:$A,$B52)</f>
        <v>1112.6754570000001</v>
      </c>
      <c r="T52" s="7">
        <f>SUMIFS([1]raw_data!P:P,[1]raw_data!$A:$A,$B52)</f>
        <v>1.1868131868131799</v>
      </c>
      <c r="U52" s="6">
        <f>SUMIFS([1]raw_data!Q:Q,[1]raw_data!$A:$A,$B52)</f>
        <v>84.855311</v>
      </c>
      <c r="V52" s="7">
        <f>SUMIFS([1]raw_data!R:R,[1]raw_data!$A:$A,$B52)</f>
        <v>0.84615384615384603</v>
      </c>
      <c r="W52" s="6">
        <f>SUMIFS([1]raw_data!S:S,[1]raw_data!$A:$A,$B52)</f>
        <v>436.78241700000001</v>
      </c>
      <c r="X52" s="7">
        <f>SUMIFS([1]raw_data!T:T,[1]raw_data!$A:$A,$B52)</f>
        <v>2.0879120879120801</v>
      </c>
      <c r="Y52" s="6">
        <f>SUMIFS([1]raw_data!U:U,[1]raw_data!$A:$A,$B52)</f>
        <v>436.78241700000001</v>
      </c>
      <c r="Z52" s="7">
        <f>SUMIFS([1]raw_data!V:V,[1]raw_data!$A:$A,$B52)</f>
        <v>2.0879120879120801</v>
      </c>
      <c r="AA52" s="4">
        <f t="shared" si="0"/>
        <v>485.29775799999999</v>
      </c>
    </row>
    <row r="53" spans="1:30" ht="14.45" customHeight="1" x14ac:dyDescent="0.25">
      <c r="A53" s="35"/>
      <c r="B53" s="4" t="s">
        <v>377</v>
      </c>
      <c r="C53" s="4" t="s">
        <v>159</v>
      </c>
      <c r="D53" s="4" t="s">
        <v>378</v>
      </c>
      <c r="E53" s="4" t="s">
        <v>23</v>
      </c>
      <c r="F53" s="5">
        <f>IFERROR(INDEX([1]raw_data!B:B,MATCH(B53,[1]raw_data!A:A,0)),0)</f>
        <v>1091.5999999999999</v>
      </c>
      <c r="G53" s="6">
        <f>SUMIFS([1]raw_data!C:C,[1]raw_data!$A:$A,$B53)</f>
        <v>1378.0400179999999</v>
      </c>
      <c r="H53" s="7">
        <f>SUMIFS([1]raw_data!D:D,[1]raw_data!$A:$A,$B53)</f>
        <v>1.8583180987202901</v>
      </c>
      <c r="I53" s="6">
        <f>SUMIFS([1]raw_data!E:E,[1]raw_data!$A:$A,$B53)</f>
        <v>99.112757999999999</v>
      </c>
      <c r="J53" s="7">
        <f>SUMIFS([1]raw_data!F:F,[1]raw_data!$A:$A,$B53)</f>
        <v>1.13254113345521</v>
      </c>
      <c r="K53" s="6">
        <f>SUMIFS([1]raw_data!G:G,[1]raw_data!$A:$A,$B53)</f>
        <v>414.001284</v>
      </c>
      <c r="L53" s="7">
        <f>SUMIFS([1]raw_data!H:H,[1]raw_data!$A:$A,$B53)</f>
        <v>1.50592525068368</v>
      </c>
      <c r="M53" s="6">
        <f>SUMIFS([1]raw_data!I:I,[1]raw_data!$A:$A,$B53)</f>
        <v>59.317360000000001</v>
      </c>
      <c r="N53" s="7">
        <f>SUMIFS([1]raw_data!J:J,[1]raw_data!$A:$A,$B53)</f>
        <v>0.92069279854147601</v>
      </c>
      <c r="O53" s="6">
        <f>SUMIFS([1]raw_data!K:K,[1]raw_data!$A:$A,$B53)</f>
        <v>462.18520100000001</v>
      </c>
      <c r="P53" s="7">
        <f>SUMIFS([1]raw_data!L:L,[1]raw_data!$A:$A,$B53)</f>
        <v>1.83318140382862</v>
      </c>
      <c r="Q53" s="6">
        <f>SUMIFS([1]raw_data!M:M,[1]raw_data!$A:$A,$B53)</f>
        <v>79.960604000000004</v>
      </c>
      <c r="R53" s="7">
        <f>SUMIFS([1]raw_data!N:N,[1]raw_data!$A:$A,$B53)</f>
        <v>0.77666362807657197</v>
      </c>
      <c r="S53" s="6">
        <f>SUMIFS([1]raw_data!O:O,[1]raw_data!$A:$A,$B53)</f>
        <v>54.056004000000001</v>
      </c>
      <c r="T53" s="7">
        <f>SUMIFS([1]raw_data!P:P,[1]raw_data!$A:$A,$B53)</f>
        <v>0.21783088235294101</v>
      </c>
      <c r="U53" s="6">
        <f>SUMIFS([1]raw_data!Q:Q,[1]raw_data!$A:$A,$B53)</f>
        <v>53.701317000000003</v>
      </c>
      <c r="V53" s="7">
        <f>SUMIFS([1]raw_data!R:R,[1]raw_data!$A:$A,$B53)</f>
        <v>0.20863970588235201</v>
      </c>
      <c r="W53" s="6">
        <f>SUMIFS([1]raw_data!S:S,[1]raw_data!$A:$A,$B53)</f>
        <v>73.445794000000006</v>
      </c>
      <c r="X53" s="7">
        <f>SUMIFS([1]raw_data!T:T,[1]raw_data!$A:$A,$B53)</f>
        <v>0.67837338262476798</v>
      </c>
      <c r="Y53" s="6">
        <f>SUMIFS([1]raw_data!U:U,[1]raw_data!$A:$A,$B53)</f>
        <v>49.832486000000003</v>
      </c>
      <c r="Z53" s="7">
        <f>SUMIFS([1]raw_data!V:V,[1]raw_data!$A:$A,$B53)</f>
        <v>0.65619223659889003</v>
      </c>
      <c r="AA53" s="4">
        <f t="shared" si="0"/>
        <v>476.3456602</v>
      </c>
    </row>
    <row r="54" spans="1:30" x14ac:dyDescent="0.25">
      <c r="A54" s="35"/>
      <c r="B54" s="4" t="s">
        <v>314</v>
      </c>
      <c r="C54" s="4" t="s">
        <v>123</v>
      </c>
      <c r="D54" s="4" t="s">
        <v>315</v>
      </c>
      <c r="E54" s="4" t="s">
        <v>19</v>
      </c>
      <c r="F54" s="5">
        <f>IFERROR(INDEX([1]raw_data!B:B,MATCH(B54,[1]raw_data!A:A,0)),0)</f>
        <v>1658.4</v>
      </c>
      <c r="G54" s="6">
        <f>SUMIFS([1]raw_data!C:C,[1]raw_data!$A:$A,$B54)</f>
        <v>13.807207999999999</v>
      </c>
      <c r="H54" s="7">
        <f>SUMIFS([1]raw_data!D:D,[1]raw_data!$A:$A,$B54)</f>
        <v>0.14001207000603499</v>
      </c>
      <c r="I54" s="6">
        <f>SUMIFS([1]raw_data!E:E,[1]raw_data!$A:$A,$B54)</f>
        <v>7.5521260000000003</v>
      </c>
      <c r="J54" s="7">
        <f>SUMIFS([1]raw_data!F:F,[1]raw_data!$A:$A,$B54)</f>
        <v>0.12070006035003</v>
      </c>
      <c r="K54" s="6">
        <f>SUMIFS([1]raw_data!G:G,[1]raw_data!$A:$A,$B54)</f>
        <v>176.53624199999999</v>
      </c>
      <c r="L54" s="7">
        <f>SUMIFS([1]raw_data!H:H,[1]raw_data!$A:$A,$B54)</f>
        <v>0.55595667870036103</v>
      </c>
      <c r="M54" s="6">
        <f>SUMIFS([1]raw_data!I:I,[1]raw_data!$A:$A,$B54)</f>
        <v>17.777083000000001</v>
      </c>
      <c r="N54" s="7">
        <f>SUMIFS([1]raw_data!J:J,[1]raw_data!$A:$A,$B54)</f>
        <v>0.135980746089049</v>
      </c>
      <c r="O54" s="6">
        <f>SUMIFS([1]raw_data!K:K,[1]raw_data!$A:$A,$B54)</f>
        <v>53.359265999999998</v>
      </c>
      <c r="P54" s="7">
        <f>SUMIFS([1]raw_data!L:L,[1]raw_data!$A:$A,$B54)</f>
        <v>0.35421686746987902</v>
      </c>
      <c r="Q54" s="6">
        <f>SUMIFS([1]raw_data!M:M,[1]raw_data!$A:$A,$B54)</f>
        <v>46.448673999999997</v>
      </c>
      <c r="R54" s="7">
        <f>SUMIFS([1]raw_data!N:N,[1]raw_data!$A:$A,$B54)</f>
        <v>0.35180722891566202</v>
      </c>
      <c r="S54" s="6">
        <f>SUMIFS([1]raw_data!O:O,[1]raw_data!$A:$A,$B54)</f>
        <v>134.35956899999999</v>
      </c>
      <c r="T54" s="7">
        <f>SUMIFS([1]raw_data!P:P,[1]raw_data!$A:$A,$B54)</f>
        <v>1.4475271411338899</v>
      </c>
      <c r="U54" s="6">
        <f>SUMIFS([1]raw_data!Q:Q,[1]raw_data!$A:$A,$B54)</f>
        <v>106.82525099999999</v>
      </c>
      <c r="V54" s="7">
        <f>SUMIFS([1]raw_data!R:R,[1]raw_data!$A:$A,$B54)</f>
        <v>1.2539203860072301</v>
      </c>
      <c r="W54" s="6">
        <f>SUMIFS([1]raw_data!S:S,[1]raw_data!$A:$A,$B54)</f>
        <v>1932.264682</v>
      </c>
      <c r="X54" s="7">
        <f>SUMIFS([1]raw_data!T:T,[1]raw_data!$A:$A,$B54)</f>
        <v>2.98912386706948</v>
      </c>
      <c r="Y54" s="6">
        <f>SUMIFS([1]raw_data!U:U,[1]raw_data!$A:$A,$B54)</f>
        <v>264.91700900000001</v>
      </c>
      <c r="Z54" s="7">
        <f>SUMIFS([1]raw_data!V:V,[1]raw_data!$A:$A,$B54)</f>
        <v>2.3649546827794499</v>
      </c>
      <c r="AA54" s="4">
        <f t="shared" si="0"/>
        <v>462.0653934</v>
      </c>
    </row>
    <row r="55" spans="1:30" x14ac:dyDescent="0.25">
      <c r="A55" s="32"/>
      <c r="B55" s="4" t="s">
        <v>141</v>
      </c>
      <c r="C55" s="4" t="s">
        <v>118</v>
      </c>
      <c r="D55" s="4" t="s">
        <v>142</v>
      </c>
      <c r="E55" s="4" t="s">
        <v>27</v>
      </c>
      <c r="F55" s="5">
        <f>IFERROR(INDEX([1]raw_data!B:B,MATCH(B55,[1]raw_data!A:A,0)),0)</f>
        <v>2147</v>
      </c>
      <c r="G55" s="6">
        <f>SUMIFS([1]raw_data!C:C,[1]raw_data!$A:$A,$B55)</f>
        <v>1048.904835</v>
      </c>
      <c r="H55" s="7">
        <f>SUMIFS([1]raw_data!D:D,[1]raw_data!$A:$A,$B55)</f>
        <v>4.4356846473029004</v>
      </c>
      <c r="I55" s="6">
        <f>SUMIFS([1]raw_data!E:E,[1]raw_data!$A:$A,$B55)</f>
        <v>270.25654800000001</v>
      </c>
      <c r="J55" s="7">
        <f>SUMIFS([1]raw_data!F:F,[1]raw_data!$A:$A,$B55)</f>
        <v>3.3941908713692901</v>
      </c>
      <c r="K55" s="6">
        <f>SUMIFS([1]raw_data!G:G,[1]raw_data!$A:$A,$B55)</f>
        <v>409.02141899999998</v>
      </c>
      <c r="L55" s="7">
        <f>SUMIFS([1]raw_data!H:H,[1]raw_data!$A:$A,$B55)</f>
        <v>0.530612244897959</v>
      </c>
      <c r="M55" s="6">
        <f>SUMIFS([1]raw_data!I:I,[1]raw_data!$A:$A,$B55)</f>
        <v>26.989559</v>
      </c>
      <c r="N55" s="7">
        <f>SUMIFS([1]raw_data!J:J,[1]raw_data!$A:$A,$B55)</f>
        <v>0.10018552875695701</v>
      </c>
      <c r="O55" s="6">
        <f>SUMIFS([1]raw_data!K:K,[1]raw_data!$A:$A,$B55)</f>
        <v>131.77793199999999</v>
      </c>
      <c r="P55" s="7">
        <f>SUMIFS([1]raw_data!L:L,[1]raw_data!$A:$A,$B55)</f>
        <v>0.49208566108007401</v>
      </c>
      <c r="Q55" s="6">
        <f>SUMIFS([1]raw_data!M:M,[1]raw_data!$A:$A,$B55)</f>
        <v>68.937336999999999</v>
      </c>
      <c r="R55" s="7">
        <f>SUMIFS([1]raw_data!N:N,[1]raw_data!$A:$A,$B55)</f>
        <v>0.47811918063314701</v>
      </c>
      <c r="S55" s="6">
        <f>SUMIFS([1]raw_data!O:O,[1]raw_data!$A:$A,$B55)</f>
        <v>385.06124</v>
      </c>
      <c r="T55" s="7">
        <f>SUMIFS([1]raw_data!P:P,[1]raw_data!$A:$A,$B55)</f>
        <v>2.8690364826941002</v>
      </c>
      <c r="U55" s="6">
        <f>SUMIFS([1]raw_data!Q:Q,[1]raw_data!$A:$A,$B55)</f>
        <v>308.40105999999997</v>
      </c>
      <c r="V55" s="7">
        <f>SUMIFS([1]raw_data!R:R,[1]raw_data!$A:$A,$B55)</f>
        <v>2.8288119738072899</v>
      </c>
      <c r="W55" s="6">
        <f>SUMIFS([1]raw_data!S:S,[1]raw_data!$A:$A,$B55)</f>
        <v>289.29815500000001</v>
      </c>
      <c r="X55" s="7">
        <f>SUMIFS([1]raw_data!T:T,[1]raw_data!$A:$A,$B55)</f>
        <v>1.3432203389830499</v>
      </c>
      <c r="Y55" s="6">
        <f>SUMIFS([1]raw_data!U:U,[1]raw_data!$A:$A,$B55)</f>
        <v>267.895197</v>
      </c>
      <c r="Z55" s="7">
        <f>SUMIFS([1]raw_data!V:V,[1]raw_data!$A:$A,$B55)</f>
        <v>1.28436911487758</v>
      </c>
      <c r="AA55" s="4">
        <f t="shared" si="0"/>
        <v>452.81271619999995</v>
      </c>
    </row>
    <row r="56" spans="1:30" x14ac:dyDescent="0.25">
      <c r="A56" s="38" t="s">
        <v>137</v>
      </c>
      <c r="B56" s="17" t="s">
        <v>370</v>
      </c>
      <c r="C56" s="17" t="s">
        <v>83</v>
      </c>
      <c r="D56" s="17" t="s">
        <v>371</v>
      </c>
      <c r="E56" s="17" t="s">
        <v>19</v>
      </c>
      <c r="F56" s="18">
        <f>IFERROR(INDEX([1]raw_data!B:B,MATCH(B56,[1]raw_data!A:A,0)),0)</f>
        <v>1921</v>
      </c>
      <c r="G56" s="19">
        <f>SUMIFS([1]raw_data!C:C,[1]raw_data!$A:$A,$B56)</f>
        <v>297.42408899999998</v>
      </c>
      <c r="H56" s="20">
        <f>SUMIFS([1]raw_data!D:D,[1]raw_data!$A:$A,$B56)</f>
        <v>1.7424557752341301</v>
      </c>
      <c r="I56" s="19">
        <f>SUMIFS([1]raw_data!E:E,[1]raw_data!$A:$A,$B56)</f>
        <v>79.928263000000001</v>
      </c>
      <c r="J56" s="20">
        <f>SUMIFS([1]raw_data!F:F,[1]raw_data!$A:$A,$B56)</f>
        <v>1.57440166493236</v>
      </c>
      <c r="K56" s="19">
        <f>SUMIFS([1]raw_data!G:G,[1]raw_data!$A:$A,$B56)</f>
        <v>835.24831500000005</v>
      </c>
      <c r="L56" s="20">
        <f>SUMIFS([1]raw_data!H:H,[1]raw_data!$A:$A,$B56)</f>
        <v>6.5531363400725704</v>
      </c>
      <c r="M56" s="19">
        <f>SUMIFS([1]raw_data!I:I,[1]raw_data!$A:$A,$B56)</f>
        <v>93.569027000000006</v>
      </c>
      <c r="N56" s="20">
        <f>SUMIFS([1]raw_data!J:J,[1]raw_data!$A:$A,$B56)</f>
        <v>1.10575427682737</v>
      </c>
      <c r="O56" s="19">
        <f>SUMIFS([1]raw_data!K:K,[1]raw_data!$A:$A,$B56)</f>
        <v>175.744325</v>
      </c>
      <c r="P56" s="20">
        <f>SUMIFS([1]raw_data!L:L,[1]raw_data!$A:$A,$B56)</f>
        <v>0.793980280228334</v>
      </c>
      <c r="Q56" s="19">
        <f>SUMIFS([1]raw_data!M:M,[1]raw_data!$A:$A,$B56)</f>
        <v>110.87780600000001</v>
      </c>
      <c r="R56" s="20">
        <f>SUMIFS([1]raw_data!N:N,[1]raw_data!$A:$A,$B56)</f>
        <v>0.69590036325895099</v>
      </c>
      <c r="S56" s="19">
        <f>SUMIFS([1]raw_data!O:O,[1]raw_data!$A:$A,$B56)</f>
        <v>47.041010999999997</v>
      </c>
      <c r="T56" s="20">
        <f>SUMIFS([1]raw_data!P:P,[1]raw_data!$A:$A,$B56)</f>
        <v>0.17490890161374201</v>
      </c>
      <c r="U56" s="19">
        <f>SUMIFS([1]raw_data!Q:Q,[1]raw_data!$A:$A,$B56)</f>
        <v>39.314714000000002</v>
      </c>
      <c r="V56" s="20">
        <f>SUMIFS([1]raw_data!R:R,[1]raw_data!$A:$A,$B56)</f>
        <v>0.14731910463300299</v>
      </c>
      <c r="W56" s="19">
        <f>SUMIFS([1]raw_data!S:S,[1]raw_data!$A:$A,$B56)</f>
        <v>901.67078400000003</v>
      </c>
      <c r="X56" s="20">
        <f>SUMIFS([1]raw_data!T:T,[1]raw_data!$A:$A,$B56)</f>
        <v>0.56453305351521499</v>
      </c>
      <c r="Y56" s="19">
        <f>SUMIFS([1]raw_data!U:U,[1]raw_data!$A:$A,$B56)</f>
        <v>36.580061999999998</v>
      </c>
      <c r="Z56" s="20">
        <f>SUMIFS([1]raw_data!V:V,[1]raw_data!$A:$A,$B56)</f>
        <v>0.147953830010493</v>
      </c>
      <c r="AA56" s="17">
        <f t="shared" si="0"/>
        <v>451.42570480000006</v>
      </c>
      <c r="AC56" t="s">
        <v>27</v>
      </c>
      <c r="AD56">
        <f>COUNTIF(E56:E98,"Muskegon")</f>
        <v>7</v>
      </c>
    </row>
    <row r="57" spans="1:30" x14ac:dyDescent="0.25">
      <c r="A57" s="38"/>
      <c r="B57" s="17" t="s">
        <v>235</v>
      </c>
      <c r="C57" s="17" t="s">
        <v>123</v>
      </c>
      <c r="D57" s="17" t="s">
        <v>236</v>
      </c>
      <c r="E57" s="17" t="s">
        <v>19</v>
      </c>
      <c r="F57" s="18">
        <f>IFERROR(INDEX([1]raw_data!B:B,MATCH(B57,[1]raw_data!A:A,0)),0)</f>
        <v>854</v>
      </c>
      <c r="G57" s="19">
        <f>SUMIFS([1]raw_data!C:C,[1]raw_data!$A:$A,$B57)</f>
        <v>183.72536299999999</v>
      </c>
      <c r="H57" s="20">
        <f>SUMIFS([1]raw_data!D:D,[1]raw_data!$A:$A,$B57)</f>
        <v>1.0299785867237601</v>
      </c>
      <c r="I57" s="19">
        <f>SUMIFS([1]raw_data!E:E,[1]raw_data!$A:$A,$B57)</f>
        <v>183.72536299999999</v>
      </c>
      <c r="J57" s="20">
        <f>SUMIFS([1]raw_data!F:F,[1]raw_data!$A:$A,$B57)</f>
        <v>1.0299785867237601</v>
      </c>
      <c r="K57" s="19">
        <f>SUMIFS([1]raw_data!G:G,[1]raw_data!$A:$A,$B57)</f>
        <v>186.652456</v>
      </c>
      <c r="L57" s="20">
        <f>SUMIFS([1]raw_data!H:H,[1]raw_data!$A:$A,$B57)</f>
        <v>2.08735632183908</v>
      </c>
      <c r="M57" s="19">
        <f>SUMIFS([1]raw_data!I:I,[1]raw_data!$A:$A,$B57)</f>
        <v>186.652456</v>
      </c>
      <c r="N57" s="20">
        <f>SUMIFS([1]raw_data!J:J,[1]raw_data!$A:$A,$B57)</f>
        <v>2.08735632183908</v>
      </c>
      <c r="O57" s="19">
        <f>SUMIFS([1]raw_data!K:K,[1]raw_data!$A:$A,$B57)</f>
        <v>46.204503000000003</v>
      </c>
      <c r="P57" s="20">
        <f>SUMIFS([1]raw_data!L:L,[1]raw_data!$A:$A,$B57)</f>
        <v>0.18360277136258599</v>
      </c>
      <c r="Q57" s="19">
        <f>SUMIFS([1]raw_data!M:M,[1]raw_data!$A:$A,$B57)</f>
        <v>13.192724999999999</v>
      </c>
      <c r="R57" s="20">
        <f>SUMIFS([1]raw_data!N:N,[1]raw_data!$A:$A,$B57)</f>
        <v>0.169745958429561</v>
      </c>
      <c r="S57" s="19">
        <f>SUMIFS([1]raw_data!O:O,[1]raw_data!$A:$A,$B57)</f>
        <v>14.687402000000001</v>
      </c>
      <c r="T57" s="20">
        <f>SUMIFS([1]raw_data!P:P,[1]raw_data!$A:$A,$B57)</f>
        <v>0.11574074074074001</v>
      </c>
      <c r="U57" s="19">
        <f>SUMIFS([1]raw_data!Q:Q,[1]raw_data!$A:$A,$B57)</f>
        <v>11.318073999999999</v>
      </c>
      <c r="V57" s="20">
        <f>SUMIFS([1]raw_data!R:R,[1]raw_data!$A:$A,$B57)</f>
        <v>9.8379629629629595E-2</v>
      </c>
      <c r="W57" s="19">
        <f>SUMIFS([1]raw_data!S:S,[1]raw_data!$A:$A,$B57)</f>
        <v>1802.5742969999999</v>
      </c>
      <c r="X57" s="20">
        <f>SUMIFS([1]raw_data!T:T,[1]raw_data!$A:$A,$B57)</f>
        <v>2.2831632653061198</v>
      </c>
      <c r="Y57" s="19">
        <f>SUMIFS([1]raw_data!U:U,[1]raw_data!$A:$A,$B57)</f>
        <v>216.75639799999999</v>
      </c>
      <c r="Z57" s="20">
        <f>SUMIFS([1]raw_data!V:V,[1]raw_data!$A:$A,$B57)</f>
        <v>1.24617346938775</v>
      </c>
      <c r="AA57" s="17">
        <f t="shared" si="0"/>
        <v>446.76880419999998</v>
      </c>
      <c r="AC57" t="s">
        <v>76</v>
      </c>
      <c r="AD57">
        <f>COUNTIF(E56:E98,"Jackson")</f>
        <v>1</v>
      </c>
    </row>
    <row r="58" spans="1:30" x14ac:dyDescent="0.25">
      <c r="A58" s="38"/>
      <c r="B58" s="17" t="s">
        <v>80</v>
      </c>
      <c r="C58" s="17" t="s">
        <v>25</v>
      </c>
      <c r="D58" s="17" t="s">
        <v>81</v>
      </c>
      <c r="E58" s="17" t="s">
        <v>27</v>
      </c>
      <c r="F58" s="18">
        <f>IFERROR(INDEX([1]raw_data!B:B,MATCH(B58,[1]raw_data!A:A,0)),0)</f>
        <v>1560.2</v>
      </c>
      <c r="G58" s="19">
        <f>SUMIFS([1]raw_data!C:C,[1]raw_data!$A:$A,$B58)</f>
        <v>307.82750700000003</v>
      </c>
      <c r="H58" s="20">
        <f>SUMIFS([1]raw_data!D:D,[1]raw_data!$A:$A,$B58)</f>
        <v>1.3902439024390201</v>
      </c>
      <c r="I58" s="19">
        <f>SUMIFS([1]raw_data!E:E,[1]raw_data!$A:$A,$B58)</f>
        <v>47.865195</v>
      </c>
      <c r="J58" s="20">
        <f>SUMIFS([1]raw_data!F:F,[1]raw_data!$A:$A,$B58)</f>
        <v>0.55222013758599098</v>
      </c>
      <c r="K58" s="19">
        <f>SUMIFS([1]raw_data!G:G,[1]raw_data!$A:$A,$B58)</f>
        <v>54.390946999999997</v>
      </c>
      <c r="L58" s="20">
        <f>SUMIFS([1]raw_data!H:H,[1]raw_data!$A:$A,$B58)</f>
        <v>0.43670076726342699</v>
      </c>
      <c r="M58" s="19">
        <f>SUMIFS([1]raw_data!I:I,[1]raw_data!$A:$A,$B58)</f>
        <v>51.134146999999999</v>
      </c>
      <c r="N58" s="20">
        <f>SUMIFS([1]raw_data!J:J,[1]raw_data!$A:$A,$B58)</f>
        <v>0.43158567774936002</v>
      </c>
      <c r="O58" s="19">
        <f>SUMIFS([1]raw_data!K:K,[1]raw_data!$A:$A,$B58)</f>
        <v>329.80128300000001</v>
      </c>
      <c r="P58" s="20">
        <f>SUMIFS([1]raw_data!L:L,[1]raw_data!$A:$A,$B58)</f>
        <v>1.36136071887034</v>
      </c>
      <c r="Q58" s="19">
        <f>SUMIFS([1]raw_data!M:M,[1]raw_data!$A:$A,$B58)</f>
        <v>326.219041</v>
      </c>
      <c r="R58" s="20">
        <f>SUMIFS([1]raw_data!N:N,[1]raw_data!$A:$A,$B58)</f>
        <v>1.34467265725288</v>
      </c>
      <c r="S58" s="19">
        <f>SUMIFS([1]raw_data!O:O,[1]raw_data!$A:$A,$B58)</f>
        <v>636.05321900000001</v>
      </c>
      <c r="T58" s="20">
        <f>SUMIFS([1]raw_data!P:P,[1]raw_data!$A:$A,$B58)</f>
        <v>5.36896329684481</v>
      </c>
      <c r="U58" s="19">
        <f>SUMIFS([1]raw_data!Q:Q,[1]raw_data!$A:$A,$B58)</f>
        <v>633.26832999999999</v>
      </c>
      <c r="V58" s="20">
        <f>SUMIFS([1]raw_data!R:R,[1]raw_data!$A:$A,$B58)</f>
        <v>5.3535093367675399</v>
      </c>
      <c r="W58" s="19">
        <f>SUMIFS([1]raw_data!S:S,[1]raw_data!$A:$A,$B58)</f>
        <v>748.17708900000002</v>
      </c>
      <c r="X58" s="20">
        <f>SUMIFS([1]raw_data!T:T,[1]raw_data!$A:$A,$B58)</f>
        <v>3.4767518009168299</v>
      </c>
      <c r="Y58" s="19">
        <f>SUMIFS([1]raw_data!U:U,[1]raw_data!$A:$A,$B58)</f>
        <v>358.96884899999998</v>
      </c>
      <c r="Z58" s="20">
        <f>SUMIFS([1]raw_data!V:V,[1]raw_data!$A:$A,$B58)</f>
        <v>2.1604453176162401</v>
      </c>
      <c r="AA58" s="17">
        <f t="shared" si="0"/>
        <v>415.25000899999998</v>
      </c>
      <c r="AC58" t="s">
        <v>31</v>
      </c>
      <c r="AD58">
        <f>COUNTIF(E56:E98,"Adrian")</f>
        <v>0</v>
      </c>
    </row>
    <row r="59" spans="1:30" x14ac:dyDescent="0.25">
      <c r="A59" s="38"/>
      <c r="B59" s="17" t="s">
        <v>178</v>
      </c>
      <c r="C59" s="17" t="s">
        <v>179</v>
      </c>
      <c r="D59" s="17" t="s">
        <v>180</v>
      </c>
      <c r="E59" s="17" t="s">
        <v>23</v>
      </c>
      <c r="F59" s="18">
        <f>IFERROR(INDEX([1]raw_data!B:B,MATCH(B59,[1]raw_data!A:A,0)),0)</f>
        <v>403</v>
      </c>
      <c r="G59" s="19">
        <f>SUMIFS([1]raw_data!C:C,[1]raw_data!$A:$A,$B59)</f>
        <v>397.68959799999999</v>
      </c>
      <c r="H59" s="20">
        <f>SUMIFS([1]raw_data!D:D,[1]raw_data!$A:$A,$B59)</f>
        <v>0.35802469135802401</v>
      </c>
      <c r="I59" s="19">
        <f>SUMIFS([1]raw_data!E:E,[1]raw_data!$A:$A,$B59)</f>
        <v>25.080224000000001</v>
      </c>
      <c r="J59" s="20">
        <f>SUMIFS([1]raw_data!F:F,[1]raw_data!$A:$A,$B59)</f>
        <v>0.28641975308641898</v>
      </c>
      <c r="K59" s="19">
        <f>SUMIFS([1]raw_data!G:G,[1]raw_data!$A:$A,$B59)</f>
        <v>855.17964400000005</v>
      </c>
      <c r="L59" s="20">
        <f>SUMIFS([1]raw_data!H:H,[1]raw_data!$A:$A,$B59)</f>
        <v>1.7827160493827101</v>
      </c>
      <c r="M59" s="19">
        <f>SUMIFS([1]raw_data!I:I,[1]raw_data!$A:$A,$B59)</f>
        <v>237.39730900000001</v>
      </c>
      <c r="N59" s="20">
        <f>SUMIFS([1]raw_data!J:J,[1]raw_data!$A:$A,$B59)</f>
        <v>1.1580246913580201</v>
      </c>
      <c r="O59" s="19">
        <f>SUMIFS([1]raw_data!K:K,[1]raw_data!$A:$A,$B59)</f>
        <v>465.36036999999999</v>
      </c>
      <c r="P59" s="20">
        <f>SUMIFS([1]raw_data!L:L,[1]raw_data!$A:$A,$B59)</f>
        <v>2.4172839506172799</v>
      </c>
      <c r="Q59" s="19">
        <f>SUMIFS([1]raw_data!M:M,[1]raw_data!$A:$A,$B59)</f>
        <v>234.93386799999999</v>
      </c>
      <c r="R59" s="20">
        <f>SUMIFS([1]raw_data!N:N,[1]raw_data!$A:$A,$B59)</f>
        <v>0.407407407407407</v>
      </c>
      <c r="S59" s="19">
        <f>SUMIFS([1]raw_data!O:O,[1]raw_data!$A:$A,$B59)</f>
        <v>14.482035</v>
      </c>
      <c r="T59" s="20">
        <f>SUMIFS([1]raw_data!P:P,[1]raw_data!$A:$A,$B59)</f>
        <v>0.133165829145728</v>
      </c>
      <c r="U59" s="19">
        <f>SUMIFS([1]raw_data!Q:Q,[1]raw_data!$A:$A,$B59)</f>
        <v>14.482035</v>
      </c>
      <c r="V59" s="20">
        <f>SUMIFS([1]raw_data!R:R,[1]raw_data!$A:$A,$B59)</f>
        <v>0.133165829145728</v>
      </c>
      <c r="W59" s="19">
        <f>SUMIFS([1]raw_data!S:S,[1]raw_data!$A:$A,$B59)</f>
        <v>287.66384599999998</v>
      </c>
      <c r="X59" s="20">
        <f>SUMIFS([1]raw_data!T:T,[1]raw_data!$A:$A,$B59)</f>
        <v>1.79797979797979</v>
      </c>
      <c r="Y59" s="19">
        <f>SUMIFS([1]raw_data!U:U,[1]raw_data!$A:$A,$B59)</f>
        <v>287.66384599999998</v>
      </c>
      <c r="Z59" s="20">
        <f>SUMIFS([1]raw_data!V:V,[1]raw_data!$A:$A,$B59)</f>
        <v>1.79797979797979</v>
      </c>
      <c r="AA59" s="17">
        <f t="shared" si="0"/>
        <v>404.07509859999999</v>
      </c>
      <c r="AC59" t="s">
        <v>65</v>
      </c>
      <c r="AD59">
        <f>COUNTIF(E56:E98,"Battle Creek")</f>
        <v>3</v>
      </c>
    </row>
    <row r="60" spans="1:30" x14ac:dyDescent="0.25">
      <c r="A60" s="38"/>
      <c r="B60" s="17" t="s">
        <v>41</v>
      </c>
      <c r="C60" s="17" t="s">
        <v>21</v>
      </c>
      <c r="D60" s="17" t="s">
        <v>42</v>
      </c>
      <c r="E60" s="17" t="s">
        <v>23</v>
      </c>
      <c r="F60" s="18">
        <f>IFERROR(INDEX([1]raw_data!B:B,MATCH(B60,[1]raw_data!A:A,0)),0)</f>
        <v>788</v>
      </c>
      <c r="G60" s="19">
        <f>SUMIFS([1]raw_data!C:C,[1]raw_data!$A:$A,$B60)</f>
        <v>82.039223000000007</v>
      </c>
      <c r="H60" s="20">
        <f>SUMIFS([1]raw_data!D:D,[1]raw_data!$A:$A,$B60)</f>
        <v>0.17593790426908101</v>
      </c>
      <c r="I60" s="19">
        <f>SUMIFS([1]raw_data!E:E,[1]raw_data!$A:$A,$B60)</f>
        <v>66.847300000000004</v>
      </c>
      <c r="J60" s="20">
        <f>SUMIFS([1]raw_data!F:F,[1]raw_data!$A:$A,$B60)</f>
        <v>0.16817593790426899</v>
      </c>
      <c r="K60" s="19">
        <f>SUMIFS([1]raw_data!G:G,[1]raw_data!$A:$A,$B60)</f>
        <v>30.980419999999999</v>
      </c>
      <c r="L60" s="20">
        <f>SUMIFS([1]raw_data!H:H,[1]raw_data!$A:$A,$B60)</f>
        <v>0.18158567774935999</v>
      </c>
      <c r="M60" s="19">
        <f>SUMIFS([1]raw_data!I:I,[1]raw_data!$A:$A,$B60)</f>
        <v>16.733418</v>
      </c>
      <c r="N60" s="20">
        <f>SUMIFS([1]raw_data!J:J,[1]raw_data!$A:$A,$B60)</f>
        <v>0.12531969309462901</v>
      </c>
      <c r="O60" s="19">
        <f>SUMIFS([1]raw_data!K:K,[1]raw_data!$A:$A,$B60)</f>
        <v>275.75771200000003</v>
      </c>
      <c r="P60" s="20">
        <f>SUMIFS([1]raw_data!L:L,[1]raw_data!$A:$A,$B60)</f>
        <v>1.3910256410256401</v>
      </c>
      <c r="Q60" s="19">
        <f>SUMIFS([1]raw_data!M:M,[1]raw_data!$A:$A,$B60)</f>
        <v>245.56743499999999</v>
      </c>
      <c r="R60" s="20">
        <f>SUMIFS([1]raw_data!N:N,[1]raw_data!$A:$A,$B60)</f>
        <v>1.34743589743589</v>
      </c>
      <c r="S60" s="19">
        <f>SUMIFS([1]raw_data!O:O,[1]raw_data!$A:$A,$B60)</f>
        <v>206.52351100000001</v>
      </c>
      <c r="T60" s="20">
        <f>SUMIFS([1]raw_data!P:P,[1]raw_data!$A:$A,$B60)</f>
        <v>2.06632653061224</v>
      </c>
      <c r="U60" s="19">
        <f>SUMIFS([1]raw_data!Q:Q,[1]raw_data!$A:$A,$B60)</f>
        <v>188.185969</v>
      </c>
      <c r="V60" s="20">
        <f>SUMIFS([1]raw_data!R:R,[1]raw_data!$A:$A,$B60)</f>
        <v>1.99744897959183</v>
      </c>
      <c r="W60" s="19">
        <f>SUMIFS([1]raw_data!S:S,[1]raw_data!$A:$A,$B60)</f>
        <v>1422.10925</v>
      </c>
      <c r="X60" s="20">
        <f>SUMIFS([1]raw_data!T:T,[1]raw_data!$A:$A,$B60)</f>
        <v>4.3009367681498798</v>
      </c>
      <c r="Y60" s="19">
        <f>SUMIFS([1]raw_data!U:U,[1]raw_data!$A:$A,$B60)</f>
        <v>1422.10925</v>
      </c>
      <c r="Z60" s="20">
        <f>SUMIFS([1]raw_data!V:V,[1]raw_data!$A:$A,$B60)</f>
        <v>4.3009367681498798</v>
      </c>
      <c r="AA60" s="17">
        <f t="shared" si="0"/>
        <v>403.48202320000001</v>
      </c>
      <c r="AC60" t="s">
        <v>23</v>
      </c>
      <c r="AD60">
        <f>COUNTIF(E56:E98,"Kalamazoo")</f>
        <v>4</v>
      </c>
    </row>
    <row r="61" spans="1:30" x14ac:dyDescent="0.25">
      <c r="A61" s="38"/>
      <c r="B61" s="17" t="s">
        <v>279</v>
      </c>
      <c r="C61" s="17" t="s">
        <v>103</v>
      </c>
      <c r="D61" s="17" t="s">
        <v>280</v>
      </c>
      <c r="E61" s="17" t="s">
        <v>15</v>
      </c>
      <c r="F61" s="18">
        <f>IFERROR(INDEX([1]raw_data!B:B,MATCH(B61,[1]raw_data!A:A,0)),0)</f>
        <v>1514.8</v>
      </c>
      <c r="G61" s="19">
        <f>SUMIFS([1]raw_data!C:C,[1]raw_data!$A:$A,$B61)</f>
        <v>155.563615</v>
      </c>
      <c r="H61" s="20">
        <f>SUMIFS([1]raw_data!D:D,[1]raw_data!$A:$A,$B61)</f>
        <v>1.32450331125827</v>
      </c>
      <c r="I61" s="19">
        <f>SUMIFS([1]raw_data!E:E,[1]raw_data!$A:$A,$B61)</f>
        <v>56.089528999999999</v>
      </c>
      <c r="J61" s="20">
        <f>SUMIFS([1]raw_data!F:F,[1]raw_data!$A:$A,$B61)</f>
        <v>1.24768211920529</v>
      </c>
      <c r="K61" s="19">
        <f>SUMIFS([1]raw_data!G:G,[1]raw_data!$A:$A,$B61)</f>
        <v>158.34730400000001</v>
      </c>
      <c r="L61" s="20">
        <f>SUMIFS([1]raw_data!H:H,[1]raw_data!$A:$A,$B61)</f>
        <v>0.319840743198407</v>
      </c>
      <c r="M61" s="19">
        <f>SUMIFS([1]raw_data!I:I,[1]raw_data!$A:$A,$B61)</f>
        <v>61.102004999999998</v>
      </c>
      <c r="N61" s="20">
        <f>SUMIFS([1]raw_data!J:J,[1]raw_data!$A:$A,$B61)</f>
        <v>0.222959522229595</v>
      </c>
      <c r="O61" s="19">
        <f>SUMIFS([1]raw_data!K:K,[1]raw_data!$A:$A,$B61)</f>
        <v>992.70050400000002</v>
      </c>
      <c r="P61" s="20">
        <f>SUMIFS([1]raw_data!L:L,[1]raw_data!$A:$A,$B61)</f>
        <v>1.14144736842105</v>
      </c>
      <c r="Q61" s="19">
        <f>SUMIFS([1]raw_data!M:M,[1]raw_data!$A:$A,$B61)</f>
        <v>204.962763</v>
      </c>
      <c r="R61" s="20">
        <f>SUMIFS([1]raw_data!N:N,[1]raw_data!$A:$A,$B61)</f>
        <v>0.76776315789473604</v>
      </c>
      <c r="S61" s="19">
        <f>SUMIFS([1]raw_data!O:O,[1]raw_data!$A:$A,$B61)</f>
        <v>72.456900000000005</v>
      </c>
      <c r="T61" s="20">
        <f>SUMIFS([1]raw_data!P:P,[1]raw_data!$A:$A,$B61)</f>
        <v>0.29921259842519599</v>
      </c>
      <c r="U61" s="19">
        <f>SUMIFS([1]raw_data!Q:Q,[1]raw_data!$A:$A,$B61)</f>
        <v>67.296499999999995</v>
      </c>
      <c r="V61" s="20">
        <f>SUMIFS([1]raw_data!R:R,[1]raw_data!$A:$A,$B61)</f>
        <v>0.28937007874015702</v>
      </c>
      <c r="W61" s="19">
        <f>SUMIFS([1]raw_data!S:S,[1]raw_data!$A:$A,$B61)</f>
        <v>595.28415800000005</v>
      </c>
      <c r="X61" s="20">
        <f>SUMIFS([1]raw_data!T:T,[1]raw_data!$A:$A,$B61)</f>
        <v>0.65234633179114299</v>
      </c>
      <c r="Y61" s="19">
        <f>SUMIFS([1]raw_data!U:U,[1]raw_data!$A:$A,$B61)</f>
        <v>117.25397599999999</v>
      </c>
      <c r="Z61" s="20">
        <f>SUMIFS([1]raw_data!V:V,[1]raw_data!$A:$A,$B61)</f>
        <v>0.477858559153998</v>
      </c>
      <c r="AA61" s="17">
        <f t="shared" si="0"/>
        <v>394.87049619999999</v>
      </c>
      <c r="AC61" t="s">
        <v>15</v>
      </c>
      <c r="AD61">
        <f>COUNTIF(E56:E98,"Flint")</f>
        <v>11</v>
      </c>
    </row>
    <row r="62" spans="1:30" x14ac:dyDescent="0.25">
      <c r="A62" s="38"/>
      <c r="B62" s="17" t="s">
        <v>91</v>
      </c>
      <c r="C62" s="17" t="s">
        <v>92</v>
      </c>
      <c r="D62" s="17" t="s">
        <v>93</v>
      </c>
      <c r="E62" s="17" t="s">
        <v>23</v>
      </c>
      <c r="F62" s="18">
        <f>IFERROR(INDEX([1]raw_data!B:B,MATCH(B62,[1]raw_data!A:A,0)),0)</f>
        <v>1256.625</v>
      </c>
      <c r="G62" s="19">
        <f>SUMIFS([1]raw_data!C:C,[1]raw_data!$A:$A,$B62)</f>
        <v>607.41873299999997</v>
      </c>
      <c r="H62" s="20">
        <f>SUMIFS([1]raw_data!D:D,[1]raw_data!$A:$A,$B62)</f>
        <v>2.1030684500393302</v>
      </c>
      <c r="I62" s="19">
        <f>SUMIFS([1]raw_data!E:E,[1]raw_data!$A:$A,$B62)</f>
        <v>135.212276</v>
      </c>
      <c r="J62" s="20">
        <f>SUMIFS([1]raw_data!F:F,[1]raw_data!$A:$A,$B62)</f>
        <v>1.09756097560975</v>
      </c>
      <c r="K62" s="19">
        <f>SUMIFS([1]raw_data!G:G,[1]raw_data!$A:$A,$B62)</f>
        <v>175.690056</v>
      </c>
      <c r="L62" s="20">
        <f>SUMIFS([1]raw_data!H:H,[1]raw_data!$A:$A,$B62)</f>
        <v>0.80769230769230704</v>
      </c>
      <c r="M62" s="19">
        <f>SUMIFS([1]raw_data!I:I,[1]raw_data!$A:$A,$B62)</f>
        <v>175.690056</v>
      </c>
      <c r="N62" s="20">
        <f>SUMIFS([1]raw_data!J:J,[1]raw_data!$A:$A,$B62)</f>
        <v>0.80769230769230704</v>
      </c>
      <c r="O62" s="19">
        <f>SUMIFS([1]raw_data!K:K,[1]raw_data!$A:$A,$B62)</f>
        <v>312.13923599999998</v>
      </c>
      <c r="P62" s="20">
        <f>SUMIFS([1]raw_data!L:L,[1]raw_data!$A:$A,$B62)</f>
        <v>2.3518808777429401</v>
      </c>
      <c r="Q62" s="19">
        <f>SUMIFS([1]raw_data!M:M,[1]raw_data!$A:$A,$B62)</f>
        <v>302.48627199999999</v>
      </c>
      <c r="R62" s="20">
        <f>SUMIFS([1]raw_data!N:N,[1]raw_data!$A:$A,$B62)</f>
        <v>2.3424764890282099</v>
      </c>
      <c r="S62" s="19">
        <f>SUMIFS([1]raw_data!O:O,[1]raw_data!$A:$A,$B62)</f>
        <v>654.56797800000004</v>
      </c>
      <c r="T62" s="20">
        <f>SUMIFS([1]raw_data!P:P,[1]raw_data!$A:$A,$B62)</f>
        <v>1.80667236954662</v>
      </c>
      <c r="U62" s="19">
        <f>SUMIFS([1]raw_data!Q:Q,[1]raw_data!$A:$A,$B62)</f>
        <v>654.56797800000004</v>
      </c>
      <c r="V62" s="20">
        <f>SUMIFS([1]raw_data!R:R,[1]raw_data!$A:$A,$B62)</f>
        <v>1.80667236954662</v>
      </c>
      <c r="W62" s="19">
        <f>SUMIFS([1]raw_data!S:S,[1]raw_data!$A:$A,$B62)</f>
        <v>220.96454600000001</v>
      </c>
      <c r="X62" s="20">
        <f>SUMIFS([1]raw_data!T:T,[1]raw_data!$A:$A,$B62)</f>
        <v>0.86248012718600897</v>
      </c>
      <c r="Y62" s="19">
        <f>SUMIFS([1]raw_data!U:U,[1]raw_data!$A:$A,$B62)</f>
        <v>72.445481999999998</v>
      </c>
      <c r="Z62" s="20">
        <f>SUMIFS([1]raw_data!V:V,[1]raw_data!$A:$A,$B62)</f>
        <v>0.57631160572337004</v>
      </c>
      <c r="AA62" s="17">
        <f t="shared" si="0"/>
        <v>394.15610979999997</v>
      </c>
      <c r="AC62" t="s">
        <v>19</v>
      </c>
      <c r="AD62">
        <f>COUNTIF(E56:E98,"Grand Rapids")</f>
        <v>17</v>
      </c>
    </row>
    <row r="63" spans="1:30" x14ac:dyDescent="0.25">
      <c r="A63" s="38"/>
      <c r="B63" s="17" t="s">
        <v>187</v>
      </c>
      <c r="C63" s="17" t="s">
        <v>106</v>
      </c>
      <c r="D63" s="17" t="s">
        <v>188</v>
      </c>
      <c r="E63" s="17" t="s">
        <v>19</v>
      </c>
      <c r="F63" s="18">
        <f>IFERROR(INDEX([1]raw_data!B:B,MATCH(B63,[1]raw_data!A:A,0)),0)</f>
        <v>410.16666600000002</v>
      </c>
      <c r="G63" s="19">
        <f>SUMIFS([1]raw_data!C:C,[1]raw_data!$A:$A,$B63)</f>
        <v>0.34941699999999998</v>
      </c>
      <c r="H63" s="20">
        <f>SUMIFS([1]raw_data!D:D,[1]raw_data!$A:$A,$B63)</f>
        <v>1.85528756957328E-3</v>
      </c>
      <c r="I63" s="19">
        <f>SUMIFS([1]raw_data!E:E,[1]raw_data!$A:$A,$B63)</f>
        <v>0.34941699999999998</v>
      </c>
      <c r="J63" s="20">
        <f>SUMIFS([1]raw_data!F:F,[1]raw_data!$A:$A,$B63)</f>
        <v>1.85528756957328E-3</v>
      </c>
      <c r="K63" s="19">
        <f>SUMIFS([1]raw_data!G:G,[1]raw_data!$A:$A,$B63)</f>
        <v>254.710184</v>
      </c>
      <c r="L63" s="20">
        <f>SUMIFS([1]raw_data!H:H,[1]raw_data!$A:$A,$B63)</f>
        <v>1.0404411764705801</v>
      </c>
      <c r="M63" s="19">
        <f>SUMIFS([1]raw_data!I:I,[1]raw_data!$A:$A,$B63)</f>
        <v>161.65982299999999</v>
      </c>
      <c r="N63" s="20">
        <f>SUMIFS([1]raw_data!J:J,[1]raw_data!$A:$A,$B63)</f>
        <v>0.99448529411764697</v>
      </c>
      <c r="O63" s="19">
        <f>SUMIFS([1]raw_data!K:K,[1]raw_data!$A:$A,$B63)</f>
        <v>2.5979329999999998</v>
      </c>
      <c r="P63" s="20">
        <f>SUMIFS([1]raw_data!L:L,[1]raw_data!$A:$A,$B63)</f>
        <v>5.1181102362204703E-2</v>
      </c>
      <c r="Q63" s="19">
        <f>SUMIFS([1]raw_data!M:M,[1]raw_data!$A:$A,$B63)</f>
        <v>2.5979329999999998</v>
      </c>
      <c r="R63" s="20">
        <f>SUMIFS([1]raw_data!N:N,[1]raw_data!$A:$A,$B63)</f>
        <v>5.1181102362204703E-2</v>
      </c>
      <c r="S63" s="19">
        <f>SUMIFS([1]raw_data!O:O,[1]raw_data!$A:$A,$B63)</f>
        <v>0</v>
      </c>
      <c r="T63" s="20">
        <f>SUMIFS([1]raw_data!P:P,[1]raw_data!$A:$A,$B63)</f>
        <v>0</v>
      </c>
      <c r="U63" s="19">
        <f>SUMIFS([1]raw_data!Q:Q,[1]raw_data!$A:$A,$B63)</f>
        <v>0</v>
      </c>
      <c r="V63" s="20">
        <f>SUMIFS([1]raw_data!R:R,[1]raw_data!$A:$A,$B63)</f>
        <v>0</v>
      </c>
      <c r="W63" s="19">
        <f>SUMIFS([1]raw_data!S:S,[1]raw_data!$A:$A,$B63)</f>
        <v>1692.6057249999999</v>
      </c>
      <c r="X63" s="20">
        <f>SUMIFS([1]raw_data!T:T,[1]raw_data!$A:$A,$B63)</f>
        <v>2.22699386503067</v>
      </c>
      <c r="Y63" s="19">
        <f>SUMIFS([1]raw_data!U:U,[1]raw_data!$A:$A,$B63)</f>
        <v>573.26094000000001</v>
      </c>
      <c r="Z63" s="20">
        <f>SUMIFS([1]raw_data!V:V,[1]raw_data!$A:$A,$B63)</f>
        <v>1.29447852760736</v>
      </c>
      <c r="AA63" s="17">
        <f t="shared" si="0"/>
        <v>390.05265179999998</v>
      </c>
    </row>
    <row r="64" spans="1:30" x14ac:dyDescent="0.25">
      <c r="A64" s="38"/>
      <c r="B64" s="17" t="s">
        <v>108</v>
      </c>
      <c r="C64" s="17" t="s">
        <v>109</v>
      </c>
      <c r="D64" s="17" t="s">
        <v>110</v>
      </c>
      <c r="E64" s="17" t="s">
        <v>27</v>
      </c>
      <c r="F64" s="18">
        <f>IFERROR(INDEX([1]raw_data!B:B,MATCH(B64,[1]raw_data!A:A,0)),0)</f>
        <v>95.714285000000004</v>
      </c>
      <c r="G64" s="19">
        <f>SUMIFS([1]raw_data!C:C,[1]raw_data!$A:$A,$B64)</f>
        <v>150.64736600000001</v>
      </c>
      <c r="H64" s="20">
        <f>SUMIFS([1]raw_data!D:D,[1]raw_data!$A:$A,$B64)</f>
        <v>1.5044247787610601</v>
      </c>
      <c r="I64" s="19">
        <f>SUMIFS([1]raw_data!E:E,[1]raw_data!$A:$A,$B64)</f>
        <v>150.64736600000001</v>
      </c>
      <c r="J64" s="20">
        <f>SUMIFS([1]raw_data!F:F,[1]raw_data!$A:$A,$B64)</f>
        <v>1.5044247787610601</v>
      </c>
      <c r="K64" s="19">
        <f>SUMIFS([1]raw_data!G:G,[1]raw_data!$A:$A,$B64)</f>
        <v>496.76308399999999</v>
      </c>
      <c r="L64" s="20">
        <f>SUMIFS([1]raw_data!H:H,[1]raw_data!$A:$A,$B64)</f>
        <v>1</v>
      </c>
      <c r="M64" s="19">
        <f>SUMIFS([1]raw_data!I:I,[1]raw_data!$A:$A,$B64)</f>
        <v>496.76308399999999</v>
      </c>
      <c r="N64" s="20">
        <f>SUMIFS([1]raw_data!J:J,[1]raw_data!$A:$A,$B64)</f>
        <v>1</v>
      </c>
      <c r="O64" s="19">
        <f>SUMIFS([1]raw_data!K:K,[1]raw_data!$A:$A,$B64)</f>
        <v>684.31206199999997</v>
      </c>
      <c r="P64" s="20">
        <f>SUMIFS([1]raw_data!L:L,[1]raw_data!$A:$A,$B64)</f>
        <v>2.8190476190476099</v>
      </c>
      <c r="Q64" s="19">
        <f>SUMIFS([1]raw_data!M:M,[1]raw_data!$A:$A,$B64)</f>
        <v>454.89777700000002</v>
      </c>
      <c r="R64" s="20">
        <f>SUMIFS([1]raw_data!N:N,[1]raw_data!$A:$A,$B64)</f>
        <v>1.8095238095238</v>
      </c>
      <c r="S64" s="19">
        <f>SUMIFS([1]raw_data!O:O,[1]raw_data!$A:$A,$B64)</f>
        <v>83.455673000000004</v>
      </c>
      <c r="T64" s="20">
        <f>SUMIFS([1]raw_data!P:P,[1]raw_data!$A:$A,$B64)</f>
        <v>0.44680851063829702</v>
      </c>
      <c r="U64" s="19">
        <f>SUMIFS([1]raw_data!Q:Q,[1]raw_data!$A:$A,$B64)</f>
        <v>83.455673000000004</v>
      </c>
      <c r="V64" s="20">
        <f>SUMIFS([1]raw_data!R:R,[1]raw_data!$A:$A,$B64)</f>
        <v>0.44680851063829702</v>
      </c>
      <c r="W64" s="19">
        <f>SUMIFS([1]raw_data!S:S,[1]raw_data!$A:$A,$B64)</f>
        <v>525.13493000000005</v>
      </c>
      <c r="X64" s="20">
        <f>SUMIFS([1]raw_data!T:T,[1]raw_data!$A:$A,$B64)</f>
        <v>0.47945205479452002</v>
      </c>
      <c r="Y64" s="19">
        <f>SUMIFS([1]raw_data!U:U,[1]raw_data!$A:$A,$B64)</f>
        <v>11.902054</v>
      </c>
      <c r="Z64" s="20">
        <f>SUMIFS([1]raw_data!V:V,[1]raw_data!$A:$A,$B64)</f>
        <v>0.123287671232876</v>
      </c>
      <c r="AA64" s="17">
        <f t="shared" si="0"/>
        <v>388.06262299999997</v>
      </c>
    </row>
    <row r="65" spans="1:27" x14ac:dyDescent="0.25">
      <c r="A65" s="38"/>
      <c r="B65" s="17" t="s">
        <v>143</v>
      </c>
      <c r="C65" s="17" t="s">
        <v>13</v>
      </c>
      <c r="D65" s="17" t="s">
        <v>144</v>
      </c>
      <c r="E65" s="17" t="s">
        <v>15</v>
      </c>
      <c r="F65" s="18">
        <f>IFERROR(INDEX([1]raw_data!B:B,MATCH(B65,[1]raw_data!A:A,0)),0)</f>
        <v>1018.142857</v>
      </c>
      <c r="G65" s="19">
        <f>SUMIFS([1]raw_data!C:C,[1]raw_data!$A:$A,$B65)</f>
        <v>0</v>
      </c>
      <c r="H65" s="20">
        <f>SUMIFS([1]raw_data!D:D,[1]raw_data!$A:$A,$B65)</f>
        <v>0</v>
      </c>
      <c r="I65" s="19">
        <f>SUMIFS([1]raw_data!E:E,[1]raw_data!$A:$A,$B65)</f>
        <v>0</v>
      </c>
      <c r="J65" s="20">
        <f>SUMIFS([1]raw_data!F:F,[1]raw_data!$A:$A,$B65)</f>
        <v>0</v>
      </c>
      <c r="K65" s="19">
        <f>SUMIFS([1]raw_data!G:G,[1]raw_data!$A:$A,$B65)</f>
        <v>12.553623</v>
      </c>
      <c r="L65" s="20">
        <f>SUMIFS([1]raw_data!H:H,[1]raw_data!$A:$A,$B65)</f>
        <v>9.6933728981206696E-2</v>
      </c>
      <c r="M65" s="19">
        <f>SUMIFS([1]raw_data!I:I,[1]raw_data!$A:$A,$B65)</f>
        <v>12.553623</v>
      </c>
      <c r="N65" s="20">
        <f>SUMIFS([1]raw_data!J:J,[1]raw_data!$A:$A,$B65)</f>
        <v>9.6933728981206696E-2</v>
      </c>
      <c r="O65" s="19">
        <f>SUMIFS([1]raw_data!K:K,[1]raw_data!$A:$A,$B65)</f>
        <v>841.91646800000001</v>
      </c>
      <c r="P65" s="20">
        <f>SUMIFS([1]raw_data!L:L,[1]raw_data!$A:$A,$B65)</f>
        <v>1.3498023715415</v>
      </c>
      <c r="Q65" s="19">
        <f>SUMIFS([1]raw_data!M:M,[1]raw_data!$A:$A,$B65)</f>
        <v>336.91172499999999</v>
      </c>
      <c r="R65" s="20">
        <f>SUMIFS([1]raw_data!N:N,[1]raw_data!$A:$A,$B65)</f>
        <v>0.66501976284584896</v>
      </c>
      <c r="S65" s="19">
        <f>SUMIFS([1]raw_data!O:O,[1]raw_data!$A:$A,$B65)</f>
        <v>467.42169899999999</v>
      </c>
      <c r="T65" s="20">
        <f>SUMIFS([1]raw_data!P:P,[1]raw_data!$A:$A,$B65)</f>
        <v>1.67745098039215</v>
      </c>
      <c r="U65" s="19">
        <f>SUMIFS([1]raw_data!Q:Q,[1]raw_data!$A:$A,$B65)</f>
        <v>166.819052</v>
      </c>
      <c r="V65" s="20">
        <f>SUMIFS([1]raw_data!R:R,[1]raw_data!$A:$A,$B65)</f>
        <v>1.35196078431372</v>
      </c>
      <c r="W65" s="19">
        <f>SUMIFS([1]raw_data!S:S,[1]raw_data!$A:$A,$B65)</f>
        <v>612.37649299999998</v>
      </c>
      <c r="X65" s="20">
        <f>SUMIFS([1]raw_data!T:T,[1]raw_data!$A:$A,$B65)</f>
        <v>1.4746588693957099</v>
      </c>
      <c r="Y65" s="19">
        <f>SUMIFS([1]raw_data!U:U,[1]raw_data!$A:$A,$B65)</f>
        <v>425.77909299999999</v>
      </c>
      <c r="Z65" s="20">
        <f>SUMIFS([1]raw_data!V:V,[1]raw_data!$A:$A,$B65)</f>
        <v>1.39766081871345</v>
      </c>
      <c r="AA65" s="17">
        <f t="shared" si="0"/>
        <v>386.85365660000002</v>
      </c>
    </row>
    <row r="66" spans="1:27" x14ac:dyDescent="0.25">
      <c r="A66" s="38"/>
      <c r="B66" s="17" t="s">
        <v>153</v>
      </c>
      <c r="C66" s="17" t="s">
        <v>154</v>
      </c>
      <c r="D66" s="17" t="s">
        <v>155</v>
      </c>
      <c r="E66" s="17" t="s">
        <v>15</v>
      </c>
      <c r="F66" s="18">
        <f>IFERROR(INDEX([1]raw_data!B:B,MATCH(B66,[1]raw_data!A:A,0)),0)</f>
        <v>562.42857100000003</v>
      </c>
      <c r="G66" s="19">
        <f>SUMIFS([1]raw_data!C:C,[1]raw_data!$A:$A,$B66)</f>
        <v>484.23518300000001</v>
      </c>
      <c r="H66" s="20">
        <f>SUMIFS([1]raw_data!D:D,[1]raw_data!$A:$A,$B66)</f>
        <v>2.2169014084506999</v>
      </c>
      <c r="I66" s="19">
        <f>SUMIFS([1]raw_data!E:E,[1]raw_data!$A:$A,$B66)</f>
        <v>44.702789000000003</v>
      </c>
      <c r="J66" s="20">
        <f>SUMIFS([1]raw_data!F:F,[1]raw_data!$A:$A,$B66)</f>
        <v>0.21126760563380201</v>
      </c>
      <c r="K66" s="19">
        <f>SUMIFS([1]raw_data!G:G,[1]raw_data!$A:$A,$B66)</f>
        <v>300.95834000000002</v>
      </c>
      <c r="L66" s="20">
        <f>SUMIFS([1]raw_data!H:H,[1]raw_data!$A:$A,$B66)</f>
        <v>3.875</v>
      </c>
      <c r="M66" s="19">
        <f>SUMIFS([1]raw_data!I:I,[1]raw_data!$A:$A,$B66)</f>
        <v>300.95834000000002</v>
      </c>
      <c r="N66" s="20">
        <f>SUMIFS([1]raw_data!J:J,[1]raw_data!$A:$A,$B66)</f>
        <v>3.875</v>
      </c>
      <c r="O66" s="19">
        <f>SUMIFS([1]raw_data!K:K,[1]raw_data!$A:$A,$B66)</f>
        <v>371.83713299999999</v>
      </c>
      <c r="P66" s="20">
        <f>SUMIFS([1]raw_data!L:L,[1]raw_data!$A:$A,$B66)</f>
        <v>1.1937406855439601</v>
      </c>
      <c r="Q66" s="19">
        <f>SUMIFS([1]raw_data!M:M,[1]raw_data!$A:$A,$B66)</f>
        <v>371.83713299999999</v>
      </c>
      <c r="R66" s="20">
        <f>SUMIFS([1]raw_data!N:N,[1]raw_data!$A:$A,$B66)</f>
        <v>1.1937406855439601</v>
      </c>
      <c r="S66" s="19">
        <f>SUMIFS([1]raw_data!O:O,[1]raw_data!$A:$A,$B66)</f>
        <v>3.1195840000000001</v>
      </c>
      <c r="T66" s="20">
        <f>SUMIFS([1]raw_data!P:P,[1]raw_data!$A:$A,$B66)</f>
        <v>1.73501577287066E-2</v>
      </c>
      <c r="U66" s="19">
        <f>SUMIFS([1]raw_data!Q:Q,[1]raw_data!$A:$A,$B66)</f>
        <v>3.1195840000000001</v>
      </c>
      <c r="V66" s="20">
        <f>SUMIFS([1]raw_data!R:R,[1]raw_data!$A:$A,$B66)</f>
        <v>1.73501577287066E-2</v>
      </c>
      <c r="W66" s="19">
        <f>SUMIFS([1]raw_data!S:S,[1]raw_data!$A:$A,$B66)</f>
        <v>764.22811200000001</v>
      </c>
      <c r="X66" s="20">
        <f>SUMIFS([1]raw_data!T:T,[1]raw_data!$A:$A,$B66)</f>
        <v>1.09135399673735</v>
      </c>
      <c r="Y66" s="19">
        <f>SUMIFS([1]raw_data!U:U,[1]raw_data!$A:$A,$B66)</f>
        <v>169.58450199999999</v>
      </c>
      <c r="Z66" s="20">
        <f>SUMIFS([1]raw_data!V:V,[1]raw_data!$A:$A,$B66)</f>
        <v>0.85807504078303398</v>
      </c>
      <c r="AA66" s="17">
        <f t="shared" si="0"/>
        <v>384.87567039999999</v>
      </c>
    </row>
    <row r="67" spans="1:27" x14ac:dyDescent="0.25">
      <c r="A67" s="38"/>
      <c r="B67" s="17" t="s">
        <v>301</v>
      </c>
      <c r="C67" s="17" t="s">
        <v>169</v>
      </c>
      <c r="D67" s="17" t="s">
        <v>302</v>
      </c>
      <c r="E67" s="17" t="s">
        <v>23</v>
      </c>
      <c r="F67" s="18">
        <f>IFERROR(INDEX([1]raw_data!B:B,MATCH(B67,[1]raw_data!A:A,0)),0)</f>
        <v>1365.2</v>
      </c>
      <c r="G67" s="19">
        <f>SUMIFS([1]raw_data!C:C,[1]raw_data!$A:$A,$B67)</f>
        <v>605.30887499999994</v>
      </c>
      <c r="H67" s="20">
        <f>SUMIFS([1]raw_data!D:D,[1]raw_data!$A:$A,$B67)</f>
        <v>0.53289473684210498</v>
      </c>
      <c r="I67" s="19">
        <f>SUMIFS([1]raw_data!E:E,[1]raw_data!$A:$A,$B67)</f>
        <v>5.7993969999999999</v>
      </c>
      <c r="J67" s="20">
        <f>SUMIFS([1]raw_data!F:F,[1]raw_data!$A:$A,$B67)</f>
        <v>6.6520467836257299E-2</v>
      </c>
      <c r="K67" s="19">
        <f>SUMIFS([1]raw_data!G:G,[1]raw_data!$A:$A,$B67)</f>
        <v>1163.39849</v>
      </c>
      <c r="L67" s="20">
        <f>SUMIFS([1]raw_data!H:H,[1]raw_data!$A:$A,$B67)</f>
        <v>2.0394448502556601</v>
      </c>
      <c r="M67" s="19">
        <f>SUMIFS([1]raw_data!I:I,[1]raw_data!$A:$A,$B67)</f>
        <v>345.947653</v>
      </c>
      <c r="N67" s="20">
        <f>SUMIFS([1]raw_data!J:J,[1]raw_data!$A:$A,$B67)</f>
        <v>1.3747260774287799</v>
      </c>
      <c r="O67" s="19">
        <f>SUMIFS([1]raw_data!K:K,[1]raw_data!$A:$A,$B67)</f>
        <v>81.555656999999997</v>
      </c>
      <c r="P67" s="20">
        <f>SUMIFS([1]raw_data!L:L,[1]raw_data!$A:$A,$B67)</f>
        <v>0.323313782991202</v>
      </c>
      <c r="Q67" s="19">
        <f>SUMIFS([1]raw_data!M:M,[1]raw_data!$A:$A,$B67)</f>
        <v>79.725733000000005</v>
      </c>
      <c r="R67" s="20">
        <f>SUMIFS([1]raw_data!N:N,[1]raw_data!$A:$A,$B67)</f>
        <v>0.31378299120234598</v>
      </c>
      <c r="S67" s="19">
        <f>SUMIFS([1]raw_data!O:O,[1]raw_data!$A:$A,$B67)</f>
        <v>34.377001999999997</v>
      </c>
      <c r="T67" s="20">
        <f>SUMIFS([1]raw_data!P:P,[1]raw_data!$A:$A,$B67)</f>
        <v>0.128560993425858</v>
      </c>
      <c r="U67" s="19">
        <f>SUMIFS([1]raw_data!Q:Q,[1]raw_data!$A:$A,$B67)</f>
        <v>21.218164000000002</v>
      </c>
      <c r="V67" s="20">
        <f>SUMIFS([1]raw_data!R:R,[1]raw_data!$A:$A,$B67)</f>
        <v>0.108838568298027</v>
      </c>
      <c r="W67" s="19">
        <f>SUMIFS([1]raw_data!S:S,[1]raw_data!$A:$A,$B67)</f>
        <v>36.938862999999998</v>
      </c>
      <c r="X67" s="20">
        <f>SUMIFS([1]raw_data!T:T,[1]raw_data!$A:$A,$B67)</f>
        <v>0.15929203539823</v>
      </c>
      <c r="Y67" s="19">
        <f>SUMIFS([1]raw_data!U:U,[1]raw_data!$A:$A,$B67)</f>
        <v>17.319541999999998</v>
      </c>
      <c r="Z67" s="20">
        <f>SUMIFS([1]raw_data!V:V,[1]raw_data!$A:$A,$B67)</f>
        <v>0.1452802359882</v>
      </c>
      <c r="AA67" s="17">
        <f t="shared" si="0"/>
        <v>384.3157774</v>
      </c>
    </row>
    <row r="68" spans="1:27" x14ac:dyDescent="0.25">
      <c r="A68" s="38"/>
      <c r="B68" s="17" t="s">
        <v>328</v>
      </c>
      <c r="C68" s="17" t="s">
        <v>165</v>
      </c>
      <c r="D68" s="17" t="s">
        <v>329</v>
      </c>
      <c r="E68" s="17" t="s">
        <v>19</v>
      </c>
      <c r="F68" s="18">
        <f>IFERROR(INDEX([1]raw_data!B:B,MATCH(B68,[1]raw_data!A:A,0)),0)</f>
        <v>2042</v>
      </c>
      <c r="G68" s="19">
        <f>SUMIFS([1]raw_data!C:C,[1]raw_data!$A:$A,$B68)</f>
        <v>218.76642799999999</v>
      </c>
      <c r="H68" s="20">
        <f>SUMIFS([1]raw_data!D:D,[1]raw_data!$A:$A,$B68)</f>
        <v>1.1681075888568599</v>
      </c>
      <c r="I68" s="19">
        <f>SUMIFS([1]raw_data!E:E,[1]raw_data!$A:$A,$B68)</f>
        <v>218.44636299999999</v>
      </c>
      <c r="J68" s="20">
        <f>SUMIFS([1]raw_data!F:F,[1]raw_data!$A:$A,$B68)</f>
        <v>1.1671469740634</v>
      </c>
      <c r="K68" s="19">
        <f>SUMIFS([1]raw_data!G:G,[1]raw_data!$A:$A,$B68)</f>
        <v>123.69735799999999</v>
      </c>
      <c r="L68" s="20">
        <f>SUMIFS([1]raw_data!H:H,[1]raw_data!$A:$A,$B68)</f>
        <v>1.27333652465294</v>
      </c>
      <c r="M68" s="19">
        <f>SUMIFS([1]raw_data!I:I,[1]raw_data!$A:$A,$B68)</f>
        <v>105.433336</v>
      </c>
      <c r="N68" s="20">
        <f>SUMIFS([1]raw_data!J:J,[1]raw_data!$A:$A,$B68)</f>
        <v>1.2613690761129699</v>
      </c>
      <c r="O68" s="19">
        <f>SUMIFS([1]raw_data!K:K,[1]raw_data!$A:$A,$B68)</f>
        <v>84.431047000000007</v>
      </c>
      <c r="P68" s="20">
        <f>SUMIFS([1]raw_data!L:L,[1]raw_data!$A:$A,$B68)</f>
        <v>0.24688398849472601</v>
      </c>
      <c r="Q68" s="19">
        <f>SUMIFS([1]raw_data!M:M,[1]raw_data!$A:$A,$B68)</f>
        <v>30.716705999999999</v>
      </c>
      <c r="R68" s="20">
        <f>SUMIFS([1]raw_data!N:N,[1]raw_data!$A:$A,$B68)</f>
        <v>0.199904122722914</v>
      </c>
      <c r="S68" s="19">
        <f>SUMIFS([1]raw_data!O:O,[1]raw_data!$A:$A,$B68)</f>
        <v>174.20262399999999</v>
      </c>
      <c r="T68" s="20">
        <f>SUMIFS([1]raw_data!P:P,[1]raw_data!$A:$A,$B68)</f>
        <v>0.26151560178305999</v>
      </c>
      <c r="U68" s="19">
        <f>SUMIFS([1]raw_data!Q:Q,[1]raw_data!$A:$A,$B68)</f>
        <v>34.650652000000001</v>
      </c>
      <c r="V68" s="20">
        <f>SUMIFS([1]raw_data!R:R,[1]raw_data!$A:$A,$B68)</f>
        <v>0.171867261020307</v>
      </c>
      <c r="W68" s="19">
        <f>SUMIFS([1]raw_data!S:S,[1]raw_data!$A:$A,$B68)</f>
        <v>1298.8766450000001</v>
      </c>
      <c r="X68" s="20">
        <f>SUMIFS([1]raw_data!T:T,[1]raw_data!$A:$A,$B68)</f>
        <v>1.0051706308169499</v>
      </c>
      <c r="Y68" s="19">
        <f>SUMIFS([1]raw_data!U:U,[1]raw_data!$A:$A,$B68)</f>
        <v>42.799655000000001</v>
      </c>
      <c r="Z68" s="20">
        <f>SUMIFS([1]raw_data!V:V,[1]raw_data!$A:$A,$B68)</f>
        <v>0.32523267838676301</v>
      </c>
      <c r="AA68" s="17">
        <f t="shared" ref="AA68:AA131" si="1">(G68+K68+O68+S68+W68)/5</f>
        <v>379.99482040000004</v>
      </c>
    </row>
    <row r="69" spans="1:27" x14ac:dyDescent="0.25">
      <c r="A69" s="38"/>
      <c r="B69" s="17" t="s">
        <v>460</v>
      </c>
      <c r="C69" s="17" t="s">
        <v>404</v>
      </c>
      <c r="D69" s="17" t="s">
        <v>461</v>
      </c>
      <c r="E69" s="17" t="s">
        <v>65</v>
      </c>
      <c r="F69" s="18">
        <f>IFERROR(INDEX([1]raw_data!B:B,MATCH(B69,[1]raw_data!A:A,0)),0)</f>
        <v>44.2</v>
      </c>
      <c r="G69" s="19">
        <f>SUMIFS([1]raw_data!C:C,[1]raw_data!$A:$A,$B69)</f>
        <v>9.4724240000000002</v>
      </c>
      <c r="H69" s="20">
        <f>SUMIFS([1]raw_data!D:D,[1]raw_data!$A:$A,$B69)</f>
        <v>4.3478260869565202E-2</v>
      </c>
      <c r="I69" s="19">
        <f>SUMIFS([1]raw_data!E:E,[1]raw_data!$A:$A,$B69)</f>
        <v>9.4724240000000002</v>
      </c>
      <c r="J69" s="20">
        <f>SUMIFS([1]raw_data!F:F,[1]raw_data!$A:$A,$B69)</f>
        <v>4.3478260869565202E-2</v>
      </c>
      <c r="K69" s="19">
        <f>SUMIFS([1]raw_data!G:G,[1]raw_data!$A:$A,$B69)</f>
        <v>0.57348399999999999</v>
      </c>
      <c r="L69" s="20">
        <f>SUMIFS([1]raw_data!H:H,[1]raw_data!$A:$A,$B69)</f>
        <v>4.54545454545454E-2</v>
      </c>
      <c r="M69" s="19">
        <f>SUMIFS([1]raw_data!I:I,[1]raw_data!$A:$A,$B69)</f>
        <v>0.57348399999999999</v>
      </c>
      <c r="N69" s="20">
        <f>SUMIFS([1]raw_data!J:J,[1]raw_data!$A:$A,$B69)</f>
        <v>4.54545454545454E-2</v>
      </c>
      <c r="O69" s="19">
        <f>SUMIFS([1]raw_data!K:K,[1]raw_data!$A:$A,$B69)</f>
        <v>1844.679545</v>
      </c>
      <c r="P69" s="20">
        <f>SUMIFS([1]raw_data!L:L,[1]raw_data!$A:$A,$B69)</f>
        <v>0.95454545454545403</v>
      </c>
      <c r="Q69" s="19">
        <f>SUMIFS([1]raw_data!M:M,[1]raw_data!$A:$A,$B69)</f>
        <v>0</v>
      </c>
      <c r="R69" s="20">
        <f>SUMIFS([1]raw_data!N:N,[1]raw_data!$A:$A,$B69)</f>
        <v>0</v>
      </c>
      <c r="S69" s="19">
        <f>SUMIFS([1]raw_data!O:O,[1]raw_data!$A:$A,$B69)</f>
        <v>7.6340899999999996</v>
      </c>
      <c r="T69" s="20">
        <f>SUMIFS([1]raw_data!P:P,[1]raw_data!$A:$A,$B69)</f>
        <v>0.11363636363636299</v>
      </c>
      <c r="U69" s="19">
        <f>SUMIFS([1]raw_data!Q:Q,[1]raw_data!$A:$A,$B69)</f>
        <v>7.6340899999999996</v>
      </c>
      <c r="V69" s="20">
        <f>SUMIFS([1]raw_data!R:R,[1]raw_data!$A:$A,$B69)</f>
        <v>0.11363636363636299</v>
      </c>
      <c r="W69" s="19">
        <f>SUMIFS([1]raw_data!S:S,[1]raw_data!$A:$A,$B69)</f>
        <v>14.065116</v>
      </c>
      <c r="X69" s="20">
        <f>SUMIFS([1]raw_data!T:T,[1]raw_data!$A:$A,$B69)</f>
        <v>0.209302325581395</v>
      </c>
      <c r="Y69" s="19">
        <f>SUMIFS([1]raw_data!U:U,[1]raw_data!$A:$A,$B69)</f>
        <v>14.065116</v>
      </c>
      <c r="Z69" s="20">
        <f>SUMIFS([1]raw_data!V:V,[1]raw_data!$A:$A,$B69)</f>
        <v>0.209302325581395</v>
      </c>
      <c r="AA69" s="17">
        <f t="shared" si="1"/>
        <v>375.28493179999998</v>
      </c>
    </row>
    <row r="70" spans="1:27" x14ac:dyDescent="0.25">
      <c r="A70" s="38"/>
      <c r="B70" s="17" t="s">
        <v>117</v>
      </c>
      <c r="C70" s="17" t="s">
        <v>118</v>
      </c>
      <c r="D70" s="17" t="s">
        <v>119</v>
      </c>
      <c r="E70" s="17" t="s">
        <v>27</v>
      </c>
      <c r="F70" s="18">
        <f>IFERROR(INDEX([1]raw_data!B:B,MATCH(B70,[1]raw_data!A:A,0)),0)</f>
        <v>1418.4</v>
      </c>
      <c r="G70" s="19">
        <f>SUMIFS([1]raw_data!C:C,[1]raw_data!$A:$A,$B70)</f>
        <v>1140.199136</v>
      </c>
      <c r="H70" s="20">
        <f>SUMIFS([1]raw_data!D:D,[1]raw_data!$A:$A,$B70)</f>
        <v>3.6631578947368402</v>
      </c>
      <c r="I70" s="19">
        <f>SUMIFS([1]raw_data!E:E,[1]raw_data!$A:$A,$B70)</f>
        <v>652.81186300000002</v>
      </c>
      <c r="J70" s="20">
        <f>SUMIFS([1]raw_data!F:F,[1]raw_data!$A:$A,$B70)</f>
        <v>2.50526315789473</v>
      </c>
      <c r="K70" s="19">
        <f>SUMIFS([1]raw_data!G:G,[1]raw_data!$A:$A,$B70)</f>
        <v>52.310887000000001</v>
      </c>
      <c r="L70" s="20">
        <f>SUMIFS([1]raw_data!H:H,[1]raw_data!$A:$A,$B70)</f>
        <v>0.29073033707865098</v>
      </c>
      <c r="M70" s="19">
        <f>SUMIFS([1]raw_data!I:I,[1]raw_data!$A:$A,$B70)</f>
        <v>51.466569</v>
      </c>
      <c r="N70" s="20">
        <f>SUMIFS([1]raw_data!J:J,[1]raw_data!$A:$A,$B70)</f>
        <v>0.288623595505617</v>
      </c>
      <c r="O70" s="19">
        <f>SUMIFS([1]raw_data!K:K,[1]raw_data!$A:$A,$B70)</f>
        <v>54.559361000000003</v>
      </c>
      <c r="P70" s="20">
        <f>SUMIFS([1]raw_data!L:L,[1]raw_data!$A:$A,$B70)</f>
        <v>0.343904157857646</v>
      </c>
      <c r="Q70" s="19">
        <f>SUMIFS([1]raw_data!M:M,[1]raw_data!$A:$A,$B70)</f>
        <v>54.330255999999999</v>
      </c>
      <c r="R70" s="20">
        <f>SUMIFS([1]raw_data!N:N,[1]raw_data!$A:$A,$B70)</f>
        <v>0.33967582804792101</v>
      </c>
      <c r="S70" s="19">
        <f>SUMIFS([1]raw_data!O:O,[1]raw_data!$A:$A,$B70)</f>
        <v>278.94603499999999</v>
      </c>
      <c r="T70" s="20">
        <f>SUMIFS([1]raw_data!P:P,[1]raw_data!$A:$A,$B70)</f>
        <v>1.5201129146083201</v>
      </c>
      <c r="U70" s="19">
        <f>SUMIFS([1]raw_data!Q:Q,[1]raw_data!$A:$A,$B70)</f>
        <v>278.82996900000001</v>
      </c>
      <c r="V70" s="20">
        <f>SUMIFS([1]raw_data!R:R,[1]raw_data!$A:$A,$B70)</f>
        <v>1.51729004940014</v>
      </c>
      <c r="W70" s="19">
        <f>SUMIFS([1]raw_data!S:S,[1]raw_data!$A:$A,$B70)</f>
        <v>343.45011699999998</v>
      </c>
      <c r="X70" s="20">
        <f>SUMIFS([1]raw_data!T:T,[1]raw_data!$A:$A,$B70)</f>
        <v>0.57356076759061803</v>
      </c>
      <c r="Y70" s="19">
        <f>SUMIFS([1]raw_data!U:U,[1]raw_data!$A:$A,$B70)</f>
        <v>108.274958</v>
      </c>
      <c r="Z70" s="20">
        <f>SUMIFS([1]raw_data!V:V,[1]raw_data!$A:$A,$B70)</f>
        <v>0.38805970149253699</v>
      </c>
      <c r="AA70" s="17">
        <f t="shared" si="1"/>
        <v>373.89310720000003</v>
      </c>
    </row>
    <row r="71" spans="1:27" x14ac:dyDescent="0.25">
      <c r="A71" s="38"/>
      <c r="B71" s="17" t="s">
        <v>388</v>
      </c>
      <c r="C71" s="17" t="s">
        <v>217</v>
      </c>
      <c r="D71" s="17" t="s">
        <v>389</v>
      </c>
      <c r="E71" s="17" t="s">
        <v>65</v>
      </c>
      <c r="F71" s="18">
        <f>IFERROR(INDEX([1]raw_data!B:B,MATCH(B71,[1]raw_data!A:A,0)),0)</f>
        <v>1328.2</v>
      </c>
      <c r="G71" s="19">
        <f>SUMIFS([1]raw_data!C:C,[1]raw_data!$A:$A,$B71)</f>
        <v>733.007925</v>
      </c>
      <c r="H71" s="20">
        <f>SUMIFS([1]raw_data!D:D,[1]raw_data!$A:$A,$B71)</f>
        <v>0.43062926459438899</v>
      </c>
      <c r="I71" s="19">
        <f>SUMIFS([1]raw_data!E:E,[1]raw_data!$A:$A,$B71)</f>
        <v>5.7287730000000003</v>
      </c>
      <c r="J71" s="20">
        <f>SUMIFS([1]raw_data!F:F,[1]raw_data!$A:$A,$B71)</f>
        <v>3.0326004548900599E-2</v>
      </c>
      <c r="K71" s="19">
        <f>SUMIFS([1]raw_data!G:G,[1]raw_data!$A:$A,$B71)</f>
        <v>127.704762</v>
      </c>
      <c r="L71" s="20">
        <f>SUMIFS([1]raw_data!H:H,[1]raw_data!$A:$A,$B71)</f>
        <v>0.15769522365428301</v>
      </c>
      <c r="M71" s="19">
        <f>SUMIFS([1]raw_data!I:I,[1]raw_data!$A:$A,$B71)</f>
        <v>8.3831030000000002</v>
      </c>
      <c r="N71" s="20">
        <f>SUMIFS([1]raw_data!J:J,[1]raw_data!$A:$A,$B71)</f>
        <v>6.5959059893858904E-2</v>
      </c>
      <c r="O71" s="19">
        <f>SUMIFS([1]raw_data!K:K,[1]raw_data!$A:$A,$B71)</f>
        <v>43.272317999999999</v>
      </c>
      <c r="P71" s="20">
        <f>SUMIFS([1]raw_data!L:L,[1]raw_data!$A:$A,$B71)</f>
        <v>0.16312594840667599</v>
      </c>
      <c r="Q71" s="19">
        <f>SUMIFS([1]raw_data!M:M,[1]raw_data!$A:$A,$B71)</f>
        <v>17.443031999999999</v>
      </c>
      <c r="R71" s="20">
        <f>SUMIFS([1]raw_data!N:N,[1]raw_data!$A:$A,$B71)</f>
        <v>0.13125948406676699</v>
      </c>
      <c r="S71" s="19">
        <f>SUMIFS([1]raw_data!O:O,[1]raw_data!$A:$A,$B71)</f>
        <v>722.14689199999998</v>
      </c>
      <c r="T71" s="20">
        <f>SUMIFS([1]raw_data!P:P,[1]raw_data!$A:$A,$B71)</f>
        <v>0.67608861726508696</v>
      </c>
      <c r="U71" s="19">
        <f>SUMIFS([1]raw_data!Q:Q,[1]raw_data!$A:$A,$B71)</f>
        <v>47.337088999999999</v>
      </c>
      <c r="V71" s="20">
        <f>SUMIFS([1]raw_data!R:R,[1]raw_data!$A:$A,$B71)</f>
        <v>0.53934300993124495</v>
      </c>
      <c r="W71" s="19">
        <f>SUMIFS([1]raw_data!S:S,[1]raw_data!$A:$A,$B71)</f>
        <v>242.481685</v>
      </c>
      <c r="X71" s="20">
        <f>SUMIFS([1]raw_data!T:T,[1]raw_data!$A:$A,$B71)</f>
        <v>1.10029069767441</v>
      </c>
      <c r="Y71" s="19">
        <f>SUMIFS([1]raw_data!U:U,[1]raw_data!$A:$A,$B71)</f>
        <v>241.794791</v>
      </c>
      <c r="Z71" s="20">
        <f>SUMIFS([1]raw_data!V:V,[1]raw_data!$A:$A,$B71)</f>
        <v>1.0995639534883701</v>
      </c>
      <c r="AA71" s="17">
        <f t="shared" si="1"/>
        <v>373.72271639999997</v>
      </c>
    </row>
    <row r="72" spans="1:27" x14ac:dyDescent="0.25">
      <c r="A72" s="38"/>
      <c r="B72" s="17" t="s">
        <v>100</v>
      </c>
      <c r="C72" s="17" t="s">
        <v>35</v>
      </c>
      <c r="D72" s="17" t="s">
        <v>101</v>
      </c>
      <c r="E72" s="17" t="s">
        <v>15</v>
      </c>
      <c r="F72" s="18">
        <f>IFERROR(INDEX([1]raw_data!B:B,MATCH(B72,[1]raw_data!A:A,0)),0)</f>
        <v>808.33333300000004</v>
      </c>
      <c r="G72" s="19">
        <f>SUMIFS([1]raw_data!C:C,[1]raw_data!$A:$A,$B72)</f>
        <v>10.492841</v>
      </c>
      <c r="H72" s="20">
        <f>SUMIFS([1]raw_data!D:D,[1]raw_data!$A:$A,$B72)</f>
        <v>9.9363057324840701E-2</v>
      </c>
      <c r="I72" s="19">
        <f>SUMIFS([1]raw_data!E:E,[1]raw_data!$A:$A,$B72)</f>
        <v>10.492841</v>
      </c>
      <c r="J72" s="20">
        <f>SUMIFS([1]raw_data!F:F,[1]raw_data!$A:$A,$B72)</f>
        <v>9.9363057324840701E-2</v>
      </c>
      <c r="K72" s="19">
        <f>SUMIFS([1]raw_data!G:G,[1]raw_data!$A:$A,$B72)</f>
        <v>31.970343</v>
      </c>
      <c r="L72" s="20">
        <f>SUMIFS([1]raw_data!H:H,[1]raw_data!$A:$A,$B72)</f>
        <v>0.17758186397984799</v>
      </c>
      <c r="M72" s="19">
        <f>SUMIFS([1]raw_data!I:I,[1]raw_data!$A:$A,$B72)</f>
        <v>31.107384</v>
      </c>
      <c r="N72" s="20">
        <f>SUMIFS([1]raw_data!J:J,[1]raw_data!$A:$A,$B72)</f>
        <v>0.175062972292191</v>
      </c>
      <c r="O72" s="19">
        <f>SUMIFS([1]raw_data!K:K,[1]raw_data!$A:$A,$B72)</f>
        <v>1292.1657869999999</v>
      </c>
      <c r="P72" s="20">
        <f>SUMIFS([1]raw_data!L:L,[1]raw_data!$A:$A,$B72)</f>
        <v>1.3588456712672501</v>
      </c>
      <c r="Q72" s="19">
        <f>SUMIFS([1]raw_data!M:M,[1]raw_data!$A:$A,$B72)</f>
        <v>695.47685000000001</v>
      </c>
      <c r="R72" s="20">
        <f>SUMIFS([1]raw_data!N:N,[1]raw_data!$A:$A,$B72)</f>
        <v>1.1819322459221999</v>
      </c>
      <c r="S72" s="19">
        <f>SUMIFS([1]raw_data!O:O,[1]raw_data!$A:$A,$B72)</f>
        <v>68.656852999999998</v>
      </c>
      <c r="T72" s="20">
        <f>SUMIFS([1]raw_data!P:P,[1]raw_data!$A:$A,$B72)</f>
        <v>0.285189718482252</v>
      </c>
      <c r="U72" s="19">
        <f>SUMIFS([1]raw_data!Q:Q,[1]raw_data!$A:$A,$B72)</f>
        <v>68.545959999999994</v>
      </c>
      <c r="V72" s="20">
        <f>SUMIFS([1]raw_data!R:R,[1]raw_data!$A:$A,$B72)</f>
        <v>0.28151774785801698</v>
      </c>
      <c r="W72" s="19">
        <f>SUMIFS([1]raw_data!S:S,[1]raw_data!$A:$A,$B72)</f>
        <v>462.21706399999999</v>
      </c>
      <c r="X72" s="20">
        <f>SUMIFS([1]raw_data!T:T,[1]raw_data!$A:$A,$B72)</f>
        <v>1.3739545997610501</v>
      </c>
      <c r="Y72" s="19">
        <f>SUMIFS([1]raw_data!U:U,[1]raw_data!$A:$A,$B72)</f>
        <v>454.54532</v>
      </c>
      <c r="Z72" s="20">
        <f>SUMIFS([1]raw_data!V:V,[1]raw_data!$A:$A,$B72)</f>
        <v>1.3524492234169601</v>
      </c>
      <c r="AA72" s="17">
        <f t="shared" si="1"/>
        <v>373.10057759999995</v>
      </c>
    </row>
    <row r="73" spans="1:27" x14ac:dyDescent="0.25">
      <c r="A73" s="38"/>
      <c r="B73" s="17" t="s">
        <v>102</v>
      </c>
      <c r="C73" s="17" t="s">
        <v>103</v>
      </c>
      <c r="D73" s="17" t="s">
        <v>104</v>
      </c>
      <c r="E73" s="17" t="s">
        <v>15</v>
      </c>
      <c r="F73" s="18">
        <f>IFERROR(INDEX([1]raw_data!B:B,MATCH(B73,[1]raw_data!A:A,0)),0)</f>
        <v>1597.4</v>
      </c>
      <c r="G73" s="19">
        <f>SUMIFS([1]raw_data!C:C,[1]raw_data!$A:$A,$B73)</f>
        <v>388.23440799999997</v>
      </c>
      <c r="H73" s="20">
        <f>SUMIFS([1]raw_data!D:D,[1]raw_data!$A:$A,$B73)</f>
        <v>1.3366398016119001</v>
      </c>
      <c r="I73" s="19">
        <f>SUMIFS([1]raw_data!E:E,[1]raw_data!$A:$A,$B73)</f>
        <v>388.05710599999998</v>
      </c>
      <c r="J73" s="20">
        <f>SUMIFS([1]raw_data!F:F,[1]raw_data!$A:$A,$B73)</f>
        <v>1.33601983880967</v>
      </c>
      <c r="K73" s="19">
        <f>SUMIFS([1]raw_data!G:G,[1]raw_data!$A:$A,$B73)</f>
        <v>640.90034400000002</v>
      </c>
      <c r="L73" s="20">
        <f>SUMIFS([1]raw_data!H:H,[1]raw_data!$A:$A,$B73)</f>
        <v>1.4081250000000001</v>
      </c>
      <c r="M73" s="19">
        <f>SUMIFS([1]raw_data!I:I,[1]raw_data!$A:$A,$B73)</f>
        <v>36.214117999999999</v>
      </c>
      <c r="N73" s="20">
        <f>SUMIFS([1]raw_data!J:J,[1]raw_data!$A:$A,$B73)</f>
        <v>0.25687500000000002</v>
      </c>
      <c r="O73" s="19">
        <f>SUMIFS([1]raw_data!K:K,[1]raw_data!$A:$A,$B73)</f>
        <v>40.338625</v>
      </c>
      <c r="P73" s="20">
        <f>SUMIFS([1]raw_data!L:L,[1]raw_data!$A:$A,$B73)</f>
        <v>0.19785759294265901</v>
      </c>
      <c r="Q73" s="19">
        <f>SUMIFS([1]raw_data!M:M,[1]raw_data!$A:$A,$B73)</f>
        <v>37.720120999999999</v>
      </c>
      <c r="R73" s="20">
        <f>SUMIFS([1]raw_data!N:N,[1]raw_data!$A:$A,$B73)</f>
        <v>0.19155639571518501</v>
      </c>
      <c r="S73" s="19">
        <f>SUMIFS([1]raw_data!O:O,[1]raw_data!$A:$A,$B73)</f>
        <v>685.48291500000005</v>
      </c>
      <c r="T73" s="20">
        <f>SUMIFS([1]raw_data!P:P,[1]raw_data!$A:$A,$B73)</f>
        <v>3.4533500313087</v>
      </c>
      <c r="U73" s="19">
        <f>SUMIFS([1]raw_data!Q:Q,[1]raw_data!$A:$A,$B73)</f>
        <v>684.02720699999998</v>
      </c>
      <c r="V73" s="20">
        <f>SUMIFS([1]raw_data!R:R,[1]raw_data!$A:$A,$B73)</f>
        <v>3.4458359423919802</v>
      </c>
      <c r="W73" s="19">
        <f>SUMIFS([1]raw_data!S:S,[1]raw_data!$A:$A,$B73)</f>
        <v>106.380292</v>
      </c>
      <c r="X73" s="20">
        <f>SUMIFS([1]raw_data!T:T,[1]raw_data!$A:$A,$B73)</f>
        <v>0.34779874213836398</v>
      </c>
      <c r="Y73" s="19">
        <f>SUMIFS([1]raw_data!U:U,[1]raw_data!$A:$A,$B73)</f>
        <v>90.235795999999993</v>
      </c>
      <c r="Z73" s="20">
        <f>SUMIFS([1]raw_data!V:V,[1]raw_data!$A:$A,$B73)</f>
        <v>0.31698113207547102</v>
      </c>
      <c r="AA73" s="17">
        <f t="shared" si="1"/>
        <v>372.2673168</v>
      </c>
    </row>
    <row r="74" spans="1:27" x14ac:dyDescent="0.25">
      <c r="A74" s="38"/>
      <c r="B74" s="17" t="s">
        <v>45</v>
      </c>
      <c r="C74" s="17" t="s">
        <v>46</v>
      </c>
      <c r="D74" s="17" t="s">
        <v>47</v>
      </c>
      <c r="E74" s="17" t="s">
        <v>19</v>
      </c>
      <c r="F74" s="18">
        <f>IFERROR(INDEX([1]raw_data!B:B,MATCH(B74,[1]raw_data!A:A,0)),0)</f>
        <v>115.2</v>
      </c>
      <c r="G74" s="19">
        <f>SUMIFS([1]raw_data!C:C,[1]raw_data!$A:$A,$B74)</f>
        <v>1.494802</v>
      </c>
      <c r="H74" s="20">
        <f>SUMIFS([1]raw_data!D:D,[1]raw_data!$A:$A,$B74)</f>
        <v>9.6153846153846107E-3</v>
      </c>
      <c r="I74" s="19">
        <f>SUMIFS([1]raw_data!E:E,[1]raw_data!$A:$A,$B74)</f>
        <v>1.494802</v>
      </c>
      <c r="J74" s="20">
        <f>SUMIFS([1]raw_data!F:F,[1]raw_data!$A:$A,$B74)</f>
        <v>9.6153846153846107E-3</v>
      </c>
      <c r="K74" s="19">
        <f>SUMIFS([1]raw_data!G:G,[1]raw_data!$A:$A,$B74)</f>
        <v>729.53537700000004</v>
      </c>
      <c r="L74" s="20">
        <f>SUMIFS([1]raw_data!H:H,[1]raw_data!$A:$A,$B74)</f>
        <v>0.99056603773584895</v>
      </c>
      <c r="M74" s="19">
        <f>SUMIFS([1]raw_data!I:I,[1]raw_data!$A:$A,$B74)</f>
        <v>729.53537700000004</v>
      </c>
      <c r="N74" s="20">
        <f>SUMIFS([1]raw_data!J:J,[1]raw_data!$A:$A,$B74)</f>
        <v>0.99056603773584895</v>
      </c>
      <c r="O74" s="19">
        <f>SUMIFS([1]raw_data!K:K,[1]raw_data!$A:$A,$B74)</f>
        <v>7.5429899999999996</v>
      </c>
      <c r="P74" s="20">
        <f>SUMIFS([1]raw_data!L:L,[1]raw_data!$A:$A,$B74)</f>
        <v>5.6074766355140103E-2</v>
      </c>
      <c r="Q74" s="19">
        <f>SUMIFS([1]raw_data!M:M,[1]raw_data!$A:$A,$B74)</f>
        <v>7.5429899999999996</v>
      </c>
      <c r="R74" s="20">
        <f>SUMIFS([1]raw_data!N:N,[1]raw_data!$A:$A,$B74)</f>
        <v>5.6074766355140103E-2</v>
      </c>
      <c r="S74" s="19">
        <f>SUMIFS([1]raw_data!O:O,[1]raw_data!$A:$A,$B74)</f>
        <v>32.553702999999999</v>
      </c>
      <c r="T74" s="20">
        <f>SUMIFS([1]raw_data!P:P,[1]raw_data!$A:$A,$B74)</f>
        <v>0.73015873015873001</v>
      </c>
      <c r="U74" s="19">
        <f>SUMIFS([1]raw_data!Q:Q,[1]raw_data!$A:$A,$B74)</f>
        <v>32.553702999999999</v>
      </c>
      <c r="V74" s="20">
        <f>SUMIFS([1]raw_data!R:R,[1]raw_data!$A:$A,$B74)</f>
        <v>0.73015873015873001</v>
      </c>
      <c r="W74" s="19">
        <f>SUMIFS([1]raw_data!S:S,[1]raw_data!$A:$A,$B74)</f>
        <v>1089.061027</v>
      </c>
      <c r="X74" s="20">
        <f>SUMIFS([1]raw_data!T:T,[1]raw_data!$A:$A,$B74)</f>
        <v>2.9849624060150299</v>
      </c>
      <c r="Y74" s="19">
        <f>SUMIFS([1]raw_data!U:U,[1]raw_data!$A:$A,$B74)</f>
        <v>1089.061027</v>
      </c>
      <c r="Z74" s="20">
        <f>SUMIFS([1]raw_data!V:V,[1]raw_data!$A:$A,$B74)</f>
        <v>2.9849624060150299</v>
      </c>
      <c r="AA74" s="17">
        <f t="shared" si="1"/>
        <v>372.0375798</v>
      </c>
    </row>
    <row r="75" spans="1:27" x14ac:dyDescent="0.25">
      <c r="A75" s="38"/>
      <c r="B75" s="17" t="s">
        <v>135</v>
      </c>
      <c r="C75" s="17" t="s">
        <v>17</v>
      </c>
      <c r="D75" s="17" t="s">
        <v>136</v>
      </c>
      <c r="E75" s="17" t="s">
        <v>19</v>
      </c>
      <c r="F75" s="18">
        <f>IFERROR(INDEX([1]raw_data!B:B,MATCH(B75,[1]raw_data!A:A,0)),0)</f>
        <v>776.11111100000005</v>
      </c>
      <c r="G75" s="19">
        <f>SUMIFS([1]raw_data!C:C,[1]raw_data!$A:$A,$B75)</f>
        <v>30.099985</v>
      </c>
      <c r="H75" s="20">
        <f>SUMIFS([1]raw_data!D:D,[1]raw_data!$A:$A,$B75)</f>
        <v>0.111665004985044</v>
      </c>
      <c r="I75" s="19">
        <f>SUMIFS([1]raw_data!E:E,[1]raw_data!$A:$A,$B75)</f>
        <v>18.608654000000001</v>
      </c>
      <c r="J75" s="20">
        <f>SUMIFS([1]raw_data!F:F,[1]raw_data!$A:$A,$B75)</f>
        <v>0.101694915254237</v>
      </c>
      <c r="K75" s="19">
        <f>SUMIFS([1]raw_data!G:G,[1]raw_data!$A:$A,$B75)</f>
        <v>217.15977899999999</v>
      </c>
      <c r="L75" s="20">
        <f>SUMIFS([1]raw_data!H:H,[1]raw_data!$A:$A,$B75)</f>
        <v>2.4722222222222201</v>
      </c>
      <c r="M75" s="19">
        <f>SUMIFS([1]raw_data!I:I,[1]raw_data!$A:$A,$B75)</f>
        <v>213.00673599999999</v>
      </c>
      <c r="N75" s="20">
        <f>SUMIFS([1]raw_data!J:J,[1]raw_data!$A:$A,$B75)</f>
        <v>2.4412393162393098</v>
      </c>
      <c r="O75" s="19">
        <f>SUMIFS([1]raw_data!K:K,[1]raw_data!$A:$A,$B75)</f>
        <v>846.075109</v>
      </c>
      <c r="P75" s="20">
        <f>SUMIFS([1]raw_data!L:L,[1]raw_data!$A:$A,$B75)</f>
        <v>1.2838323353293399</v>
      </c>
      <c r="Q75" s="19">
        <f>SUMIFS([1]raw_data!M:M,[1]raw_data!$A:$A,$B75)</f>
        <v>133.36572799999999</v>
      </c>
      <c r="R75" s="20">
        <f>SUMIFS([1]raw_data!N:N,[1]raw_data!$A:$A,$B75)</f>
        <v>1.1017964071856201</v>
      </c>
      <c r="S75" s="19">
        <f>SUMIFS([1]raw_data!O:O,[1]raw_data!$A:$A,$B75)</f>
        <v>162.152018</v>
      </c>
      <c r="T75" s="20">
        <f>SUMIFS([1]raw_data!P:P,[1]raw_data!$A:$A,$B75)</f>
        <v>1.2435105067985099</v>
      </c>
      <c r="U75" s="19">
        <f>SUMIFS([1]raw_data!Q:Q,[1]raw_data!$A:$A,$B75)</f>
        <v>162.152018</v>
      </c>
      <c r="V75" s="20">
        <f>SUMIFS([1]raw_data!R:R,[1]raw_data!$A:$A,$B75)</f>
        <v>1.2435105067985099</v>
      </c>
      <c r="W75" s="19">
        <f>SUMIFS([1]raw_data!S:S,[1]raw_data!$A:$A,$B75)</f>
        <v>574.39570000000003</v>
      </c>
      <c r="X75" s="20">
        <f>SUMIFS([1]raw_data!T:T,[1]raw_data!$A:$A,$B75)</f>
        <v>3.0923566878980799</v>
      </c>
      <c r="Y75" s="19">
        <f>SUMIFS([1]raw_data!U:U,[1]raw_data!$A:$A,$B75)</f>
        <v>482.99888499999997</v>
      </c>
      <c r="Z75" s="20">
        <f>SUMIFS([1]raw_data!V:V,[1]raw_data!$A:$A,$B75)</f>
        <v>2.96815286624203</v>
      </c>
      <c r="AA75" s="17">
        <f t="shared" si="1"/>
        <v>365.97651819999999</v>
      </c>
    </row>
    <row r="76" spans="1:27" x14ac:dyDescent="0.25">
      <c r="A76" s="38"/>
      <c r="B76" s="17" t="s">
        <v>69</v>
      </c>
      <c r="C76" s="17" t="s">
        <v>70</v>
      </c>
      <c r="D76" s="17" t="s">
        <v>71</v>
      </c>
      <c r="E76" s="17" t="s">
        <v>15</v>
      </c>
      <c r="F76" s="18">
        <f>IFERROR(INDEX([1]raw_data!B:B,MATCH(B76,[1]raw_data!A:A,0)),0)</f>
        <v>967.4</v>
      </c>
      <c r="G76" s="19">
        <f>SUMIFS([1]raw_data!C:C,[1]raw_data!$A:$A,$B76)</f>
        <v>96.340509999999995</v>
      </c>
      <c r="H76" s="20">
        <f>SUMIFS([1]raw_data!D:D,[1]raw_data!$A:$A,$B76)</f>
        <v>0.54225352112675995</v>
      </c>
      <c r="I76" s="19">
        <f>SUMIFS([1]raw_data!E:E,[1]raw_data!$A:$A,$B76)</f>
        <v>64.690905000000001</v>
      </c>
      <c r="J76" s="20">
        <f>SUMIFS([1]raw_data!F:F,[1]raw_data!$A:$A,$B76)</f>
        <v>0.45070422535211202</v>
      </c>
      <c r="K76" s="19">
        <f>SUMIFS([1]raw_data!G:G,[1]raw_data!$A:$A,$B76)</f>
        <v>115.37965699999999</v>
      </c>
      <c r="L76" s="20">
        <f>SUMIFS([1]raw_data!H:H,[1]raw_data!$A:$A,$B76)</f>
        <v>0.77277277277277201</v>
      </c>
      <c r="M76" s="19">
        <f>SUMIFS([1]raw_data!I:I,[1]raw_data!$A:$A,$B76)</f>
        <v>86.368157999999994</v>
      </c>
      <c r="N76" s="20">
        <f>SUMIFS([1]raw_data!J:J,[1]raw_data!$A:$A,$B76)</f>
        <v>0.75175175175175102</v>
      </c>
      <c r="O76" s="19">
        <f>SUMIFS([1]raw_data!K:K,[1]raw_data!$A:$A,$B76)</f>
        <v>510.86051300000003</v>
      </c>
      <c r="P76" s="20">
        <f>SUMIFS([1]raw_data!L:L,[1]raw_data!$A:$A,$B76)</f>
        <v>3.0797546012269899</v>
      </c>
      <c r="Q76" s="19">
        <f>SUMIFS([1]raw_data!M:M,[1]raw_data!$A:$A,$B76)</f>
        <v>476.02249399999999</v>
      </c>
      <c r="R76" s="20">
        <f>SUMIFS([1]raw_data!N:N,[1]raw_data!$A:$A,$B76)</f>
        <v>3.05010224948875</v>
      </c>
      <c r="S76" s="19">
        <f>SUMIFS([1]raw_data!O:O,[1]raw_data!$A:$A,$B76)</f>
        <v>347.23569300000003</v>
      </c>
      <c r="T76" s="20">
        <f>SUMIFS([1]raw_data!P:P,[1]raw_data!$A:$A,$B76)</f>
        <v>1.7559462254395</v>
      </c>
      <c r="U76" s="19">
        <f>SUMIFS([1]raw_data!Q:Q,[1]raw_data!$A:$A,$B76)</f>
        <v>343.02576599999998</v>
      </c>
      <c r="V76" s="20">
        <f>SUMIFS([1]raw_data!R:R,[1]raw_data!$A:$A,$B76)</f>
        <v>1.7352637021716599</v>
      </c>
      <c r="W76" s="19">
        <f>SUMIFS([1]raw_data!S:S,[1]raw_data!$A:$A,$B76)</f>
        <v>753.34017300000005</v>
      </c>
      <c r="X76" s="20">
        <f>SUMIFS([1]raw_data!T:T,[1]raw_data!$A:$A,$B76)</f>
        <v>1.8020022246941001</v>
      </c>
      <c r="Y76" s="19">
        <f>SUMIFS([1]raw_data!U:U,[1]raw_data!$A:$A,$B76)</f>
        <v>700.52639899999997</v>
      </c>
      <c r="Z76" s="20">
        <f>SUMIFS([1]raw_data!V:V,[1]raw_data!$A:$A,$B76)</f>
        <v>1.7842046718576099</v>
      </c>
      <c r="AA76" s="17">
        <f t="shared" si="1"/>
        <v>364.63130920000003</v>
      </c>
    </row>
    <row r="77" spans="1:27" x14ac:dyDescent="0.25">
      <c r="A77" s="38"/>
      <c r="B77" s="17" t="s">
        <v>352</v>
      </c>
      <c r="C77" s="17" t="s">
        <v>353</v>
      </c>
      <c r="D77" s="17" t="s">
        <v>354</v>
      </c>
      <c r="E77" s="17" t="s">
        <v>27</v>
      </c>
      <c r="F77" s="18">
        <f>IFERROR(INDEX([1]raw_data!B:B,MATCH(B77,[1]raw_data!A:A,0)),0)</f>
        <v>2590.6</v>
      </c>
      <c r="G77" s="19">
        <f>SUMIFS([1]raw_data!C:C,[1]raw_data!$A:$A,$B77)</f>
        <v>1263.712681</v>
      </c>
      <c r="H77" s="20">
        <f>SUMIFS([1]raw_data!D:D,[1]raw_data!$A:$A,$B77)</f>
        <v>4.5738461538461497</v>
      </c>
      <c r="I77" s="19">
        <f>SUMIFS([1]raw_data!E:E,[1]raw_data!$A:$A,$B77)</f>
        <v>134.59377499999999</v>
      </c>
      <c r="J77" s="20">
        <f>SUMIFS([1]raw_data!F:F,[1]raw_data!$A:$A,$B77)</f>
        <v>1.7234615384615299</v>
      </c>
      <c r="K77" s="19">
        <f>SUMIFS([1]raw_data!G:G,[1]raw_data!$A:$A,$B77)</f>
        <v>109.77131900000001</v>
      </c>
      <c r="L77" s="20">
        <f>SUMIFS([1]raw_data!H:H,[1]raw_data!$A:$A,$B77)</f>
        <v>0.45275742383339701</v>
      </c>
      <c r="M77" s="19">
        <f>SUMIFS([1]raw_data!I:I,[1]raw_data!$A:$A,$B77)</f>
        <v>28.331063</v>
      </c>
      <c r="N77" s="20">
        <f>SUMIFS([1]raw_data!J:J,[1]raw_data!$A:$A,$B77)</f>
        <v>0.29926725800231302</v>
      </c>
      <c r="O77" s="19">
        <f>SUMIFS([1]raw_data!K:K,[1]raw_data!$A:$A,$B77)</f>
        <v>238.393055</v>
      </c>
      <c r="P77" s="20">
        <f>SUMIFS([1]raw_data!L:L,[1]raw_data!$A:$A,$B77)</f>
        <v>1.65084876543209</v>
      </c>
      <c r="Q77" s="19">
        <f>SUMIFS([1]raw_data!M:M,[1]raw_data!$A:$A,$B77)</f>
        <v>74.873849000000007</v>
      </c>
      <c r="R77" s="20">
        <f>SUMIFS([1]raw_data!N:N,[1]raw_data!$A:$A,$B77)</f>
        <v>0.57214506172839497</v>
      </c>
      <c r="S77" s="19">
        <f>SUMIFS([1]raw_data!O:O,[1]raw_data!$A:$A,$B77)</f>
        <v>72.689003999999997</v>
      </c>
      <c r="T77" s="20">
        <f>SUMIFS([1]raw_data!P:P,[1]raw_data!$A:$A,$B77)</f>
        <v>1.3275462962962901</v>
      </c>
      <c r="U77" s="19">
        <f>SUMIFS([1]raw_data!Q:Q,[1]raw_data!$A:$A,$B77)</f>
        <v>68.663683000000006</v>
      </c>
      <c r="V77" s="20">
        <f>SUMIFS([1]raw_data!R:R,[1]raw_data!$A:$A,$B77)</f>
        <v>1.3152006172839501</v>
      </c>
      <c r="W77" s="19">
        <f>SUMIFS([1]raw_data!S:S,[1]raw_data!$A:$A,$B77)</f>
        <v>130.015165</v>
      </c>
      <c r="X77" s="20">
        <f>SUMIFS([1]raw_data!T:T,[1]raw_data!$A:$A,$B77)</f>
        <v>0.3652950310559</v>
      </c>
      <c r="Y77" s="19">
        <f>SUMIFS([1]raw_data!U:U,[1]raw_data!$A:$A,$B77)</f>
        <v>77.551591000000002</v>
      </c>
      <c r="Z77" s="20">
        <f>SUMIFS([1]raw_data!V:V,[1]raw_data!$A:$A,$B77)</f>
        <v>0.256987577639751</v>
      </c>
      <c r="AA77" s="17">
        <f t="shared" si="1"/>
        <v>362.91624480000002</v>
      </c>
    </row>
    <row r="78" spans="1:27" x14ac:dyDescent="0.25">
      <c r="A78" s="38"/>
      <c r="B78" s="17" t="s">
        <v>261</v>
      </c>
      <c r="C78" s="17" t="s">
        <v>262</v>
      </c>
      <c r="D78" s="17" t="s">
        <v>263</v>
      </c>
      <c r="E78" s="17" t="s">
        <v>19</v>
      </c>
      <c r="F78" s="18">
        <f>IFERROR(INDEX([1]raw_data!B:B,MATCH(B78,[1]raw_data!A:A,0)),0)</f>
        <v>3779.8</v>
      </c>
      <c r="G78" s="19">
        <f>SUMIFS([1]raw_data!C:C,[1]raw_data!$A:$A,$B78)</f>
        <v>370.28032300000001</v>
      </c>
      <c r="H78" s="20">
        <f>SUMIFS([1]raw_data!D:D,[1]raw_data!$A:$A,$B78)</f>
        <v>1.4333753678015899</v>
      </c>
      <c r="I78" s="19">
        <f>SUMIFS([1]raw_data!E:E,[1]raw_data!$A:$A,$B78)</f>
        <v>348.78426899999999</v>
      </c>
      <c r="J78" s="20">
        <f>SUMIFS([1]raw_data!F:F,[1]raw_data!$A:$A,$B78)</f>
        <v>1.41067675493905</v>
      </c>
      <c r="K78" s="19">
        <f>SUMIFS([1]raw_data!G:G,[1]raw_data!$A:$A,$B78)</f>
        <v>650.24718399999995</v>
      </c>
      <c r="L78" s="20">
        <f>SUMIFS([1]raw_data!H:H,[1]raw_data!$A:$A,$B78)</f>
        <v>1.1331600231080301</v>
      </c>
      <c r="M78" s="19">
        <f>SUMIFS([1]raw_data!I:I,[1]raw_data!$A:$A,$B78)</f>
        <v>13.920087000000001</v>
      </c>
      <c r="N78" s="20">
        <f>SUMIFS([1]raw_data!J:J,[1]raw_data!$A:$A,$B78)</f>
        <v>0.11467359907567801</v>
      </c>
      <c r="O78" s="19">
        <f>SUMIFS([1]raw_data!K:K,[1]raw_data!$A:$A,$B78)</f>
        <v>15.90657</v>
      </c>
      <c r="P78" s="20">
        <f>SUMIFS([1]raw_data!L:L,[1]raw_data!$A:$A,$B78)</f>
        <v>9.6755504055619904E-2</v>
      </c>
      <c r="Q78" s="19">
        <f>SUMIFS([1]raw_data!M:M,[1]raw_data!$A:$A,$B78)</f>
        <v>10.523966</v>
      </c>
      <c r="R78" s="20">
        <f>SUMIFS([1]raw_data!N:N,[1]raw_data!$A:$A,$B78)</f>
        <v>8.9803012746234007E-2</v>
      </c>
      <c r="S78" s="19">
        <f>SUMIFS([1]raw_data!O:O,[1]raw_data!$A:$A,$B78)</f>
        <v>20.084382999999999</v>
      </c>
      <c r="T78" s="20">
        <f>SUMIFS([1]raw_data!P:P,[1]raw_data!$A:$A,$B78)</f>
        <v>8.74133691035099E-2</v>
      </c>
      <c r="U78" s="19">
        <f>SUMIFS([1]raw_data!Q:Q,[1]raw_data!$A:$A,$B78)</f>
        <v>7.9308139999999998</v>
      </c>
      <c r="V78" s="20">
        <f>SUMIFS([1]raw_data!R:R,[1]raw_data!$A:$A,$B78)</f>
        <v>6.1927118265146401E-2</v>
      </c>
      <c r="W78" s="19">
        <f>SUMIFS([1]raw_data!S:S,[1]raw_data!$A:$A,$B78)</f>
        <v>713.29551100000003</v>
      </c>
      <c r="X78" s="20">
        <f>SUMIFS([1]raw_data!T:T,[1]raw_data!$A:$A,$B78)</f>
        <v>2.1554646405610698</v>
      </c>
      <c r="Y78" s="19">
        <f>SUMIFS([1]raw_data!U:U,[1]raw_data!$A:$A,$B78)</f>
        <v>160.54547600000001</v>
      </c>
      <c r="Z78" s="20">
        <f>SUMIFS([1]raw_data!V:V,[1]raw_data!$A:$A,$B78)</f>
        <v>1.0695499707773199</v>
      </c>
      <c r="AA78" s="17">
        <f t="shared" si="1"/>
        <v>353.96279420000002</v>
      </c>
    </row>
    <row r="79" spans="1:27" x14ac:dyDescent="0.25">
      <c r="A79" s="38"/>
      <c r="B79" s="17" t="s">
        <v>365</v>
      </c>
      <c r="C79" s="17" t="s">
        <v>366</v>
      </c>
      <c r="D79" s="17" t="s">
        <v>367</v>
      </c>
      <c r="E79" s="17" t="s">
        <v>19</v>
      </c>
      <c r="F79" s="18">
        <f>IFERROR(INDEX([1]raw_data!B:B,MATCH(B79,[1]raw_data!A:A,0)),0)</f>
        <v>707.22222199999999</v>
      </c>
      <c r="G79" s="19">
        <f>SUMIFS([1]raw_data!C:C,[1]raw_data!$A:$A,$B79)</f>
        <v>91.442949999999996</v>
      </c>
      <c r="H79" s="20">
        <f>SUMIFS([1]raw_data!D:D,[1]raw_data!$A:$A,$B79)</f>
        <v>0.58625525946704005</v>
      </c>
      <c r="I79" s="19">
        <f>SUMIFS([1]raw_data!E:E,[1]raw_data!$A:$A,$B79)</f>
        <v>91.442949999999996</v>
      </c>
      <c r="J79" s="20">
        <f>SUMIFS([1]raw_data!F:F,[1]raw_data!$A:$A,$B79)</f>
        <v>0.58625525946704005</v>
      </c>
      <c r="K79" s="19">
        <f>SUMIFS([1]raw_data!G:G,[1]raw_data!$A:$A,$B79)</f>
        <v>31.754055999999999</v>
      </c>
      <c r="L79" s="20">
        <f>SUMIFS([1]raw_data!H:H,[1]raw_data!$A:$A,$B79)</f>
        <v>0.18117977528089799</v>
      </c>
      <c r="M79" s="19">
        <f>SUMIFS([1]raw_data!I:I,[1]raw_data!$A:$A,$B79)</f>
        <v>27.348182000000001</v>
      </c>
      <c r="N79" s="20">
        <f>SUMIFS([1]raw_data!J:J,[1]raw_data!$A:$A,$B79)</f>
        <v>0.17837078651685301</v>
      </c>
      <c r="O79" s="19">
        <f>SUMIFS([1]raw_data!K:K,[1]raw_data!$A:$A,$B79)</f>
        <v>1179.4082739999999</v>
      </c>
      <c r="P79" s="20">
        <f>SUMIFS([1]raw_data!L:L,[1]raw_data!$A:$A,$B79)</f>
        <v>0.69790209790209701</v>
      </c>
      <c r="Q79" s="19">
        <f>SUMIFS([1]raw_data!M:M,[1]raw_data!$A:$A,$B79)</f>
        <v>25.649417</v>
      </c>
      <c r="R79" s="20">
        <f>SUMIFS([1]raw_data!N:N,[1]raw_data!$A:$A,$B79)</f>
        <v>0.16643356643356599</v>
      </c>
      <c r="S79" s="19">
        <f>SUMIFS([1]raw_data!O:O,[1]raw_data!$A:$A,$B79)</f>
        <v>35.006962999999999</v>
      </c>
      <c r="T79" s="20">
        <f>SUMIFS([1]raw_data!P:P,[1]raw_data!$A:$A,$B79)</f>
        <v>0.15580736543909299</v>
      </c>
      <c r="U79" s="19">
        <f>SUMIFS([1]raw_data!Q:Q,[1]raw_data!$A:$A,$B79)</f>
        <v>34.074337999999997</v>
      </c>
      <c r="V79" s="20">
        <f>SUMIFS([1]raw_data!R:R,[1]raw_data!$A:$A,$B79)</f>
        <v>0.154390934844192</v>
      </c>
      <c r="W79" s="19">
        <f>SUMIFS([1]raw_data!S:S,[1]raw_data!$A:$A,$B79)</f>
        <v>419.00187499999998</v>
      </c>
      <c r="X79" s="20">
        <f>SUMIFS([1]raw_data!T:T,[1]raw_data!$A:$A,$B79)</f>
        <v>2.3650793650793598</v>
      </c>
      <c r="Y79" s="19">
        <f>SUMIFS([1]raw_data!U:U,[1]raw_data!$A:$A,$B79)</f>
        <v>184.57166900000001</v>
      </c>
      <c r="Z79" s="20">
        <f>SUMIFS([1]raw_data!V:V,[1]raw_data!$A:$A,$B79)</f>
        <v>2.1933621933621898</v>
      </c>
      <c r="AA79" s="17">
        <f t="shared" si="1"/>
        <v>351.32282359999994</v>
      </c>
    </row>
    <row r="80" spans="1:27" ht="14.45" customHeight="1" x14ac:dyDescent="0.25">
      <c r="A80" s="38"/>
      <c r="B80" s="17" t="s">
        <v>164</v>
      </c>
      <c r="C80" s="17" t="s">
        <v>165</v>
      </c>
      <c r="D80" s="17" t="s">
        <v>166</v>
      </c>
      <c r="E80" s="17" t="s">
        <v>19</v>
      </c>
      <c r="F80" s="18">
        <f>IFERROR(INDEX([1]raw_data!B:B,MATCH(B80,[1]raw_data!A:A,0)),0)</f>
        <v>3867.4</v>
      </c>
      <c r="G80" s="19">
        <f>SUMIFS([1]raw_data!C:C,[1]raw_data!$A:$A,$B80)</f>
        <v>315.97688299999999</v>
      </c>
      <c r="H80" s="20">
        <f>SUMIFS([1]raw_data!D:D,[1]raw_data!$A:$A,$B80)</f>
        <v>2.3029077117572601</v>
      </c>
      <c r="I80" s="19">
        <f>SUMIFS([1]raw_data!E:E,[1]raw_data!$A:$A,$B80)</f>
        <v>310.39578599999999</v>
      </c>
      <c r="J80" s="20">
        <f>SUMIFS([1]raw_data!F:F,[1]raw_data!$A:$A,$B80)</f>
        <v>2.2932996207332401</v>
      </c>
      <c r="K80" s="19">
        <f>SUMIFS([1]raw_data!G:G,[1]raw_data!$A:$A,$B80)</f>
        <v>380.504841</v>
      </c>
      <c r="L80" s="20">
        <f>SUMIFS([1]raw_data!H:H,[1]raw_data!$A:$A,$B80)</f>
        <v>2.2100989596548999</v>
      </c>
      <c r="M80" s="19">
        <f>SUMIFS([1]raw_data!I:I,[1]raw_data!$A:$A,$B80)</f>
        <v>146.81164699999999</v>
      </c>
      <c r="N80" s="20">
        <f>SUMIFS([1]raw_data!J:J,[1]raw_data!$A:$A,$B80)</f>
        <v>1.5341283938086701</v>
      </c>
      <c r="O80" s="19">
        <f>SUMIFS([1]raw_data!K:K,[1]raw_data!$A:$A,$B80)</f>
        <v>80.193820000000002</v>
      </c>
      <c r="P80" s="20">
        <f>SUMIFS([1]raw_data!L:L,[1]raw_data!$A:$A,$B80)</f>
        <v>0.31592554291623498</v>
      </c>
      <c r="Q80" s="19">
        <f>SUMIFS([1]raw_data!M:M,[1]raw_data!$A:$A,$B80)</f>
        <v>25.173943999999999</v>
      </c>
      <c r="R80" s="20">
        <f>SUMIFS([1]raw_data!N:N,[1]raw_data!$A:$A,$B80)</f>
        <v>0.21509824198552199</v>
      </c>
      <c r="S80" s="19">
        <f>SUMIFS([1]raw_data!O:O,[1]raw_data!$A:$A,$B80)</f>
        <v>721.07453899999996</v>
      </c>
      <c r="T80" s="20">
        <f>SUMIFS([1]raw_data!P:P,[1]raw_data!$A:$A,$B80)</f>
        <v>1.76522875816993</v>
      </c>
      <c r="U80" s="19">
        <f>SUMIFS([1]raw_data!Q:Q,[1]raw_data!$A:$A,$B80)</f>
        <v>166.65028699999999</v>
      </c>
      <c r="V80" s="20">
        <f>SUMIFS([1]raw_data!R:R,[1]raw_data!$A:$A,$B80)</f>
        <v>0.76575163398692803</v>
      </c>
      <c r="W80" s="19">
        <f>SUMIFS([1]raw_data!S:S,[1]raw_data!$A:$A,$B80)</f>
        <v>222.26678100000001</v>
      </c>
      <c r="X80" s="20">
        <f>SUMIFS([1]raw_data!T:T,[1]raw_data!$A:$A,$B80)</f>
        <v>3.20597652081109</v>
      </c>
      <c r="Y80" s="19">
        <f>SUMIFS([1]raw_data!U:U,[1]raw_data!$A:$A,$B80)</f>
        <v>182.563838</v>
      </c>
      <c r="Z80" s="20">
        <f>SUMIFS([1]raw_data!V:V,[1]raw_data!$A:$A,$B80)</f>
        <v>3.18489861259338</v>
      </c>
      <c r="AA80" s="17">
        <f t="shared" si="1"/>
        <v>344.00337279999997</v>
      </c>
    </row>
    <row r="81" spans="1:27" x14ac:dyDescent="0.25">
      <c r="A81" s="38"/>
      <c r="B81" s="17" t="s">
        <v>167</v>
      </c>
      <c r="C81" s="17" t="s">
        <v>168</v>
      </c>
      <c r="D81" s="17" t="s">
        <v>169</v>
      </c>
      <c r="E81" s="17" t="s">
        <v>27</v>
      </c>
      <c r="F81" s="18">
        <f>IFERROR(INDEX([1]raw_data!B:B,MATCH(B81,[1]raw_data!A:A,0)),0)</f>
        <v>1705.2</v>
      </c>
      <c r="G81" s="19">
        <f>SUMIFS([1]raw_data!C:C,[1]raw_data!$A:$A,$B81)</f>
        <v>754.06666600000005</v>
      </c>
      <c r="H81" s="20">
        <f>SUMIFS([1]raw_data!D:D,[1]raw_data!$A:$A,$B81)</f>
        <v>1.49999999999999</v>
      </c>
      <c r="I81" s="19">
        <f>SUMIFS([1]raw_data!E:E,[1]raw_data!$A:$A,$B81)</f>
        <v>91.480414999999994</v>
      </c>
      <c r="J81" s="20">
        <f>SUMIFS([1]raw_data!F:F,[1]raw_data!$A:$A,$B81)</f>
        <v>0.87669683257918496</v>
      </c>
      <c r="K81" s="19">
        <f>SUMIFS([1]raw_data!G:G,[1]raw_data!$A:$A,$B81)</f>
        <v>328.86059699999998</v>
      </c>
      <c r="L81" s="20">
        <f>SUMIFS([1]raw_data!H:H,[1]raw_data!$A:$A,$B81)</f>
        <v>1.9884326200115601</v>
      </c>
      <c r="M81" s="19">
        <f>SUMIFS([1]raw_data!I:I,[1]raw_data!$A:$A,$B81)</f>
        <v>325.749483</v>
      </c>
      <c r="N81" s="20">
        <f>SUMIFS([1]raw_data!J:J,[1]raw_data!$A:$A,$B81)</f>
        <v>1.97744360902255</v>
      </c>
      <c r="O81" s="19">
        <f>SUMIFS([1]raw_data!K:K,[1]raw_data!$A:$A,$B81)</f>
        <v>164.36517799999999</v>
      </c>
      <c r="P81" s="20">
        <f>SUMIFS([1]raw_data!L:L,[1]raw_data!$A:$A,$B81)</f>
        <v>0.54052478134110704</v>
      </c>
      <c r="Q81" s="19">
        <f>SUMIFS([1]raw_data!M:M,[1]raw_data!$A:$A,$B81)</f>
        <v>82.908861999999999</v>
      </c>
      <c r="R81" s="20">
        <f>SUMIFS([1]raw_data!N:N,[1]raw_data!$A:$A,$B81)</f>
        <v>0.44373177842565498</v>
      </c>
      <c r="S81" s="19">
        <f>SUMIFS([1]raw_data!O:O,[1]raw_data!$A:$A,$B81)</f>
        <v>141.215318</v>
      </c>
      <c r="T81" s="20">
        <f>SUMIFS([1]raw_data!P:P,[1]raw_data!$A:$A,$B81)</f>
        <v>0.95100354191263203</v>
      </c>
      <c r="U81" s="19">
        <f>SUMIFS([1]raw_data!Q:Q,[1]raw_data!$A:$A,$B81)</f>
        <v>122.925905</v>
      </c>
      <c r="V81" s="20">
        <f>SUMIFS([1]raw_data!R:R,[1]raw_data!$A:$A,$B81)</f>
        <v>0.93506493506493504</v>
      </c>
      <c r="W81" s="19">
        <f>SUMIFS([1]raw_data!S:S,[1]raw_data!$A:$A,$B81)</f>
        <v>328.03065800000002</v>
      </c>
      <c r="X81" s="20">
        <f>SUMIFS([1]raw_data!T:T,[1]raw_data!$A:$A,$B81)</f>
        <v>1.7074074074073999</v>
      </c>
      <c r="Y81" s="19">
        <f>SUMIFS([1]raw_data!U:U,[1]raw_data!$A:$A,$B81)</f>
        <v>204.90518499999999</v>
      </c>
      <c r="Z81" s="20">
        <f>SUMIFS([1]raw_data!V:V,[1]raw_data!$A:$A,$B81)</f>
        <v>1.62654320987654</v>
      </c>
      <c r="AA81" s="17">
        <f t="shared" si="1"/>
        <v>343.30768340000003</v>
      </c>
    </row>
    <row r="82" spans="1:27" x14ac:dyDescent="0.25">
      <c r="A82" s="38"/>
      <c r="B82" s="17" t="s">
        <v>210</v>
      </c>
      <c r="C82" s="17" t="s">
        <v>211</v>
      </c>
      <c r="D82" s="17" t="s">
        <v>212</v>
      </c>
      <c r="E82" s="17" t="s">
        <v>76</v>
      </c>
      <c r="F82" s="18">
        <f>IFERROR(INDEX([1]raw_data!B:B,MATCH(B82,[1]raw_data!A:A,0)),0)</f>
        <v>1161.8</v>
      </c>
      <c r="G82" s="19">
        <f>SUMIFS([1]raw_data!C:C,[1]raw_data!$A:$A,$B82)</f>
        <v>380.86888599999997</v>
      </c>
      <c r="H82" s="20">
        <f>SUMIFS([1]raw_data!D:D,[1]raw_data!$A:$A,$B82)</f>
        <v>1.2502157031923999</v>
      </c>
      <c r="I82" s="19">
        <f>SUMIFS([1]raw_data!E:E,[1]raw_data!$A:$A,$B82)</f>
        <v>110.076172</v>
      </c>
      <c r="J82" s="20">
        <f>SUMIFS([1]raw_data!F:F,[1]raw_data!$A:$A,$B82)</f>
        <v>1.0638481449525401</v>
      </c>
      <c r="K82" s="19">
        <f>SUMIFS([1]raw_data!G:G,[1]raw_data!$A:$A,$B82)</f>
        <v>589.41371000000004</v>
      </c>
      <c r="L82" s="20">
        <f>SUMIFS([1]raw_data!H:H,[1]raw_data!$A:$A,$B82)</f>
        <v>1.6491831470335301</v>
      </c>
      <c r="M82" s="19">
        <f>SUMIFS([1]raw_data!I:I,[1]raw_data!$A:$A,$B82)</f>
        <v>420.31894799999998</v>
      </c>
      <c r="N82" s="20">
        <f>SUMIFS([1]raw_data!J:J,[1]raw_data!$A:$A,$B82)</f>
        <v>1.5399828030954399</v>
      </c>
      <c r="O82" s="19">
        <f>SUMIFS([1]raw_data!K:K,[1]raw_data!$A:$A,$B82)</f>
        <v>146.303676</v>
      </c>
      <c r="P82" s="20">
        <f>SUMIFS([1]raw_data!L:L,[1]raw_data!$A:$A,$B82)</f>
        <v>1.1656652360515001</v>
      </c>
      <c r="Q82" s="19">
        <f>SUMIFS([1]raw_data!M:M,[1]raw_data!$A:$A,$B82)</f>
        <v>98.468626</v>
      </c>
      <c r="R82" s="20">
        <f>SUMIFS([1]raw_data!N:N,[1]raw_data!$A:$A,$B82)</f>
        <v>1.131330472103</v>
      </c>
      <c r="S82" s="19">
        <f>SUMIFS([1]raw_data!O:O,[1]raw_data!$A:$A,$B82)</f>
        <v>528.94118600000002</v>
      </c>
      <c r="T82" s="20">
        <f>SUMIFS([1]raw_data!P:P,[1]raw_data!$A:$A,$B82)</f>
        <v>1.32618025751072</v>
      </c>
      <c r="U82" s="19">
        <f>SUMIFS([1]raw_data!Q:Q,[1]raw_data!$A:$A,$B82)</f>
        <v>34.231586999999998</v>
      </c>
      <c r="V82" s="20">
        <f>SUMIFS([1]raw_data!R:R,[1]raw_data!$A:$A,$B82)</f>
        <v>0.26609442060085797</v>
      </c>
      <c r="W82" s="19">
        <f>SUMIFS([1]raw_data!S:S,[1]raw_data!$A:$A,$B82)</f>
        <v>53.471117</v>
      </c>
      <c r="X82" s="20">
        <f>SUMIFS([1]raw_data!T:T,[1]raw_data!$A:$A,$B82)</f>
        <v>0.22558340535868601</v>
      </c>
      <c r="Y82" s="19">
        <f>SUMIFS([1]raw_data!U:U,[1]raw_data!$A:$A,$B82)</f>
        <v>10.05847</v>
      </c>
      <c r="Z82" s="20">
        <f>SUMIFS([1]raw_data!V:V,[1]raw_data!$A:$A,$B82)</f>
        <v>0.122731201382886</v>
      </c>
      <c r="AA82" s="17">
        <f t="shared" si="1"/>
        <v>339.79971499999999</v>
      </c>
    </row>
    <row r="83" spans="1:27" x14ac:dyDescent="0.25">
      <c r="A83" s="38"/>
      <c r="B83" s="17" t="s">
        <v>341</v>
      </c>
      <c r="C83" s="17" t="s">
        <v>139</v>
      </c>
      <c r="D83" s="17" t="s">
        <v>342</v>
      </c>
      <c r="E83" s="17" t="s">
        <v>19</v>
      </c>
      <c r="F83" s="18">
        <f>IFERROR(INDEX([1]raw_data!B:B,MATCH(B83,[1]raw_data!A:A,0)),0)</f>
        <v>1659.4</v>
      </c>
      <c r="G83" s="19">
        <f>SUMIFS([1]raw_data!C:C,[1]raw_data!$A:$A,$B83)</f>
        <v>315.4726</v>
      </c>
      <c r="H83" s="20">
        <f>SUMIFS([1]raw_data!D:D,[1]raw_data!$A:$A,$B83)</f>
        <v>0.82879146919431201</v>
      </c>
      <c r="I83" s="19">
        <f>SUMIFS([1]raw_data!E:E,[1]raw_data!$A:$A,$B83)</f>
        <v>57.907304000000003</v>
      </c>
      <c r="J83" s="20">
        <f>SUMIFS([1]raw_data!F:F,[1]raw_data!$A:$A,$B83)</f>
        <v>0.244075829383886</v>
      </c>
      <c r="K83" s="19">
        <f>SUMIFS([1]raw_data!G:G,[1]raw_data!$A:$A,$B83)</f>
        <v>749.00050199999998</v>
      </c>
      <c r="L83" s="20">
        <f>SUMIFS([1]raw_data!H:H,[1]raw_data!$A:$A,$B83)</f>
        <v>2.3219137625516799</v>
      </c>
      <c r="M83" s="19">
        <f>SUMIFS([1]raw_data!I:I,[1]raw_data!$A:$A,$B83)</f>
        <v>19.836219</v>
      </c>
      <c r="N83" s="20">
        <f>SUMIFS([1]raw_data!J:J,[1]raw_data!$A:$A,$B83)</f>
        <v>0.91376255168340204</v>
      </c>
      <c r="O83" s="19">
        <f>SUMIFS([1]raw_data!K:K,[1]raw_data!$A:$A,$B83)</f>
        <v>127.02940700000001</v>
      </c>
      <c r="P83" s="20">
        <f>SUMIFS([1]raw_data!L:L,[1]raw_data!$A:$A,$B83)</f>
        <v>0.92069171138938499</v>
      </c>
      <c r="Q83" s="19">
        <f>SUMIFS([1]raw_data!M:M,[1]raw_data!$A:$A,$B83)</f>
        <v>75.182338999999999</v>
      </c>
      <c r="R83" s="20">
        <f>SUMIFS([1]raw_data!N:N,[1]raw_data!$A:$A,$B83)</f>
        <v>0.90339892665473998</v>
      </c>
      <c r="S83" s="19">
        <f>SUMIFS([1]raw_data!O:O,[1]raw_data!$A:$A,$B83)</f>
        <v>164.81482600000001</v>
      </c>
      <c r="T83" s="20">
        <f>SUMIFS([1]raw_data!P:P,[1]raw_data!$A:$A,$B83)</f>
        <v>1.2675709001233</v>
      </c>
      <c r="U83" s="19">
        <f>SUMIFS([1]raw_data!Q:Q,[1]raw_data!$A:$A,$B83)</f>
        <v>163.38915900000001</v>
      </c>
      <c r="V83" s="20">
        <f>SUMIFS([1]raw_data!R:R,[1]raw_data!$A:$A,$B83)</f>
        <v>1.26510480887792</v>
      </c>
      <c r="W83" s="19">
        <f>SUMIFS([1]raw_data!S:S,[1]raw_data!$A:$A,$B83)</f>
        <v>329.49783500000001</v>
      </c>
      <c r="X83" s="20">
        <f>SUMIFS([1]raw_data!T:T,[1]raw_data!$A:$A,$B83)</f>
        <v>1.23747680890538</v>
      </c>
      <c r="Y83" s="19">
        <f>SUMIFS([1]raw_data!U:U,[1]raw_data!$A:$A,$B83)</f>
        <v>100.18205500000001</v>
      </c>
      <c r="Z83" s="20">
        <f>SUMIFS([1]raw_data!V:V,[1]raw_data!$A:$A,$B83)</f>
        <v>0.83858998144712404</v>
      </c>
      <c r="AA83" s="17">
        <f t="shared" si="1"/>
        <v>337.16303399999998</v>
      </c>
    </row>
    <row r="84" spans="1:27" x14ac:dyDescent="0.25">
      <c r="A84" s="38"/>
      <c r="B84" s="17" t="s">
        <v>222</v>
      </c>
      <c r="C84" s="17" t="s">
        <v>223</v>
      </c>
      <c r="D84" s="17" t="s">
        <v>224</v>
      </c>
      <c r="E84" s="17" t="s">
        <v>19</v>
      </c>
      <c r="F84" s="18">
        <f>IFERROR(INDEX([1]raw_data!B:B,MATCH(B84,[1]raw_data!A:A,0)),0)</f>
        <v>1657.777777</v>
      </c>
      <c r="G84" s="19">
        <f>SUMIFS([1]raw_data!C:C,[1]raw_data!$A:$A,$B84)</f>
        <v>147.39676299999999</v>
      </c>
      <c r="H84" s="20">
        <f>SUMIFS([1]raw_data!D:D,[1]raw_data!$A:$A,$B84)</f>
        <v>1.1704957678355501</v>
      </c>
      <c r="I84" s="19">
        <f>SUMIFS([1]raw_data!E:E,[1]raw_data!$A:$A,$B84)</f>
        <v>147.39676299999999</v>
      </c>
      <c r="J84" s="20">
        <f>SUMIFS([1]raw_data!F:F,[1]raw_data!$A:$A,$B84)</f>
        <v>1.1704957678355501</v>
      </c>
      <c r="K84" s="19">
        <f>SUMIFS([1]raw_data!G:G,[1]raw_data!$A:$A,$B84)</f>
        <v>35.103574000000002</v>
      </c>
      <c r="L84" s="20">
        <f>SUMIFS([1]raw_data!H:H,[1]raw_data!$A:$A,$B84)</f>
        <v>0.16837041491280799</v>
      </c>
      <c r="M84" s="19">
        <f>SUMIFS([1]raw_data!I:I,[1]raw_data!$A:$A,$B84)</f>
        <v>15.562376</v>
      </c>
      <c r="N84" s="20">
        <f>SUMIFS([1]raw_data!J:J,[1]raw_data!$A:$A,$B84)</f>
        <v>0.123872519542994</v>
      </c>
      <c r="O84" s="19">
        <f>SUMIFS([1]raw_data!K:K,[1]raw_data!$A:$A,$B84)</f>
        <v>61.923715000000001</v>
      </c>
      <c r="P84" s="20">
        <f>SUMIFS([1]raw_data!L:L,[1]raw_data!$A:$A,$B84)</f>
        <v>0.33694344163658202</v>
      </c>
      <c r="Q84" s="19">
        <f>SUMIFS([1]raw_data!M:M,[1]raw_data!$A:$A,$B84)</f>
        <v>41.445977999999997</v>
      </c>
      <c r="R84" s="20">
        <f>SUMIFS([1]raw_data!N:N,[1]raw_data!$A:$A,$B84)</f>
        <v>0.28880866425992702</v>
      </c>
      <c r="S84" s="19">
        <f>SUMIFS([1]raw_data!O:O,[1]raw_data!$A:$A,$B84)</f>
        <v>229.108011</v>
      </c>
      <c r="T84" s="20">
        <f>SUMIFS([1]raw_data!P:P,[1]raw_data!$A:$A,$B84)</f>
        <v>1.5156626506024</v>
      </c>
      <c r="U84" s="19">
        <f>SUMIFS([1]raw_data!Q:Q,[1]raw_data!$A:$A,$B84)</f>
        <v>214.35209800000001</v>
      </c>
      <c r="V84" s="20">
        <f>SUMIFS([1]raw_data!R:R,[1]raw_data!$A:$A,$B84)</f>
        <v>1.49096385542168</v>
      </c>
      <c r="W84" s="19">
        <f>SUMIFS([1]raw_data!S:S,[1]raw_data!$A:$A,$B84)</f>
        <v>1147.6883780000001</v>
      </c>
      <c r="X84" s="20">
        <f>SUMIFS([1]raw_data!T:T,[1]raw_data!$A:$A,$B84)</f>
        <v>2.5200242718446599</v>
      </c>
      <c r="Y84" s="19">
        <f>SUMIFS([1]raw_data!U:U,[1]raw_data!$A:$A,$B84)</f>
        <v>237.208383</v>
      </c>
      <c r="Z84" s="20">
        <f>SUMIFS([1]raw_data!V:V,[1]raw_data!$A:$A,$B84)</f>
        <v>1.2226941747572799</v>
      </c>
      <c r="AA84" s="17">
        <f t="shared" si="1"/>
        <v>324.24408819999996</v>
      </c>
    </row>
    <row r="85" spans="1:27" x14ac:dyDescent="0.25">
      <c r="A85" s="38"/>
      <c r="B85" s="17" t="s">
        <v>337</v>
      </c>
      <c r="C85" s="17" t="s">
        <v>220</v>
      </c>
      <c r="D85" s="17" t="s">
        <v>338</v>
      </c>
      <c r="E85" s="17" t="s">
        <v>27</v>
      </c>
      <c r="F85" s="18">
        <f>IFERROR(INDEX([1]raw_data!B:B,MATCH(B85,[1]raw_data!A:A,0)),0)</f>
        <v>383.85714200000001</v>
      </c>
      <c r="G85" s="19">
        <f>SUMIFS([1]raw_data!C:C,[1]raw_data!$A:$A,$B85)</f>
        <v>1085.6509920000001</v>
      </c>
      <c r="H85" s="20">
        <f>SUMIFS([1]raw_data!D:D,[1]raw_data!$A:$A,$B85)</f>
        <v>0.96410256410256401</v>
      </c>
      <c r="I85" s="19">
        <f>SUMIFS([1]raw_data!E:E,[1]raw_data!$A:$A,$B85)</f>
        <v>9.0368340000000007</v>
      </c>
      <c r="J85" s="20">
        <f>SUMIFS([1]raw_data!F:F,[1]raw_data!$A:$A,$B85)</f>
        <v>0.15641025641025599</v>
      </c>
      <c r="K85" s="19">
        <f>SUMIFS([1]raw_data!G:G,[1]raw_data!$A:$A,$B85)</f>
        <v>22.971827000000001</v>
      </c>
      <c r="L85" s="20">
        <f>SUMIFS([1]raw_data!H:H,[1]raw_data!$A:$A,$B85)</f>
        <v>0.2088772845953</v>
      </c>
      <c r="M85" s="19">
        <f>SUMIFS([1]raw_data!I:I,[1]raw_data!$A:$A,$B85)</f>
        <v>22.971827000000001</v>
      </c>
      <c r="N85" s="20">
        <f>SUMIFS([1]raw_data!J:J,[1]raw_data!$A:$A,$B85)</f>
        <v>0.2088772845953</v>
      </c>
      <c r="O85" s="19">
        <f>SUMIFS([1]raw_data!K:K,[1]raw_data!$A:$A,$B85)</f>
        <v>162.124392</v>
      </c>
      <c r="P85" s="20">
        <f>SUMIFS([1]raw_data!L:L,[1]raw_data!$A:$A,$B85)</f>
        <v>0.69270833333333304</v>
      </c>
      <c r="Q85" s="19">
        <f>SUMIFS([1]raw_data!M:M,[1]raw_data!$A:$A,$B85)</f>
        <v>162.124392</v>
      </c>
      <c r="R85" s="20">
        <f>SUMIFS([1]raw_data!N:N,[1]raw_data!$A:$A,$B85)</f>
        <v>0.69270833333333304</v>
      </c>
      <c r="S85" s="19">
        <f>SUMIFS([1]raw_data!O:O,[1]raw_data!$A:$A,$B85)</f>
        <v>35.544443999999999</v>
      </c>
      <c r="T85" s="20">
        <f>SUMIFS([1]raw_data!P:P,[1]raw_data!$A:$A,$B85)</f>
        <v>0.23177083333333301</v>
      </c>
      <c r="U85" s="19">
        <f>SUMIFS([1]raw_data!Q:Q,[1]raw_data!$A:$A,$B85)</f>
        <v>35.544443999999999</v>
      </c>
      <c r="V85" s="20">
        <f>SUMIFS([1]raw_data!R:R,[1]raw_data!$A:$A,$B85)</f>
        <v>0.23177083333333301</v>
      </c>
      <c r="W85" s="19">
        <f>SUMIFS([1]raw_data!S:S,[1]raw_data!$A:$A,$B85)</f>
        <v>270.36300699999998</v>
      </c>
      <c r="X85" s="20">
        <f>SUMIFS([1]raw_data!T:T,[1]raw_data!$A:$A,$B85)</f>
        <v>0.51587301587301504</v>
      </c>
      <c r="Y85" s="19">
        <f>SUMIFS([1]raw_data!U:U,[1]raw_data!$A:$A,$B85)</f>
        <v>194.94135800000001</v>
      </c>
      <c r="Z85" s="20">
        <f>SUMIFS([1]raw_data!V:V,[1]raw_data!$A:$A,$B85)</f>
        <v>0.43915343915343902</v>
      </c>
      <c r="AA85" s="17">
        <f t="shared" si="1"/>
        <v>315.33093239999999</v>
      </c>
    </row>
    <row r="86" spans="1:27" x14ac:dyDescent="0.25">
      <c r="A86" s="38"/>
      <c r="B86" s="17" t="s">
        <v>74</v>
      </c>
      <c r="C86" s="17" t="s">
        <v>17</v>
      </c>
      <c r="D86" s="17" t="s">
        <v>75</v>
      </c>
      <c r="E86" s="17" t="s">
        <v>19</v>
      </c>
      <c r="F86" s="18">
        <f>IFERROR(INDEX([1]raw_data!B:B,MATCH(B86,[1]raw_data!A:A,0)),0)</f>
        <v>111</v>
      </c>
      <c r="G86" s="19">
        <f>SUMIFS([1]raw_data!C:C,[1]raw_data!$A:$A,$B86)</f>
        <v>372.971092</v>
      </c>
      <c r="H86" s="20">
        <f>SUMIFS([1]raw_data!D:D,[1]raw_data!$A:$A,$B86)</f>
        <v>2.8692307692307599</v>
      </c>
      <c r="I86" s="19">
        <f>SUMIFS([1]raw_data!E:E,[1]raw_data!$A:$A,$B86)</f>
        <v>372.971092</v>
      </c>
      <c r="J86" s="20">
        <f>SUMIFS([1]raw_data!F:F,[1]raw_data!$A:$A,$B86)</f>
        <v>2.8692307692307599</v>
      </c>
      <c r="K86" s="19">
        <f>SUMIFS([1]raw_data!G:G,[1]raw_data!$A:$A,$B86)</f>
        <v>642.08119799999997</v>
      </c>
      <c r="L86" s="20">
        <f>SUMIFS([1]raw_data!H:H,[1]raw_data!$A:$A,$B86)</f>
        <v>2.8571428571428501</v>
      </c>
      <c r="M86" s="19">
        <f>SUMIFS([1]raw_data!I:I,[1]raw_data!$A:$A,$B86)</f>
        <v>642.08119799999997</v>
      </c>
      <c r="N86" s="20">
        <f>SUMIFS([1]raw_data!J:J,[1]raw_data!$A:$A,$B86)</f>
        <v>2.8571428571428501</v>
      </c>
      <c r="O86" s="19">
        <f>SUMIFS([1]raw_data!K:K,[1]raw_data!$A:$A,$B86)</f>
        <v>242.96370899999999</v>
      </c>
      <c r="P86" s="20">
        <f>SUMIFS([1]raw_data!L:L,[1]raw_data!$A:$A,$B86)</f>
        <v>1.0322580645161199</v>
      </c>
      <c r="Q86" s="19">
        <f>SUMIFS([1]raw_data!M:M,[1]raw_data!$A:$A,$B86)</f>
        <v>242.96370899999999</v>
      </c>
      <c r="R86" s="20">
        <f>SUMIFS([1]raw_data!N:N,[1]raw_data!$A:$A,$B86)</f>
        <v>1.0322580645161199</v>
      </c>
      <c r="S86" s="19">
        <f>SUMIFS([1]raw_data!O:O,[1]raw_data!$A:$A,$B86)</f>
        <v>265.76652799999999</v>
      </c>
      <c r="T86" s="20">
        <f>SUMIFS([1]raw_data!P:P,[1]raw_data!$A:$A,$B86)</f>
        <v>2.1735537190082601</v>
      </c>
      <c r="U86" s="19">
        <f>SUMIFS([1]raw_data!Q:Q,[1]raw_data!$A:$A,$B86)</f>
        <v>265.76652799999999</v>
      </c>
      <c r="V86" s="20">
        <f>SUMIFS([1]raw_data!R:R,[1]raw_data!$A:$A,$B86)</f>
        <v>2.1735537190082601</v>
      </c>
      <c r="W86" s="19">
        <f>SUMIFS([1]raw_data!S:S,[1]raw_data!$A:$A,$B86)</f>
        <v>30.495370000000001</v>
      </c>
      <c r="X86" s="20">
        <f>SUMIFS([1]raw_data!T:T,[1]raw_data!$A:$A,$B86)</f>
        <v>0.12962962962962901</v>
      </c>
      <c r="Y86" s="19">
        <f>SUMIFS([1]raw_data!U:U,[1]raw_data!$A:$A,$B86)</f>
        <v>30.495370000000001</v>
      </c>
      <c r="Z86" s="20">
        <f>SUMIFS([1]raw_data!V:V,[1]raw_data!$A:$A,$B86)</f>
        <v>0.12962962962962901</v>
      </c>
      <c r="AA86" s="17">
        <f t="shared" si="1"/>
        <v>310.85557940000001</v>
      </c>
    </row>
    <row r="87" spans="1:27" x14ac:dyDescent="0.25">
      <c r="A87" s="38"/>
      <c r="B87" s="17" t="s">
        <v>406</v>
      </c>
      <c r="C87" s="17" t="s">
        <v>106</v>
      </c>
      <c r="D87" s="17" t="s">
        <v>407</v>
      </c>
      <c r="E87" s="17" t="s">
        <v>19</v>
      </c>
      <c r="F87" s="18">
        <f>IFERROR(INDEX([1]raw_data!B:B,MATCH(B87,[1]raw_data!A:A,0)),0)</f>
        <v>488.14285699999999</v>
      </c>
      <c r="G87" s="19">
        <f>SUMIFS([1]raw_data!C:C,[1]raw_data!$A:$A,$B87)</f>
        <v>0.59336800000000001</v>
      </c>
      <c r="H87" s="20">
        <f>SUMIFS([1]raw_data!D:D,[1]raw_data!$A:$A,$B87)</f>
        <v>2.2988505747126402E-3</v>
      </c>
      <c r="I87" s="19">
        <f>SUMIFS([1]raw_data!E:E,[1]raw_data!$A:$A,$B87)</f>
        <v>0.59336800000000001</v>
      </c>
      <c r="J87" s="20">
        <f>SUMIFS([1]raw_data!F:F,[1]raw_data!$A:$A,$B87)</f>
        <v>2.2988505747126402E-3</v>
      </c>
      <c r="K87" s="19">
        <f>SUMIFS([1]raw_data!G:G,[1]raw_data!$A:$A,$B87)</f>
        <v>1290.819289</v>
      </c>
      <c r="L87" s="20">
        <f>SUMIFS([1]raw_data!H:H,[1]raw_data!$A:$A,$B87)</f>
        <v>0.999999999999999</v>
      </c>
      <c r="M87" s="19">
        <f>SUMIFS([1]raw_data!I:I,[1]raw_data!$A:$A,$B87)</f>
        <v>0.61386300000000005</v>
      </c>
      <c r="N87" s="20">
        <f>SUMIFS([1]raw_data!J:J,[1]raw_data!$A:$A,$B87)</f>
        <v>4.60829493087557E-3</v>
      </c>
      <c r="O87" s="19">
        <f>SUMIFS([1]raw_data!K:K,[1]raw_data!$A:$A,$B87)</f>
        <v>174.943701</v>
      </c>
      <c r="P87" s="20">
        <f>SUMIFS([1]raw_data!L:L,[1]raw_data!$A:$A,$B87)</f>
        <v>1.8386411889596599</v>
      </c>
      <c r="Q87" s="19">
        <f>SUMIFS([1]raw_data!M:M,[1]raw_data!$A:$A,$B87)</f>
        <v>174.943701</v>
      </c>
      <c r="R87" s="20">
        <f>SUMIFS([1]raw_data!N:N,[1]raw_data!$A:$A,$B87)</f>
        <v>1.8386411889596599</v>
      </c>
      <c r="S87" s="19">
        <f>SUMIFS([1]raw_data!O:O,[1]raw_data!$A:$A,$B87)</f>
        <v>52.983893000000002</v>
      </c>
      <c r="T87" s="20">
        <f>SUMIFS([1]raw_data!P:P,[1]raw_data!$A:$A,$B87)</f>
        <v>0.47899159663865498</v>
      </c>
      <c r="U87" s="19">
        <f>SUMIFS([1]raw_data!Q:Q,[1]raw_data!$A:$A,$B87)</f>
        <v>52.983893000000002</v>
      </c>
      <c r="V87" s="20">
        <f>SUMIFS([1]raw_data!R:R,[1]raw_data!$A:$A,$B87)</f>
        <v>0.47899159663865498</v>
      </c>
      <c r="W87" s="19">
        <f>SUMIFS([1]raw_data!S:S,[1]raw_data!$A:$A,$B87)</f>
        <v>8.5267160000000004</v>
      </c>
      <c r="X87" s="20">
        <f>SUMIFS([1]raw_data!T:T,[1]raw_data!$A:$A,$B87)</f>
        <v>2.4809160305343501E-2</v>
      </c>
      <c r="Y87" s="19">
        <f>SUMIFS([1]raw_data!U:U,[1]raw_data!$A:$A,$B87)</f>
        <v>3.4368629999999998</v>
      </c>
      <c r="Z87" s="20">
        <f>SUMIFS([1]raw_data!V:V,[1]raw_data!$A:$A,$B87)</f>
        <v>2.0992366412213699E-2</v>
      </c>
      <c r="AA87" s="17">
        <f t="shared" si="1"/>
        <v>305.57339340000004</v>
      </c>
    </row>
    <row r="88" spans="1:27" x14ac:dyDescent="0.25">
      <c r="A88" s="38"/>
      <c r="B88" s="17" t="s">
        <v>403</v>
      </c>
      <c r="C88" s="17" t="s">
        <v>404</v>
      </c>
      <c r="D88" s="17" t="s">
        <v>405</v>
      </c>
      <c r="E88" s="17" t="s">
        <v>65</v>
      </c>
      <c r="F88" s="18">
        <f>IFERROR(INDEX([1]raw_data!B:B,MATCH(B88,[1]raw_data!A:A,0)),0)</f>
        <v>1173.1111109999999</v>
      </c>
      <c r="G88" s="19">
        <f>SUMIFS([1]raw_data!C:C,[1]raw_data!$A:$A,$B88)</f>
        <v>37.731288999999997</v>
      </c>
      <c r="H88" s="20">
        <f>SUMIFS([1]raw_data!D:D,[1]raw_data!$A:$A,$B88)</f>
        <v>0.15893470790378</v>
      </c>
      <c r="I88" s="19">
        <f>SUMIFS([1]raw_data!E:E,[1]raw_data!$A:$A,$B88)</f>
        <v>12.554207999999999</v>
      </c>
      <c r="J88" s="20">
        <f>SUMIFS([1]raw_data!F:F,[1]raw_data!$A:$A,$B88)</f>
        <v>0.131443298969072</v>
      </c>
      <c r="K88" s="19">
        <f>SUMIFS([1]raw_data!G:G,[1]raw_data!$A:$A,$B88)</f>
        <v>180.49183099999999</v>
      </c>
      <c r="L88" s="20">
        <f>SUMIFS([1]raw_data!H:H,[1]raw_data!$A:$A,$B88)</f>
        <v>1.1828231292517</v>
      </c>
      <c r="M88" s="19">
        <f>SUMIFS([1]raw_data!I:I,[1]raw_data!$A:$A,$B88)</f>
        <v>162.13663099999999</v>
      </c>
      <c r="N88" s="20">
        <f>SUMIFS([1]raw_data!J:J,[1]raw_data!$A:$A,$B88)</f>
        <v>1.06377551020408</v>
      </c>
      <c r="O88" s="19">
        <f>SUMIFS([1]raw_data!K:K,[1]raw_data!$A:$A,$B88)</f>
        <v>18.454775999999999</v>
      </c>
      <c r="P88" s="20">
        <f>SUMIFS([1]raw_data!L:L,[1]raw_data!$A:$A,$B88)</f>
        <v>0.167517006802721</v>
      </c>
      <c r="Q88" s="19">
        <f>SUMIFS([1]raw_data!M:M,[1]raw_data!$A:$A,$B88)</f>
        <v>18.454775999999999</v>
      </c>
      <c r="R88" s="20">
        <f>SUMIFS([1]raw_data!N:N,[1]raw_data!$A:$A,$B88)</f>
        <v>0.167517006802721</v>
      </c>
      <c r="S88" s="19">
        <f>SUMIFS([1]raw_data!O:O,[1]raw_data!$A:$A,$B88)</f>
        <v>1219.3193679999999</v>
      </c>
      <c r="T88" s="20">
        <f>SUMIFS([1]raw_data!P:P,[1]raw_data!$A:$A,$B88)</f>
        <v>0.57300509337860706</v>
      </c>
      <c r="U88" s="19">
        <f>SUMIFS([1]raw_data!Q:Q,[1]raw_data!$A:$A,$B88)</f>
        <v>27.978847999999999</v>
      </c>
      <c r="V88" s="20">
        <f>SUMIFS([1]raw_data!R:R,[1]raw_data!$A:$A,$B88)</f>
        <v>0.194397283531409</v>
      </c>
      <c r="W88" s="19">
        <f>SUMIFS([1]raw_data!S:S,[1]raw_data!$A:$A,$B88)</f>
        <v>54.828643</v>
      </c>
      <c r="X88" s="20">
        <f>SUMIFS([1]raw_data!T:T,[1]raw_data!$A:$A,$B88)</f>
        <v>0.192668371696504</v>
      </c>
      <c r="Y88" s="19">
        <f>SUMIFS([1]raw_data!U:U,[1]raw_data!$A:$A,$B88)</f>
        <v>14.328118</v>
      </c>
      <c r="Z88" s="20">
        <f>SUMIFS([1]raw_data!V:V,[1]raw_data!$A:$A,$B88)</f>
        <v>0.15601023017902799</v>
      </c>
      <c r="AA88" s="17">
        <f t="shared" si="1"/>
        <v>302.16518139999999</v>
      </c>
    </row>
    <row r="89" spans="1:27" x14ac:dyDescent="0.25">
      <c r="A89" s="38"/>
      <c r="B89" s="17" t="s">
        <v>297</v>
      </c>
      <c r="C89" s="17" t="s">
        <v>17</v>
      </c>
      <c r="D89" s="17" t="s">
        <v>298</v>
      </c>
      <c r="E89" s="17" t="s">
        <v>19</v>
      </c>
      <c r="F89" s="18">
        <f>IFERROR(INDEX([1]raw_data!B:B,MATCH(B89,[1]raw_data!A:A,0)),0)</f>
        <v>2830.6</v>
      </c>
      <c r="G89" s="19">
        <f>SUMIFS([1]raw_data!C:C,[1]raw_data!$A:$A,$B89)</f>
        <v>244.18825899999999</v>
      </c>
      <c r="H89" s="20">
        <f>SUMIFS([1]raw_data!D:D,[1]raw_data!$A:$A,$B89)</f>
        <v>0.416635302973278</v>
      </c>
      <c r="I89" s="19">
        <f>SUMIFS([1]raw_data!E:E,[1]raw_data!$A:$A,$B89)</f>
        <v>12.419475</v>
      </c>
      <c r="J89" s="20">
        <f>SUMIFS([1]raw_data!F:F,[1]raw_data!$A:$A,$B89)</f>
        <v>0.13172751223184001</v>
      </c>
      <c r="K89" s="19">
        <f>SUMIFS([1]raw_data!G:G,[1]raw_data!$A:$A,$B89)</f>
        <v>415.58631500000001</v>
      </c>
      <c r="L89" s="20">
        <f>SUMIFS([1]raw_data!H:H,[1]raw_data!$A:$A,$B89)</f>
        <v>1.74999999999999</v>
      </c>
      <c r="M89" s="19">
        <f>SUMIFS([1]raw_data!I:I,[1]raw_data!$A:$A,$B89)</f>
        <v>131.66600500000001</v>
      </c>
      <c r="N89" s="20">
        <f>SUMIFS([1]raw_data!J:J,[1]raw_data!$A:$A,$B89)</f>
        <v>1.15443213296398</v>
      </c>
      <c r="O89" s="19">
        <f>SUMIFS([1]raw_data!K:K,[1]raw_data!$A:$A,$B89)</f>
        <v>34.848545000000001</v>
      </c>
      <c r="P89" s="20">
        <f>SUMIFS([1]raw_data!L:L,[1]raw_data!$A:$A,$B89)</f>
        <v>0.338199513381995</v>
      </c>
      <c r="Q89" s="19">
        <f>SUMIFS([1]raw_data!M:M,[1]raw_data!$A:$A,$B89)</f>
        <v>33.306776999999997</v>
      </c>
      <c r="R89" s="20">
        <f>SUMIFS([1]raw_data!N:N,[1]raw_data!$A:$A,$B89)</f>
        <v>0.33229058046576199</v>
      </c>
      <c r="S89" s="19">
        <f>SUMIFS([1]raw_data!O:O,[1]raw_data!$A:$A,$B89)</f>
        <v>258.09109699999999</v>
      </c>
      <c r="T89" s="20">
        <f>SUMIFS([1]raw_data!P:P,[1]raw_data!$A:$A,$B89)</f>
        <v>1.4968662952646199</v>
      </c>
      <c r="U89" s="19">
        <f>SUMIFS([1]raw_data!Q:Q,[1]raw_data!$A:$A,$B89)</f>
        <v>213.92916</v>
      </c>
      <c r="V89" s="20">
        <f>SUMIFS([1]raw_data!R:R,[1]raw_data!$A:$A,$B89)</f>
        <v>1.45612813370473</v>
      </c>
      <c r="W89" s="19">
        <f>SUMIFS([1]raw_data!S:S,[1]raw_data!$A:$A,$B89)</f>
        <v>519.13898099999994</v>
      </c>
      <c r="X89" s="20">
        <f>SUMIFS([1]raw_data!T:T,[1]raw_data!$A:$A,$B89)</f>
        <v>1.6239944036376299</v>
      </c>
      <c r="Y89" s="19">
        <f>SUMIFS([1]raw_data!U:U,[1]raw_data!$A:$A,$B89)</f>
        <v>90.067977999999997</v>
      </c>
      <c r="Z89" s="20">
        <f>SUMIFS([1]raw_data!V:V,[1]raw_data!$A:$A,$B89)</f>
        <v>0.52116124519062601</v>
      </c>
      <c r="AA89" s="17">
        <f t="shared" si="1"/>
        <v>294.37063939999996</v>
      </c>
    </row>
    <row r="90" spans="1:27" x14ac:dyDescent="0.25">
      <c r="A90" s="38"/>
      <c r="B90" s="17" t="s">
        <v>182</v>
      </c>
      <c r="C90" s="17" t="s">
        <v>95</v>
      </c>
      <c r="D90" s="17" t="s">
        <v>183</v>
      </c>
      <c r="E90" s="17" t="s">
        <v>19</v>
      </c>
      <c r="F90" s="18">
        <f>IFERROR(INDEX([1]raw_data!B:B,MATCH(B90,[1]raw_data!A:A,0)),0)</f>
        <v>1894.6</v>
      </c>
      <c r="G90" s="19">
        <f>SUMIFS([1]raw_data!C:C,[1]raw_data!$A:$A,$B90)</f>
        <v>312.85798</v>
      </c>
      <c r="H90" s="20">
        <f>SUMIFS([1]raw_data!D:D,[1]raw_data!$A:$A,$B90)</f>
        <v>1.4309878213802401</v>
      </c>
      <c r="I90" s="19">
        <f>SUMIFS([1]raw_data!E:E,[1]raw_data!$A:$A,$B90)</f>
        <v>258.42546399999998</v>
      </c>
      <c r="J90" s="20">
        <f>SUMIFS([1]raw_data!F:F,[1]raw_data!$A:$A,$B90)</f>
        <v>1.3829499323409999</v>
      </c>
      <c r="K90" s="19">
        <f>SUMIFS([1]raw_data!G:G,[1]raw_data!$A:$A,$B90)</f>
        <v>31.264613000000001</v>
      </c>
      <c r="L90" s="20">
        <f>SUMIFS([1]raw_data!H:H,[1]raw_data!$A:$A,$B90)</f>
        <v>0.1699604743083</v>
      </c>
      <c r="M90" s="19">
        <f>SUMIFS([1]raw_data!I:I,[1]raw_data!$A:$A,$B90)</f>
        <v>30.390872000000002</v>
      </c>
      <c r="N90" s="20">
        <f>SUMIFS([1]raw_data!J:J,[1]raw_data!$A:$A,$B90)</f>
        <v>0.169466403162055</v>
      </c>
      <c r="O90" s="19">
        <f>SUMIFS([1]raw_data!K:K,[1]raw_data!$A:$A,$B90)</f>
        <v>268.17847999999998</v>
      </c>
      <c r="P90" s="20">
        <f>SUMIFS([1]raw_data!L:L,[1]raw_data!$A:$A,$B90)</f>
        <v>0.60705414803775404</v>
      </c>
      <c r="Q90" s="19">
        <f>SUMIFS([1]raw_data!M:M,[1]raw_data!$A:$A,$B90)</f>
        <v>85.773032999999998</v>
      </c>
      <c r="R90" s="20">
        <f>SUMIFS([1]raw_data!N:N,[1]raw_data!$A:$A,$B90)</f>
        <v>0.53303527074018797</v>
      </c>
      <c r="S90" s="19">
        <f>SUMIFS([1]raw_data!O:O,[1]raw_data!$A:$A,$B90)</f>
        <v>379.93738200000001</v>
      </c>
      <c r="T90" s="20">
        <f>SUMIFS([1]raw_data!P:P,[1]raw_data!$A:$A,$B90)</f>
        <v>2.43373493975903</v>
      </c>
      <c r="U90" s="19">
        <f>SUMIFS([1]raw_data!Q:Q,[1]raw_data!$A:$A,$B90)</f>
        <v>379.85046</v>
      </c>
      <c r="V90" s="20">
        <f>SUMIFS([1]raw_data!R:R,[1]raw_data!$A:$A,$B90)</f>
        <v>2.4332329317268999</v>
      </c>
      <c r="W90" s="19">
        <f>SUMIFS([1]raw_data!S:S,[1]raw_data!$A:$A,$B90)</f>
        <v>479.01912399999998</v>
      </c>
      <c r="X90" s="20">
        <f>SUMIFS([1]raw_data!T:T,[1]raw_data!$A:$A,$B90)</f>
        <v>0.53001017293997899</v>
      </c>
      <c r="Y90" s="19">
        <f>SUMIFS([1]raw_data!U:U,[1]raw_data!$A:$A,$B90)</f>
        <v>15.286376000000001</v>
      </c>
      <c r="Z90" s="20">
        <f>SUMIFS([1]raw_data!V:V,[1]raw_data!$A:$A,$B90)</f>
        <v>0.15310274669379401</v>
      </c>
      <c r="AA90" s="17">
        <f t="shared" si="1"/>
        <v>294.25151579999999</v>
      </c>
    </row>
    <row r="91" spans="1:27" x14ac:dyDescent="0.25">
      <c r="A91" s="38"/>
      <c r="B91" s="17" t="s">
        <v>305</v>
      </c>
      <c r="C91" s="17" t="s">
        <v>306</v>
      </c>
      <c r="D91" s="17" t="s">
        <v>307</v>
      </c>
      <c r="E91" s="17" t="s">
        <v>27</v>
      </c>
      <c r="F91" s="18">
        <f>IFERROR(INDEX([1]raw_data!B:B,MATCH(B91,[1]raw_data!A:A,0)),0)</f>
        <v>1000.2</v>
      </c>
      <c r="G91" s="19">
        <f>SUMIFS([1]raw_data!C:C,[1]raw_data!$A:$A,$B91)</f>
        <v>404.10712799999999</v>
      </c>
      <c r="H91" s="20">
        <f>SUMIFS([1]raw_data!D:D,[1]raw_data!$A:$A,$B91)</f>
        <v>1.0792181069958799</v>
      </c>
      <c r="I91" s="19">
        <f>SUMIFS([1]raw_data!E:E,[1]raw_data!$A:$A,$B91)</f>
        <v>4.1866310000000002</v>
      </c>
      <c r="J91" s="20">
        <f>SUMIFS([1]raw_data!F:F,[1]raw_data!$A:$A,$B91)</f>
        <v>3.0864197530864099E-2</v>
      </c>
      <c r="K91" s="19">
        <f>SUMIFS([1]raw_data!G:G,[1]raw_data!$A:$A,$B91)</f>
        <v>41.175457999999999</v>
      </c>
      <c r="L91" s="20">
        <f>SUMIFS([1]raw_data!H:H,[1]raw_data!$A:$A,$B91)</f>
        <v>0.16497975708502</v>
      </c>
      <c r="M91" s="19">
        <f>SUMIFS([1]raw_data!I:I,[1]raw_data!$A:$A,$B91)</f>
        <v>12.102154000000001</v>
      </c>
      <c r="N91" s="20">
        <f>SUMIFS([1]raw_data!J:J,[1]raw_data!$A:$A,$B91)</f>
        <v>5.8704453441295497E-2</v>
      </c>
      <c r="O91" s="19">
        <f>SUMIFS([1]raw_data!K:K,[1]raw_data!$A:$A,$B91)</f>
        <v>52.626266999999999</v>
      </c>
      <c r="P91" s="20">
        <f>SUMIFS([1]raw_data!L:L,[1]raw_data!$A:$A,$B91)</f>
        <v>0.22543352601156</v>
      </c>
      <c r="Q91" s="19">
        <f>SUMIFS([1]raw_data!M:M,[1]raw_data!$A:$A,$B91)</f>
        <v>19.519812999999999</v>
      </c>
      <c r="R91" s="20">
        <f>SUMIFS([1]raw_data!N:N,[1]raw_data!$A:$A,$B91)</f>
        <v>0.174373795761078</v>
      </c>
      <c r="S91" s="19">
        <f>SUMIFS([1]raw_data!O:O,[1]raw_data!$A:$A,$B91)</f>
        <v>519.90166699999997</v>
      </c>
      <c r="T91" s="20">
        <f>SUMIFS([1]raw_data!P:P,[1]raw_data!$A:$A,$B91)</f>
        <v>4.5456329735034302</v>
      </c>
      <c r="U91" s="19">
        <f>SUMIFS([1]raw_data!Q:Q,[1]raw_data!$A:$A,$B91)</f>
        <v>236.350752</v>
      </c>
      <c r="V91" s="20">
        <f>SUMIFS([1]raw_data!R:R,[1]raw_data!$A:$A,$B91)</f>
        <v>1.91756624141315</v>
      </c>
      <c r="W91" s="19">
        <f>SUMIFS([1]raw_data!S:S,[1]raw_data!$A:$A,$B91)</f>
        <v>428.21439600000002</v>
      </c>
      <c r="X91" s="20">
        <f>SUMIFS([1]raw_data!T:T,[1]raw_data!$A:$A,$B91)</f>
        <v>3.66971544715447</v>
      </c>
      <c r="Y91" s="19">
        <f>SUMIFS([1]raw_data!U:U,[1]raw_data!$A:$A,$B91)</f>
        <v>186.50508099999999</v>
      </c>
      <c r="Z91" s="20">
        <f>SUMIFS([1]raw_data!V:V,[1]raw_data!$A:$A,$B91)</f>
        <v>2.5376016260162602</v>
      </c>
      <c r="AA91" s="17">
        <f t="shared" si="1"/>
        <v>289.20498320000002</v>
      </c>
    </row>
    <row r="92" spans="1:27" x14ac:dyDescent="0.25">
      <c r="A92" s="38"/>
      <c r="B92" s="17" t="s">
        <v>372</v>
      </c>
      <c r="C92" s="17" t="s">
        <v>373</v>
      </c>
      <c r="D92" s="17" t="s">
        <v>374</v>
      </c>
      <c r="E92" s="17" t="s">
        <v>15</v>
      </c>
      <c r="F92" s="18">
        <f>IFERROR(INDEX([1]raw_data!B:B,MATCH(B92,[1]raw_data!A:A,0)),0)</f>
        <v>1177</v>
      </c>
      <c r="G92" s="19">
        <f>SUMIFS([1]raw_data!C:C,[1]raw_data!$A:$A,$B92)</f>
        <v>101.178765</v>
      </c>
      <c r="H92" s="20">
        <f>SUMIFS([1]raw_data!D:D,[1]raw_data!$A:$A,$B92)</f>
        <v>0.29468177855274602</v>
      </c>
      <c r="I92" s="19">
        <f>SUMIFS([1]raw_data!E:E,[1]raw_data!$A:$A,$B92)</f>
        <v>41.304096999999999</v>
      </c>
      <c r="J92" s="20">
        <f>SUMIFS([1]raw_data!F:F,[1]raw_data!$A:$A,$B92)</f>
        <v>0.24673060156931101</v>
      </c>
      <c r="K92" s="19">
        <f>SUMIFS([1]raw_data!G:G,[1]raw_data!$A:$A,$B92)</f>
        <v>263.19712500000003</v>
      </c>
      <c r="L92" s="20">
        <f>SUMIFS([1]raw_data!H:H,[1]raw_data!$A:$A,$B92)</f>
        <v>0.52886247877758896</v>
      </c>
      <c r="M92" s="19">
        <f>SUMIFS([1]raw_data!I:I,[1]raw_data!$A:$A,$B92)</f>
        <v>136.176547</v>
      </c>
      <c r="N92" s="20">
        <f>SUMIFS([1]raw_data!J:J,[1]raw_data!$A:$A,$B92)</f>
        <v>0.46349745331069597</v>
      </c>
      <c r="O92" s="19">
        <f>SUMIFS([1]raw_data!K:K,[1]raw_data!$A:$A,$B92)</f>
        <v>258.57865500000003</v>
      </c>
      <c r="P92" s="20">
        <f>SUMIFS([1]raw_data!L:L,[1]raw_data!$A:$A,$B92)</f>
        <v>1.12764158918005</v>
      </c>
      <c r="Q92" s="19">
        <f>SUMIFS([1]raw_data!M:M,[1]raw_data!$A:$A,$B92)</f>
        <v>101.866117</v>
      </c>
      <c r="R92" s="20">
        <f>SUMIFS([1]raw_data!N:N,[1]raw_data!$A:$A,$B92)</f>
        <v>0.83178360101436999</v>
      </c>
      <c r="S92" s="19">
        <f>SUMIFS([1]raw_data!O:O,[1]raw_data!$A:$A,$B92)</f>
        <v>111.64608699999999</v>
      </c>
      <c r="T92" s="20">
        <f>SUMIFS([1]raw_data!P:P,[1]raw_data!$A:$A,$B92)</f>
        <v>1.38389830508474</v>
      </c>
      <c r="U92" s="19">
        <f>SUMIFS([1]raw_data!Q:Q,[1]raw_data!$A:$A,$B92)</f>
        <v>63.204703000000002</v>
      </c>
      <c r="V92" s="20">
        <f>SUMIFS([1]raw_data!R:R,[1]raw_data!$A:$A,$B92)</f>
        <v>0.37118644067796602</v>
      </c>
      <c r="W92" s="19">
        <f>SUMIFS([1]raw_data!S:S,[1]raw_data!$A:$A,$B92)</f>
        <v>707.44360900000004</v>
      </c>
      <c r="X92" s="20">
        <f>SUMIFS([1]raw_data!T:T,[1]raw_data!$A:$A,$B92)</f>
        <v>1.01587301587301</v>
      </c>
      <c r="Y92" s="19">
        <f>SUMIFS([1]raw_data!U:U,[1]raw_data!$A:$A,$B92)</f>
        <v>16.343427999999999</v>
      </c>
      <c r="Z92" s="20">
        <f>SUMIFS([1]raw_data!V:V,[1]raw_data!$A:$A,$B92)</f>
        <v>0.14202172096908899</v>
      </c>
      <c r="AA92" s="17">
        <f t="shared" si="1"/>
        <v>288.40884820000002</v>
      </c>
    </row>
    <row r="93" spans="1:27" ht="14.45" customHeight="1" x14ac:dyDescent="0.25">
      <c r="A93" s="38"/>
      <c r="B93" s="17" t="s">
        <v>199</v>
      </c>
      <c r="C93" s="17" t="s">
        <v>200</v>
      </c>
      <c r="D93" s="17" t="s">
        <v>201</v>
      </c>
      <c r="E93" s="17" t="s">
        <v>15</v>
      </c>
      <c r="F93" s="18">
        <f>IFERROR(INDEX([1]raw_data!B:B,MATCH(B93,[1]raw_data!A:A,0)),0)</f>
        <v>1810.875</v>
      </c>
      <c r="G93" s="19">
        <f>SUMIFS([1]raw_data!C:C,[1]raw_data!$A:$A,$B93)</f>
        <v>729.88451699999996</v>
      </c>
      <c r="H93" s="20">
        <f>SUMIFS([1]raw_data!D:D,[1]raw_data!$A:$A,$B93)</f>
        <v>0.93798052280881505</v>
      </c>
      <c r="I93" s="19">
        <f>SUMIFS([1]raw_data!E:E,[1]raw_data!$A:$A,$B93)</f>
        <v>18.335521</v>
      </c>
      <c r="J93" s="20">
        <f>SUMIFS([1]raw_data!F:F,[1]raw_data!$A:$A,$B93)</f>
        <v>5.0743208610968697E-2</v>
      </c>
      <c r="K93" s="19">
        <f>SUMIFS([1]raw_data!G:G,[1]raw_data!$A:$A,$B93)</f>
        <v>13.248189999999999</v>
      </c>
      <c r="L93" s="20">
        <f>SUMIFS([1]raw_data!H:H,[1]raw_data!$A:$A,$B93)</f>
        <v>0.10136452241715301</v>
      </c>
      <c r="M93" s="19">
        <f>SUMIFS([1]raw_data!I:I,[1]raw_data!$A:$A,$B93)</f>
        <v>12.38926</v>
      </c>
      <c r="N93" s="20">
        <f>SUMIFS([1]raw_data!J:J,[1]raw_data!$A:$A,$B93)</f>
        <v>0.100714749837556</v>
      </c>
      <c r="O93" s="19">
        <f>SUMIFS([1]raw_data!K:K,[1]raw_data!$A:$A,$B93)</f>
        <v>142.37143399999999</v>
      </c>
      <c r="P93" s="20">
        <f>SUMIFS([1]raw_data!L:L,[1]raw_data!$A:$A,$B93)</f>
        <v>0.31631057842626298</v>
      </c>
      <c r="Q93" s="19">
        <f>SUMIFS([1]raw_data!M:M,[1]raw_data!$A:$A,$B93)</f>
        <v>136.86499900000001</v>
      </c>
      <c r="R93" s="20">
        <f>SUMIFS([1]raw_data!N:N,[1]raw_data!$A:$A,$B93)</f>
        <v>0.30745179781136001</v>
      </c>
      <c r="S93" s="19">
        <f>SUMIFS([1]raw_data!O:O,[1]raw_data!$A:$A,$B93)</f>
        <v>267.367684</v>
      </c>
      <c r="T93" s="20">
        <f>SUMIFS([1]raw_data!P:P,[1]raw_data!$A:$A,$B93)</f>
        <v>0.77122153209109701</v>
      </c>
      <c r="U93" s="19">
        <f>SUMIFS([1]raw_data!Q:Q,[1]raw_data!$A:$A,$B93)</f>
        <v>267.367684</v>
      </c>
      <c r="V93" s="20">
        <f>SUMIFS([1]raw_data!R:R,[1]raw_data!$A:$A,$B93)</f>
        <v>0.77122153209109701</v>
      </c>
      <c r="W93" s="19">
        <f>SUMIFS([1]raw_data!S:S,[1]raw_data!$A:$A,$B93)</f>
        <v>274.57879400000002</v>
      </c>
      <c r="X93" s="20">
        <f>SUMIFS([1]raw_data!T:T,[1]raw_data!$A:$A,$B93)</f>
        <v>0.54058721934369602</v>
      </c>
      <c r="Y93" s="19">
        <f>SUMIFS([1]raw_data!U:U,[1]raw_data!$A:$A,$B93)</f>
        <v>274.57879400000002</v>
      </c>
      <c r="Z93" s="20">
        <f>SUMIFS([1]raw_data!V:V,[1]raw_data!$A:$A,$B93)</f>
        <v>0.54058721934369602</v>
      </c>
      <c r="AA93" s="17">
        <f t="shared" si="1"/>
        <v>285.49012379999999</v>
      </c>
    </row>
    <row r="94" spans="1:27" x14ac:dyDescent="0.25">
      <c r="A94" s="38"/>
      <c r="B94" s="17" t="s">
        <v>88</v>
      </c>
      <c r="C94" s="17" t="s">
        <v>89</v>
      </c>
      <c r="D94" s="17" t="s">
        <v>90</v>
      </c>
      <c r="E94" s="17" t="s">
        <v>15</v>
      </c>
      <c r="F94" s="18">
        <f>IFERROR(INDEX([1]raw_data!B:B,MATCH(B94,[1]raw_data!A:A,0)),0)</f>
        <v>1175.625</v>
      </c>
      <c r="G94" s="19">
        <f>SUMIFS([1]raw_data!C:C,[1]raw_data!$A:$A,$B94)</f>
        <v>4.6434639999999998</v>
      </c>
      <c r="H94" s="20">
        <f>SUMIFS([1]raw_data!D:D,[1]raw_data!$A:$A,$B94)</f>
        <v>9.5693779904306199E-3</v>
      </c>
      <c r="I94" s="19">
        <f>SUMIFS([1]raw_data!E:E,[1]raw_data!$A:$A,$B94)</f>
        <v>4.6434639999999998</v>
      </c>
      <c r="J94" s="20">
        <f>SUMIFS([1]raw_data!F:F,[1]raw_data!$A:$A,$B94)</f>
        <v>9.5693779904306199E-3</v>
      </c>
      <c r="K94" s="19">
        <f>SUMIFS([1]raw_data!G:G,[1]raw_data!$A:$A,$B94)</f>
        <v>372.71669200000002</v>
      </c>
      <c r="L94" s="20">
        <f>SUMIFS([1]raw_data!H:H,[1]raw_data!$A:$A,$B94)</f>
        <v>1.0240096038415301</v>
      </c>
      <c r="M94" s="19">
        <f>SUMIFS([1]raw_data!I:I,[1]raw_data!$A:$A,$B94)</f>
        <v>372.71669200000002</v>
      </c>
      <c r="N94" s="20">
        <f>SUMIFS([1]raw_data!J:J,[1]raw_data!$A:$A,$B94)</f>
        <v>1.0240096038415301</v>
      </c>
      <c r="O94" s="19">
        <f>SUMIFS([1]raw_data!K:K,[1]raw_data!$A:$A,$B94)</f>
        <v>467.58827600000001</v>
      </c>
      <c r="P94" s="20">
        <f>SUMIFS([1]raw_data!L:L,[1]raw_data!$A:$A,$B94)</f>
        <v>1.5741626794258301</v>
      </c>
      <c r="Q94" s="19">
        <f>SUMIFS([1]raw_data!M:M,[1]raw_data!$A:$A,$B94)</f>
        <v>465.26313699999997</v>
      </c>
      <c r="R94" s="20">
        <f>SUMIFS([1]raw_data!N:N,[1]raw_data!$A:$A,$B94)</f>
        <v>1.5717703349282199</v>
      </c>
      <c r="S94" s="19">
        <f>SUMIFS([1]raw_data!O:O,[1]raw_data!$A:$A,$B94)</f>
        <v>94.243662</v>
      </c>
      <c r="T94" s="20">
        <f>SUMIFS([1]raw_data!P:P,[1]raw_data!$A:$A,$B94)</f>
        <v>0.839964633068081</v>
      </c>
      <c r="U94" s="19">
        <f>SUMIFS([1]raw_data!Q:Q,[1]raw_data!$A:$A,$B94)</f>
        <v>45.957264000000002</v>
      </c>
      <c r="V94" s="20">
        <f>SUMIFS([1]raw_data!R:R,[1]raw_data!$A:$A,$B94)</f>
        <v>6.9849690539345699E-2</v>
      </c>
      <c r="W94" s="19">
        <f>SUMIFS([1]raw_data!S:S,[1]raw_data!$A:$A,$B94)</f>
        <v>468.30377700000003</v>
      </c>
      <c r="X94" s="20">
        <f>SUMIFS([1]raw_data!T:T,[1]raw_data!$A:$A,$B94)</f>
        <v>2.3314045239347698</v>
      </c>
      <c r="Y94" s="19">
        <f>SUMIFS([1]raw_data!U:U,[1]raw_data!$A:$A,$B94)</f>
        <v>467.35640799999999</v>
      </c>
      <c r="Z94" s="20">
        <f>SUMIFS([1]raw_data!V:V,[1]raw_data!$A:$A,$B94)</f>
        <v>2.3303524460810001</v>
      </c>
      <c r="AA94" s="17">
        <f t="shared" si="1"/>
        <v>281.49917420000003</v>
      </c>
    </row>
    <row r="95" spans="1:27" x14ac:dyDescent="0.25">
      <c r="A95" s="38"/>
      <c r="B95" s="17" t="s">
        <v>192</v>
      </c>
      <c r="C95" s="17" t="s">
        <v>133</v>
      </c>
      <c r="D95" s="17" t="s">
        <v>193</v>
      </c>
      <c r="E95" s="17" t="s">
        <v>19</v>
      </c>
      <c r="F95" s="18">
        <f>IFERROR(INDEX([1]raw_data!B:B,MATCH(B95,[1]raw_data!A:A,0)),0)</f>
        <v>655.77777700000001</v>
      </c>
      <c r="G95" s="19">
        <f>SUMIFS([1]raw_data!C:C,[1]raw_data!$A:$A,$B95)</f>
        <v>335.08841000000001</v>
      </c>
      <c r="H95" s="20">
        <f>SUMIFS([1]raw_data!D:D,[1]raw_data!$A:$A,$B95)</f>
        <v>2.6176024279210899</v>
      </c>
      <c r="I95" s="19">
        <f>SUMIFS([1]raw_data!E:E,[1]raw_data!$A:$A,$B95)</f>
        <v>159.64380499999999</v>
      </c>
      <c r="J95" s="20">
        <f>SUMIFS([1]raw_data!F:F,[1]raw_data!$A:$A,$B95)</f>
        <v>1.80121396054628</v>
      </c>
      <c r="K95" s="19">
        <f>SUMIFS([1]raw_data!G:G,[1]raw_data!$A:$A,$B95)</f>
        <v>306.28588500000001</v>
      </c>
      <c r="L95" s="20">
        <f>SUMIFS([1]raw_data!H:H,[1]raw_data!$A:$A,$B95)</f>
        <v>1.9802431610942199</v>
      </c>
      <c r="M95" s="19">
        <f>SUMIFS([1]raw_data!I:I,[1]raw_data!$A:$A,$B95)</f>
        <v>306.28588500000001</v>
      </c>
      <c r="N95" s="20">
        <f>SUMIFS([1]raw_data!J:J,[1]raw_data!$A:$A,$B95)</f>
        <v>1.9802431610942199</v>
      </c>
      <c r="O95" s="19">
        <f>SUMIFS([1]raw_data!K:K,[1]raw_data!$A:$A,$B95)</f>
        <v>124.184044</v>
      </c>
      <c r="P95" s="20">
        <f>SUMIFS([1]raw_data!L:L,[1]raw_data!$A:$A,$B95)</f>
        <v>1.1280487804878001</v>
      </c>
      <c r="Q95" s="19">
        <f>SUMIFS([1]raw_data!M:M,[1]raw_data!$A:$A,$B95)</f>
        <v>118.248577</v>
      </c>
      <c r="R95" s="20">
        <f>SUMIFS([1]raw_data!N:N,[1]raw_data!$A:$A,$B95)</f>
        <v>1.1265243902438999</v>
      </c>
      <c r="S95" s="19">
        <f>SUMIFS([1]raw_data!O:O,[1]raw_data!$A:$A,$B95)</f>
        <v>429.05482599999999</v>
      </c>
      <c r="T95" s="20">
        <f>SUMIFS([1]raw_data!P:P,[1]raw_data!$A:$A,$B95)</f>
        <v>0.34603658536585302</v>
      </c>
      <c r="U95" s="19">
        <f>SUMIFS([1]raw_data!Q:Q,[1]raw_data!$A:$A,$B95)</f>
        <v>23.788084000000001</v>
      </c>
      <c r="V95" s="20">
        <f>SUMIFS([1]raw_data!R:R,[1]raw_data!$A:$A,$B95)</f>
        <v>0.20274390243902399</v>
      </c>
      <c r="W95" s="19">
        <f>SUMIFS([1]raw_data!S:S,[1]raw_data!$A:$A,$B95)</f>
        <v>212.758038</v>
      </c>
      <c r="X95" s="20">
        <f>SUMIFS([1]raw_data!T:T,[1]raw_data!$A:$A,$B95)</f>
        <v>2.1858678955453099</v>
      </c>
      <c r="Y95" s="19">
        <f>SUMIFS([1]raw_data!U:U,[1]raw_data!$A:$A,$B95)</f>
        <v>114.323476</v>
      </c>
      <c r="Z95" s="20">
        <f>SUMIFS([1]raw_data!V:V,[1]raw_data!$A:$A,$B95)</f>
        <v>2.0906298003072101</v>
      </c>
      <c r="AA95" s="17">
        <f t="shared" si="1"/>
        <v>281.47424059999997</v>
      </c>
    </row>
    <row r="96" spans="1:27" x14ac:dyDescent="0.25">
      <c r="A96" s="38"/>
      <c r="B96" s="17" t="s">
        <v>250</v>
      </c>
      <c r="C96" s="17" t="s">
        <v>251</v>
      </c>
      <c r="D96" s="17" t="s">
        <v>252</v>
      </c>
      <c r="E96" s="17" t="s">
        <v>15</v>
      </c>
      <c r="F96" s="18">
        <f>IFERROR(INDEX([1]raw_data!B:B,MATCH(B96,[1]raw_data!A:A,0)),0)</f>
        <v>821</v>
      </c>
      <c r="G96" s="19">
        <f>SUMIFS([1]raw_data!C:C,[1]raw_data!$A:$A,$B96)</f>
        <v>24.284272999999999</v>
      </c>
      <c r="H96" s="20">
        <f>SUMIFS([1]raw_data!D:D,[1]raw_data!$A:$A,$B96)</f>
        <v>0.111650485436893</v>
      </c>
      <c r="I96" s="19">
        <f>SUMIFS([1]raw_data!E:E,[1]raw_data!$A:$A,$B96)</f>
        <v>20.623398000000002</v>
      </c>
      <c r="J96" s="20">
        <f>SUMIFS([1]raw_data!F:F,[1]raw_data!$A:$A,$B96)</f>
        <v>0.101941747572815</v>
      </c>
      <c r="K96" s="19">
        <f>SUMIFS([1]raw_data!G:G,[1]raw_data!$A:$A,$B96)</f>
        <v>94.972020000000001</v>
      </c>
      <c r="L96" s="20">
        <f>SUMIFS([1]raw_data!H:H,[1]raw_data!$A:$A,$B96)</f>
        <v>0.48677884615384598</v>
      </c>
      <c r="M96" s="19">
        <f>SUMIFS([1]raw_data!I:I,[1]raw_data!$A:$A,$B96)</f>
        <v>91.540704000000005</v>
      </c>
      <c r="N96" s="20">
        <f>SUMIFS([1]raw_data!J:J,[1]raw_data!$A:$A,$B96)</f>
        <v>0.484375</v>
      </c>
      <c r="O96" s="19">
        <f>SUMIFS([1]raw_data!K:K,[1]raw_data!$A:$A,$B96)</f>
        <v>1008.235714</v>
      </c>
      <c r="P96" s="20">
        <f>SUMIFS([1]raw_data!L:L,[1]raw_data!$A:$A,$B96)</f>
        <v>1.9255702280912299</v>
      </c>
      <c r="Q96" s="19">
        <f>SUMIFS([1]raw_data!M:M,[1]raw_data!$A:$A,$B96)</f>
        <v>201.95022</v>
      </c>
      <c r="R96" s="20">
        <f>SUMIFS([1]raw_data!N:N,[1]raw_data!$A:$A,$B96)</f>
        <v>1.30492196878751</v>
      </c>
      <c r="S96" s="19">
        <f>SUMIFS([1]raw_data!O:O,[1]raw_data!$A:$A,$B96)</f>
        <v>200.83443600000001</v>
      </c>
      <c r="T96" s="20">
        <f>SUMIFS([1]raw_data!P:P,[1]raw_data!$A:$A,$B96)</f>
        <v>1.87515605493133</v>
      </c>
      <c r="U96" s="19">
        <f>SUMIFS([1]raw_data!Q:Q,[1]raw_data!$A:$A,$B96)</f>
        <v>200.83443600000001</v>
      </c>
      <c r="V96" s="20">
        <f>SUMIFS([1]raw_data!R:R,[1]raw_data!$A:$A,$B96)</f>
        <v>1.87515605493133</v>
      </c>
      <c r="W96" s="19">
        <f>SUMIFS([1]raw_data!S:S,[1]raw_data!$A:$A,$B96)</f>
        <v>49.060702999999997</v>
      </c>
      <c r="X96" s="20">
        <f>SUMIFS([1]raw_data!T:T,[1]raw_data!$A:$A,$B96)</f>
        <v>0.126708074534161</v>
      </c>
      <c r="Y96" s="19">
        <f>SUMIFS([1]raw_data!U:U,[1]raw_data!$A:$A,$B96)</f>
        <v>43.734265000000001</v>
      </c>
      <c r="Z96" s="20">
        <f>SUMIFS([1]raw_data!V:V,[1]raw_data!$A:$A,$B96)</f>
        <v>0.100621118012422</v>
      </c>
      <c r="AA96" s="17">
        <f t="shared" si="1"/>
        <v>275.47742920000007</v>
      </c>
    </row>
    <row r="97" spans="1:27" x14ac:dyDescent="0.25">
      <c r="A97" s="38"/>
      <c r="B97" s="17" t="s">
        <v>418</v>
      </c>
      <c r="C97" s="17" t="s">
        <v>133</v>
      </c>
      <c r="D97" s="17" t="s">
        <v>419</v>
      </c>
      <c r="E97" s="17" t="s">
        <v>19</v>
      </c>
      <c r="F97" s="18">
        <f>IFERROR(INDEX([1]raw_data!B:B,MATCH(B97,[1]raw_data!A:A,0)),0)</f>
        <v>2729.8</v>
      </c>
      <c r="G97" s="19">
        <f>SUMIFS([1]raw_data!C:C,[1]raw_data!$A:$A,$B97)</f>
        <v>25.365469000000001</v>
      </c>
      <c r="H97" s="20">
        <f>SUMIFS([1]raw_data!D:D,[1]raw_data!$A:$A,$B97)</f>
        <v>0.18621700879765299</v>
      </c>
      <c r="I97" s="19">
        <f>SUMIFS([1]raw_data!E:E,[1]raw_data!$A:$A,$B97)</f>
        <v>24.187404999999998</v>
      </c>
      <c r="J97" s="20">
        <f>SUMIFS([1]raw_data!F:F,[1]raw_data!$A:$A,$B97)</f>
        <v>0.174120234604105</v>
      </c>
      <c r="K97" s="19">
        <f>SUMIFS([1]raw_data!G:G,[1]raw_data!$A:$A,$B97)</f>
        <v>138.79827700000001</v>
      </c>
      <c r="L97" s="20">
        <f>SUMIFS([1]raw_data!H:H,[1]raw_data!$A:$A,$B97)</f>
        <v>0.70413767850604103</v>
      </c>
      <c r="M97" s="19">
        <f>SUMIFS([1]raw_data!I:I,[1]raw_data!$A:$A,$B97)</f>
        <v>50.64743</v>
      </c>
      <c r="N97" s="20">
        <f>SUMIFS([1]raw_data!J:J,[1]raw_data!$A:$A,$B97)</f>
        <v>0.53423654339069904</v>
      </c>
      <c r="O97" s="19">
        <f>SUMIFS([1]raw_data!K:K,[1]raw_data!$A:$A,$B97)</f>
        <v>147.78222299999999</v>
      </c>
      <c r="P97" s="20">
        <f>SUMIFS([1]raw_data!L:L,[1]raw_data!$A:$A,$B97)</f>
        <v>0.98024149286498297</v>
      </c>
      <c r="Q97" s="19">
        <f>SUMIFS([1]raw_data!M:M,[1]raw_data!$A:$A,$B97)</f>
        <v>34.509129000000001</v>
      </c>
      <c r="R97" s="20">
        <f>SUMIFS([1]raw_data!N:N,[1]raw_data!$A:$A,$B97)</f>
        <v>0.28027808269301102</v>
      </c>
      <c r="S97" s="19">
        <f>SUMIFS([1]raw_data!O:O,[1]raw_data!$A:$A,$B97)</f>
        <v>56.527299999999997</v>
      </c>
      <c r="T97" s="20">
        <f>SUMIFS([1]raw_data!P:P,[1]raw_data!$A:$A,$B97)</f>
        <v>0.37586837294332698</v>
      </c>
      <c r="U97" s="19">
        <f>SUMIFS([1]raw_data!Q:Q,[1]raw_data!$A:$A,$B97)</f>
        <v>54.858378999999999</v>
      </c>
      <c r="V97" s="20">
        <f>SUMIFS([1]raw_data!R:R,[1]raw_data!$A:$A,$B97)</f>
        <v>0.36416819012797003</v>
      </c>
      <c r="W97" s="19">
        <f>SUMIFS([1]raw_data!S:S,[1]raw_data!$A:$A,$B97)</f>
        <v>895.26131999999996</v>
      </c>
      <c r="X97" s="20">
        <f>SUMIFS([1]raw_data!T:T,[1]raw_data!$A:$A,$B97)</f>
        <v>0.853049228508449</v>
      </c>
      <c r="Y97" s="19">
        <f>SUMIFS([1]raw_data!U:U,[1]raw_data!$A:$A,$B97)</f>
        <v>48.578831999999998</v>
      </c>
      <c r="Z97" s="20">
        <f>SUMIFS([1]raw_data!V:V,[1]raw_data!$A:$A,$B97)</f>
        <v>0.16605437178545099</v>
      </c>
      <c r="AA97" s="17">
        <f t="shared" si="1"/>
        <v>252.74691779999998</v>
      </c>
    </row>
    <row r="98" spans="1:27" x14ac:dyDescent="0.25">
      <c r="A98" s="38"/>
      <c r="B98" s="17" t="s">
        <v>145</v>
      </c>
      <c r="C98" s="17" t="s">
        <v>81</v>
      </c>
      <c r="D98" s="17" t="s">
        <v>146</v>
      </c>
      <c r="E98" s="17" t="s">
        <v>15</v>
      </c>
      <c r="F98" s="18">
        <f>IFERROR(INDEX([1]raw_data!B:B,MATCH(B98,[1]raw_data!A:A,0)),0)</f>
        <v>635.20000000000005</v>
      </c>
      <c r="G98" s="19">
        <f>SUMIFS([1]raw_data!C:C,[1]raw_data!$A:$A,$B98)</f>
        <v>50.901814000000002</v>
      </c>
      <c r="H98" s="20">
        <f>SUMIFS([1]raw_data!D:D,[1]raw_data!$A:$A,$B98)</f>
        <v>1.37777777777777</v>
      </c>
      <c r="I98" s="19">
        <f>SUMIFS([1]raw_data!E:E,[1]raw_data!$A:$A,$B98)</f>
        <v>47.139909000000003</v>
      </c>
      <c r="J98" s="20">
        <f>SUMIFS([1]raw_data!F:F,[1]raw_data!$A:$A,$B98)</f>
        <v>1.37037037037037</v>
      </c>
      <c r="K98" s="19">
        <f>SUMIFS([1]raw_data!G:G,[1]raw_data!$A:$A,$B98)</f>
        <v>785.49384799999996</v>
      </c>
      <c r="L98" s="20">
        <f>SUMIFS([1]raw_data!H:H,[1]raw_data!$A:$A,$B98)</f>
        <v>2.7040000000000002</v>
      </c>
      <c r="M98" s="19">
        <f>SUMIFS([1]raw_data!I:I,[1]raw_data!$A:$A,$B98)</f>
        <v>534.26577699999996</v>
      </c>
      <c r="N98" s="20">
        <f>SUMIFS([1]raw_data!J:J,[1]raw_data!$A:$A,$B98)</f>
        <v>2.0895999999999999</v>
      </c>
      <c r="O98" s="19">
        <f>SUMIFS([1]raw_data!K:K,[1]raw_data!$A:$A,$B98)</f>
        <v>90.799387999999993</v>
      </c>
      <c r="P98" s="20">
        <f>SUMIFS([1]raw_data!L:L,[1]raw_data!$A:$A,$B98)</f>
        <v>0.22169059011164199</v>
      </c>
      <c r="Q98" s="19">
        <f>SUMIFS([1]raw_data!M:M,[1]raw_data!$A:$A,$B98)</f>
        <v>79.853296</v>
      </c>
      <c r="R98" s="20">
        <f>SUMIFS([1]raw_data!N:N,[1]raw_data!$A:$A,$B98)</f>
        <v>0.208931419457735</v>
      </c>
      <c r="S98" s="19">
        <f>SUMIFS([1]raw_data!O:O,[1]raw_data!$A:$A,$B98)</f>
        <v>106.890288</v>
      </c>
      <c r="T98" s="20">
        <f>SUMIFS([1]raw_data!P:P,[1]raw_data!$A:$A,$B98)</f>
        <v>1.17656500802568</v>
      </c>
      <c r="U98" s="19">
        <f>SUMIFS([1]raw_data!Q:Q,[1]raw_data!$A:$A,$B98)</f>
        <v>57.344622000000001</v>
      </c>
      <c r="V98" s="20">
        <f>SUMIFS([1]raw_data!R:R,[1]raw_data!$A:$A,$B98)</f>
        <v>0.152487961476725</v>
      </c>
      <c r="W98" s="19">
        <f>SUMIFS([1]raw_data!S:S,[1]raw_data!$A:$A,$B98)</f>
        <v>225.79337000000001</v>
      </c>
      <c r="X98" s="20">
        <f>SUMIFS([1]raw_data!T:T,[1]raw_data!$A:$A,$B98)</f>
        <v>2.2012779552715598</v>
      </c>
      <c r="Y98" s="19">
        <f>SUMIFS([1]raw_data!U:U,[1]raw_data!$A:$A,$B98)</f>
        <v>214.12044700000001</v>
      </c>
      <c r="Z98" s="20">
        <f>SUMIFS([1]raw_data!V:V,[1]raw_data!$A:$A,$B98)</f>
        <v>2.1645367412140502</v>
      </c>
      <c r="AA98" s="17">
        <f t="shared" si="1"/>
        <v>251.97574159999999</v>
      </c>
    </row>
    <row r="99" spans="1:27" x14ac:dyDescent="0.25">
      <c r="A99" s="39" t="s">
        <v>225</v>
      </c>
      <c r="B99" s="21" t="s">
        <v>273</v>
      </c>
      <c r="C99" s="21" t="s">
        <v>274</v>
      </c>
      <c r="D99" s="21" t="s">
        <v>275</v>
      </c>
      <c r="E99" s="21" t="s">
        <v>76</v>
      </c>
      <c r="F99" s="22">
        <f>IFERROR(INDEX([1]raw_data!B:B,MATCH(B99,[1]raw_data!A:A,0)),0)</f>
        <v>561.66666599999996</v>
      </c>
      <c r="G99" s="23">
        <f>SUMIFS([1]raw_data!C:C,[1]raw_data!$A:$A,$B99)</f>
        <v>176.29485500000001</v>
      </c>
      <c r="H99" s="24">
        <f>SUMIFS([1]raw_data!D:D,[1]raw_data!$A:$A,$B99)</f>
        <v>8.1705150976909405E-2</v>
      </c>
      <c r="I99" s="23">
        <f>SUMIFS([1]raw_data!E:E,[1]raw_data!$A:$A,$B99)</f>
        <v>5.2737590000000001</v>
      </c>
      <c r="J99" s="24">
        <f>SUMIFS([1]raw_data!F:F,[1]raw_data!$A:$A,$B99)</f>
        <v>3.1971580817051502E-2</v>
      </c>
      <c r="K99" s="23">
        <f>SUMIFS([1]raw_data!G:G,[1]raw_data!$A:$A,$B99)</f>
        <v>348.22120799999999</v>
      </c>
      <c r="L99" s="24">
        <f>SUMIFS([1]raw_data!H:H,[1]raw_data!$A:$A,$B99)</f>
        <v>1.1666666666666601</v>
      </c>
      <c r="M99" s="23">
        <f>SUMIFS([1]raw_data!I:I,[1]raw_data!$A:$A,$B99)</f>
        <v>140.01186300000001</v>
      </c>
      <c r="N99" s="24">
        <f>SUMIFS([1]raw_data!J:J,[1]raw_data!$A:$A,$B99)</f>
        <v>1.0744680851063799</v>
      </c>
      <c r="O99" s="23">
        <f>SUMIFS([1]raw_data!K:K,[1]raw_data!$A:$A,$B99)</f>
        <v>27.688651</v>
      </c>
      <c r="P99" s="24">
        <f>SUMIFS([1]raw_data!L:L,[1]raw_data!$A:$A,$B99)</f>
        <v>0.26203208556149699</v>
      </c>
      <c r="Q99" s="23">
        <f>SUMIFS([1]raw_data!M:M,[1]raw_data!$A:$A,$B99)</f>
        <v>27.688651</v>
      </c>
      <c r="R99" s="24">
        <f>SUMIFS([1]raw_data!N:N,[1]raw_data!$A:$A,$B99)</f>
        <v>0.26203208556149699</v>
      </c>
      <c r="S99" s="23">
        <f>SUMIFS([1]raw_data!O:O,[1]raw_data!$A:$A,$B99)</f>
        <v>667.62468699999999</v>
      </c>
      <c r="T99" s="24">
        <f>SUMIFS([1]raw_data!P:P,[1]raw_data!$A:$A,$B99)</f>
        <v>3.50802139037433</v>
      </c>
      <c r="U99" s="23">
        <f>SUMIFS([1]raw_data!Q:Q,[1]raw_data!$A:$A,$B99)</f>
        <v>322.099108</v>
      </c>
      <c r="V99" s="24">
        <f>SUMIFS([1]raw_data!R:R,[1]raw_data!$A:$A,$B99)</f>
        <v>1.4670231729055201</v>
      </c>
      <c r="W99" s="23">
        <f>SUMIFS([1]raw_data!S:S,[1]raw_data!$A:$A,$B99)</f>
        <v>24.773910999999998</v>
      </c>
      <c r="X99" s="24">
        <f>SUMIFS([1]raw_data!T:T,[1]raw_data!$A:$A,$B99)</f>
        <v>0.413237924865831</v>
      </c>
      <c r="Y99" s="23">
        <f>SUMIFS([1]raw_data!U:U,[1]raw_data!$A:$A,$B99)</f>
        <v>22.613178000000001</v>
      </c>
      <c r="Z99" s="24">
        <f>SUMIFS([1]raw_data!V:V,[1]raw_data!$A:$A,$B99)</f>
        <v>0.41144901610017798</v>
      </c>
      <c r="AA99" s="21">
        <f t="shared" si="1"/>
        <v>248.9206624</v>
      </c>
    </row>
    <row r="100" spans="1:27" x14ac:dyDescent="0.25">
      <c r="A100" s="39"/>
      <c r="B100" s="21" t="s">
        <v>253</v>
      </c>
      <c r="C100" s="21" t="s">
        <v>254</v>
      </c>
      <c r="D100" s="21" t="s">
        <v>255</v>
      </c>
      <c r="E100" s="21" t="s">
        <v>27</v>
      </c>
      <c r="F100" s="22">
        <f>IFERROR(INDEX([1]raw_data!B:B,MATCH(B100,[1]raw_data!A:A,0)),0)</f>
        <v>3196.6666660000001</v>
      </c>
      <c r="G100" s="23">
        <f>SUMIFS([1]raw_data!C:C,[1]raw_data!$A:$A,$B100)</f>
        <v>509.27408300000002</v>
      </c>
      <c r="H100" s="24">
        <f>SUMIFS([1]raw_data!D:D,[1]raw_data!$A:$A,$B100)</f>
        <v>1.2095119676717401</v>
      </c>
      <c r="I100" s="23">
        <f>SUMIFS([1]raw_data!E:E,[1]raw_data!$A:$A,$B100)</f>
        <v>69.294263999999998</v>
      </c>
      <c r="J100" s="24">
        <f>SUMIFS([1]raw_data!F:F,[1]raw_data!$A:$A,$B100)</f>
        <v>0.920733602735467</v>
      </c>
      <c r="K100" s="23">
        <f>SUMIFS([1]raw_data!G:G,[1]raw_data!$A:$A,$B100)</f>
        <v>15.060185000000001</v>
      </c>
      <c r="L100" s="24">
        <f>SUMIFS([1]raw_data!H:H,[1]raw_data!$A:$A,$B100)</f>
        <v>8.8327091136079894E-2</v>
      </c>
      <c r="M100" s="23">
        <f>SUMIFS([1]raw_data!I:I,[1]raw_data!$A:$A,$B100)</f>
        <v>14.264575000000001</v>
      </c>
      <c r="N100" s="24">
        <f>SUMIFS([1]raw_data!J:J,[1]raw_data!$A:$A,$B100)</f>
        <v>8.6142322097378196E-2</v>
      </c>
      <c r="O100" s="23">
        <f>SUMIFS([1]raw_data!K:K,[1]raw_data!$A:$A,$B100)</f>
        <v>310.02069399999999</v>
      </c>
      <c r="P100" s="24">
        <f>SUMIFS([1]raw_data!L:L,[1]raw_data!$A:$A,$B100)</f>
        <v>1.6437069505322399</v>
      </c>
      <c r="Q100" s="23">
        <f>SUMIFS([1]raw_data!M:M,[1]raw_data!$A:$A,$B100)</f>
        <v>111.805218</v>
      </c>
      <c r="R100" s="24">
        <f>SUMIFS([1]raw_data!N:N,[1]raw_data!$A:$A,$B100)</f>
        <v>1.48497182216656</v>
      </c>
      <c r="S100" s="23">
        <f>SUMIFS([1]raw_data!O:O,[1]raw_data!$A:$A,$B100)</f>
        <v>324.82834000000003</v>
      </c>
      <c r="T100" s="24">
        <f>SUMIFS([1]raw_data!P:P,[1]raw_data!$A:$A,$B100)</f>
        <v>3.72326454033771</v>
      </c>
      <c r="U100" s="23">
        <f>SUMIFS([1]raw_data!Q:Q,[1]raw_data!$A:$A,$B100)</f>
        <v>324.82834000000003</v>
      </c>
      <c r="V100" s="24">
        <f>SUMIFS([1]raw_data!R:R,[1]raw_data!$A:$A,$B100)</f>
        <v>3.72326454033771</v>
      </c>
      <c r="W100" s="23">
        <f>SUMIFS([1]raw_data!S:S,[1]raw_data!$A:$A,$B100)</f>
        <v>80.090873999999999</v>
      </c>
      <c r="X100" s="24">
        <f>SUMIFS([1]raw_data!T:T,[1]raw_data!$A:$A,$B100)</f>
        <v>0.17250078839482799</v>
      </c>
      <c r="Y100" s="23">
        <f>SUMIFS([1]raw_data!U:U,[1]raw_data!$A:$A,$B100)</f>
        <v>36.606138000000001</v>
      </c>
      <c r="Z100" s="24">
        <f>SUMIFS([1]raw_data!V:V,[1]raw_data!$A:$A,$B100)</f>
        <v>0.15137180700094599</v>
      </c>
      <c r="AA100" s="21">
        <f t="shared" si="1"/>
        <v>247.85483520000002</v>
      </c>
    </row>
    <row r="101" spans="1:27" x14ac:dyDescent="0.25">
      <c r="A101" s="39"/>
      <c r="B101" s="21" t="s">
        <v>239</v>
      </c>
      <c r="C101" s="21" t="s">
        <v>109</v>
      </c>
      <c r="D101" s="21" t="s">
        <v>240</v>
      </c>
      <c r="E101" s="21" t="s">
        <v>27</v>
      </c>
      <c r="F101" s="22">
        <f>IFERROR(INDEX([1]raw_data!B:B,MATCH(B101,[1]raw_data!A:A,0)),0)</f>
        <v>898</v>
      </c>
      <c r="G101" s="23">
        <f>SUMIFS([1]raw_data!C:C,[1]raw_data!$A:$A,$B101)</f>
        <v>121.641176</v>
      </c>
      <c r="H101" s="24">
        <f>SUMIFS([1]raw_data!D:D,[1]raw_data!$A:$A,$B101)</f>
        <v>1.0914826498422701</v>
      </c>
      <c r="I101" s="23">
        <f>SUMIFS([1]raw_data!E:E,[1]raw_data!$A:$A,$B101)</f>
        <v>121.641176</v>
      </c>
      <c r="J101" s="24">
        <f>SUMIFS([1]raw_data!F:F,[1]raw_data!$A:$A,$B101)</f>
        <v>1.0914826498422701</v>
      </c>
      <c r="K101" s="23">
        <f>SUMIFS([1]raw_data!G:G,[1]raw_data!$A:$A,$B101)</f>
        <v>18.006824000000002</v>
      </c>
      <c r="L101" s="24">
        <f>SUMIFS([1]raw_data!H:H,[1]raw_data!$A:$A,$B101)</f>
        <v>0.199554069119286</v>
      </c>
      <c r="M101" s="23">
        <f>SUMIFS([1]raw_data!I:I,[1]raw_data!$A:$A,$B101)</f>
        <v>18.006824000000002</v>
      </c>
      <c r="N101" s="24">
        <f>SUMIFS([1]raw_data!J:J,[1]raw_data!$A:$A,$B101)</f>
        <v>0.199554069119286</v>
      </c>
      <c r="O101" s="23">
        <f>SUMIFS([1]raw_data!K:K,[1]raw_data!$A:$A,$B101)</f>
        <v>588.98584300000005</v>
      </c>
      <c r="P101" s="24">
        <f>SUMIFS([1]raw_data!L:L,[1]raw_data!$A:$A,$B101)</f>
        <v>2.0569196428571401</v>
      </c>
      <c r="Q101" s="23">
        <f>SUMIFS([1]raw_data!M:M,[1]raw_data!$A:$A,$B101)</f>
        <v>433.30420299999997</v>
      </c>
      <c r="R101" s="24">
        <f>SUMIFS([1]raw_data!N:N,[1]raw_data!$A:$A,$B101)</f>
        <v>1.6953125</v>
      </c>
      <c r="S101" s="23">
        <f>SUMIFS([1]raw_data!O:O,[1]raw_data!$A:$A,$B101)</f>
        <v>15.968043</v>
      </c>
      <c r="T101" s="24">
        <f>SUMIFS([1]raw_data!P:P,[1]raw_data!$A:$A,$B101)</f>
        <v>0.210937499999999</v>
      </c>
      <c r="U101" s="23">
        <f>SUMIFS([1]raw_data!Q:Q,[1]raw_data!$A:$A,$B101)</f>
        <v>15.77952</v>
      </c>
      <c r="V101" s="24">
        <f>SUMIFS([1]raw_data!R:R,[1]raw_data!$A:$A,$B101)</f>
        <v>0.20982142857142799</v>
      </c>
      <c r="W101" s="23">
        <f>SUMIFS([1]raw_data!S:S,[1]raw_data!$A:$A,$B101)</f>
        <v>481.26653199999998</v>
      </c>
      <c r="X101" s="24">
        <f>SUMIFS([1]raw_data!T:T,[1]raw_data!$A:$A,$B101)</f>
        <v>0.22031963470319599</v>
      </c>
      <c r="Y101" s="23">
        <f>SUMIFS([1]raw_data!U:U,[1]raw_data!$A:$A,$B101)</f>
        <v>11.024884999999999</v>
      </c>
      <c r="Z101" s="24">
        <f>SUMIFS([1]raw_data!V:V,[1]raw_data!$A:$A,$B101)</f>
        <v>9.0182648401826396E-2</v>
      </c>
      <c r="AA101" s="21">
        <f t="shared" si="1"/>
        <v>245.1736836</v>
      </c>
    </row>
    <row r="102" spans="1:27" x14ac:dyDescent="0.25">
      <c r="A102" s="39"/>
      <c r="B102" s="21" t="s">
        <v>226</v>
      </c>
      <c r="C102" s="21" t="s">
        <v>220</v>
      </c>
      <c r="D102" s="21" t="s">
        <v>227</v>
      </c>
      <c r="E102" s="21" t="s">
        <v>27</v>
      </c>
      <c r="F102" s="22">
        <f>IFERROR(INDEX([1]raw_data!B:B,MATCH(B102,[1]raw_data!A:A,0)),0)</f>
        <v>1070</v>
      </c>
      <c r="G102" s="23">
        <f>SUMIFS([1]raw_data!C:C,[1]raw_data!$A:$A,$B102)</f>
        <v>360.84480000000002</v>
      </c>
      <c r="H102" s="24">
        <f>SUMIFS([1]raw_data!D:D,[1]raw_data!$A:$A,$B102)</f>
        <v>0.937499999999999</v>
      </c>
      <c r="I102" s="23">
        <f>SUMIFS([1]raw_data!E:E,[1]raw_data!$A:$A,$B102)</f>
        <v>66.284291999999994</v>
      </c>
      <c r="J102" s="24">
        <f>SUMIFS([1]raw_data!F:F,[1]raw_data!$A:$A,$B102)</f>
        <v>0.73689516129032195</v>
      </c>
      <c r="K102" s="23">
        <f>SUMIFS([1]raw_data!G:G,[1]raw_data!$A:$A,$B102)</f>
        <v>71.364641000000006</v>
      </c>
      <c r="L102" s="24">
        <f>SUMIFS([1]raw_data!H:H,[1]raw_data!$A:$A,$B102)</f>
        <v>0.450276243093922</v>
      </c>
      <c r="M102" s="23">
        <f>SUMIFS([1]raw_data!I:I,[1]raw_data!$A:$A,$B102)</f>
        <v>55.236145999999998</v>
      </c>
      <c r="N102" s="24">
        <f>SUMIFS([1]raw_data!J:J,[1]raw_data!$A:$A,$B102)</f>
        <v>0.42633517495395901</v>
      </c>
      <c r="O102" s="23">
        <f>SUMIFS([1]raw_data!K:K,[1]raw_data!$A:$A,$B102)</f>
        <v>422.61746799999997</v>
      </c>
      <c r="P102" s="24">
        <f>SUMIFS([1]raw_data!L:L,[1]raw_data!$A:$A,$B102)</f>
        <v>1.0663033605812799</v>
      </c>
      <c r="Q102" s="23">
        <f>SUMIFS([1]raw_data!M:M,[1]raw_data!$A:$A,$B102)</f>
        <v>175.81537900000001</v>
      </c>
      <c r="R102" s="24">
        <f>SUMIFS([1]raw_data!N:N,[1]raw_data!$A:$A,$B102)</f>
        <v>0.85831062670299696</v>
      </c>
      <c r="S102" s="23">
        <f>SUMIFS([1]raw_data!O:O,[1]raw_data!$A:$A,$B102)</f>
        <v>48.006720999999999</v>
      </c>
      <c r="T102" s="24">
        <f>SUMIFS([1]raw_data!P:P,[1]raw_data!$A:$A,$B102)</f>
        <v>0.431569343065693</v>
      </c>
      <c r="U102" s="23">
        <f>SUMIFS([1]raw_data!Q:Q,[1]raw_data!$A:$A,$B102)</f>
        <v>35.929881000000002</v>
      </c>
      <c r="V102" s="24">
        <f>SUMIFS([1]raw_data!R:R,[1]raw_data!$A:$A,$B102)</f>
        <v>0.26642335766423297</v>
      </c>
      <c r="W102" s="23">
        <f>SUMIFS([1]raw_data!S:S,[1]raw_data!$A:$A,$B102)</f>
        <v>310.61593699999997</v>
      </c>
      <c r="X102" s="24">
        <f>SUMIFS([1]raw_data!T:T,[1]raw_data!$A:$A,$B102)</f>
        <v>2.02790697674418</v>
      </c>
      <c r="Y102" s="23">
        <f>SUMIFS([1]raw_data!U:U,[1]raw_data!$A:$A,$B102)</f>
        <v>305.601069</v>
      </c>
      <c r="Z102" s="24">
        <f>SUMIFS([1]raw_data!V:V,[1]raw_data!$A:$A,$B102)</f>
        <v>2.0251162790697599</v>
      </c>
      <c r="AA102" s="21">
        <f t="shared" si="1"/>
        <v>242.68991339999997</v>
      </c>
    </row>
    <row r="103" spans="1:27" x14ac:dyDescent="0.25">
      <c r="A103" s="39"/>
      <c r="B103" s="21" t="s">
        <v>268</v>
      </c>
      <c r="C103" s="21" t="s">
        <v>133</v>
      </c>
      <c r="D103" s="21" t="s">
        <v>269</v>
      </c>
      <c r="E103" s="21" t="s">
        <v>19</v>
      </c>
      <c r="F103" s="22">
        <f>IFERROR(INDEX([1]raw_data!B:B,MATCH(B103,[1]raw_data!A:A,0)),0)</f>
        <v>1140.2</v>
      </c>
      <c r="G103" s="23">
        <f>SUMIFS([1]raw_data!C:C,[1]raw_data!$A:$A,$B103)</f>
        <v>231.40356800000001</v>
      </c>
      <c r="H103" s="24">
        <f>SUMIFS([1]raw_data!D:D,[1]raw_data!$A:$A,$B103)</f>
        <v>0.98612315698178599</v>
      </c>
      <c r="I103" s="23">
        <f>SUMIFS([1]raw_data!E:E,[1]raw_data!$A:$A,$B103)</f>
        <v>230.53042400000001</v>
      </c>
      <c r="J103" s="24">
        <f>SUMIFS([1]raw_data!F:F,[1]raw_data!$A:$A,$B103)</f>
        <v>0.98178664353859402</v>
      </c>
      <c r="K103" s="23">
        <f>SUMIFS([1]raw_data!G:G,[1]raw_data!$A:$A,$B103)</f>
        <v>321.243154</v>
      </c>
      <c r="L103" s="24">
        <f>SUMIFS([1]raw_data!H:H,[1]raw_data!$A:$A,$B103)</f>
        <v>0.85664639443961699</v>
      </c>
      <c r="M103" s="23">
        <f>SUMIFS([1]raw_data!I:I,[1]raw_data!$A:$A,$B103)</f>
        <v>50.377797000000001</v>
      </c>
      <c r="N103" s="24">
        <f>SUMIFS([1]raw_data!J:J,[1]raw_data!$A:$A,$B103)</f>
        <v>0.71416159860990402</v>
      </c>
      <c r="O103" s="23">
        <f>SUMIFS([1]raw_data!K:K,[1]raw_data!$A:$A,$B103)</f>
        <v>201.993709</v>
      </c>
      <c r="P103" s="24">
        <f>SUMIFS([1]raw_data!L:L,[1]raw_data!$A:$A,$B103)</f>
        <v>2.46608695652173</v>
      </c>
      <c r="Q103" s="23">
        <f>SUMIFS([1]raw_data!M:M,[1]raw_data!$A:$A,$B103)</f>
        <v>67.182072000000005</v>
      </c>
      <c r="R103" s="24">
        <f>SUMIFS([1]raw_data!N:N,[1]raw_data!$A:$A,$B103)</f>
        <v>1.12521739130434</v>
      </c>
      <c r="S103" s="23">
        <f>SUMIFS([1]raw_data!O:O,[1]raw_data!$A:$A,$B103)</f>
        <v>134.79012499999999</v>
      </c>
      <c r="T103" s="24">
        <f>SUMIFS([1]raw_data!P:P,[1]raw_data!$A:$A,$B103)</f>
        <v>1.6047535211267601</v>
      </c>
      <c r="U103" s="23">
        <f>SUMIFS([1]raw_data!Q:Q,[1]raw_data!$A:$A,$B103)</f>
        <v>134.28215900000001</v>
      </c>
      <c r="V103" s="24">
        <f>SUMIFS([1]raw_data!R:R,[1]raw_data!$A:$A,$B103)</f>
        <v>1.5950704225352099</v>
      </c>
      <c r="W103" s="23">
        <f>SUMIFS([1]raw_data!S:S,[1]raw_data!$A:$A,$B103)</f>
        <v>323.43570299999999</v>
      </c>
      <c r="X103" s="24">
        <f>SUMIFS([1]raw_data!T:T,[1]raw_data!$A:$A,$B103)</f>
        <v>0.39423942394239397</v>
      </c>
      <c r="Y103" s="23">
        <f>SUMIFS([1]raw_data!U:U,[1]raw_data!$A:$A,$B103)</f>
        <v>36.521901999999997</v>
      </c>
      <c r="Z103" s="24">
        <f>SUMIFS([1]raw_data!V:V,[1]raw_data!$A:$A,$B103)</f>
        <v>0.15751575157515699</v>
      </c>
      <c r="AA103" s="21">
        <f t="shared" si="1"/>
        <v>242.57325179999998</v>
      </c>
    </row>
    <row r="104" spans="1:27" x14ac:dyDescent="0.25">
      <c r="A104" s="39"/>
      <c r="B104" s="21" t="s">
        <v>114</v>
      </c>
      <c r="C104" s="21" t="s">
        <v>115</v>
      </c>
      <c r="D104" s="21" t="s">
        <v>116</v>
      </c>
      <c r="E104" s="21" t="s">
        <v>15</v>
      </c>
      <c r="F104" s="22">
        <f>IFERROR(INDEX([1]raw_data!B:B,MATCH(B104,[1]raw_data!A:A,0)),0)</f>
        <v>119.4</v>
      </c>
      <c r="G104" s="23">
        <f>SUMIFS([1]raw_data!C:C,[1]raw_data!$A:$A,$B104)</f>
        <v>78.823547000000005</v>
      </c>
      <c r="H104" s="24">
        <f>SUMIFS([1]raw_data!D:D,[1]raw_data!$A:$A,$B104)</f>
        <v>0.61788617886178798</v>
      </c>
      <c r="I104" s="23">
        <f>SUMIFS([1]raw_data!E:E,[1]raw_data!$A:$A,$B104)</f>
        <v>78.823547000000005</v>
      </c>
      <c r="J104" s="24">
        <f>SUMIFS([1]raw_data!F:F,[1]raw_data!$A:$A,$B104)</f>
        <v>0.61788617886178798</v>
      </c>
      <c r="K104" s="23">
        <f>SUMIFS([1]raw_data!G:G,[1]raw_data!$A:$A,$B104)</f>
        <v>0</v>
      </c>
      <c r="L104" s="24">
        <f>SUMIFS([1]raw_data!H:H,[1]raw_data!$A:$A,$B104)</f>
        <v>0</v>
      </c>
      <c r="M104" s="23">
        <f>SUMIFS([1]raw_data!I:I,[1]raw_data!$A:$A,$B104)</f>
        <v>0</v>
      </c>
      <c r="N104" s="24">
        <f>SUMIFS([1]raw_data!J:J,[1]raw_data!$A:$A,$B104)</f>
        <v>0</v>
      </c>
      <c r="O104" s="23">
        <f>SUMIFS([1]raw_data!K:K,[1]raw_data!$A:$A,$B104)</f>
        <v>1037.1702660000001</v>
      </c>
      <c r="P104" s="24">
        <f>SUMIFS([1]raw_data!L:L,[1]raw_data!$A:$A,$B104)</f>
        <v>1.1919999999999999</v>
      </c>
      <c r="Q104" s="23">
        <f>SUMIFS([1]raw_data!M:M,[1]raw_data!$A:$A,$B104)</f>
        <v>1037.1702660000001</v>
      </c>
      <c r="R104" s="24">
        <f>SUMIFS([1]raw_data!N:N,[1]raw_data!$A:$A,$B104)</f>
        <v>1.1919999999999999</v>
      </c>
      <c r="S104" s="23">
        <f>SUMIFS([1]raw_data!O:O,[1]raw_data!$A:$A,$B104)</f>
        <v>56.348610999999998</v>
      </c>
      <c r="T104" s="24">
        <f>SUMIFS([1]raw_data!P:P,[1]raw_data!$A:$A,$B104)</f>
        <v>1.0916666666666599</v>
      </c>
      <c r="U104" s="23">
        <f>SUMIFS([1]raw_data!Q:Q,[1]raw_data!$A:$A,$B104)</f>
        <v>6.7486110000000004</v>
      </c>
      <c r="V104" s="24">
        <f>SUMIFS([1]raw_data!R:R,[1]raw_data!$A:$A,$B104)</f>
        <v>5.83333333333333E-2</v>
      </c>
      <c r="W104" s="23">
        <f>SUMIFS([1]raw_data!S:S,[1]raw_data!$A:$A,$B104)</f>
        <v>26.214677999999999</v>
      </c>
      <c r="X104" s="24">
        <f>SUMIFS([1]raw_data!T:T,[1]raw_data!$A:$A,$B104)</f>
        <v>0.83486238532110002</v>
      </c>
      <c r="Y104" s="23">
        <f>SUMIFS([1]raw_data!U:U,[1]raw_data!$A:$A,$B104)</f>
        <v>26.214677999999999</v>
      </c>
      <c r="Z104" s="24">
        <f>SUMIFS([1]raw_data!V:V,[1]raw_data!$A:$A,$B104)</f>
        <v>0.83486238532110002</v>
      </c>
      <c r="AA104" s="21">
        <f t="shared" si="1"/>
        <v>239.71142040000001</v>
      </c>
    </row>
    <row r="105" spans="1:27" x14ac:dyDescent="0.25">
      <c r="A105" s="39"/>
      <c r="B105" s="21" t="s">
        <v>196</v>
      </c>
      <c r="C105" s="21" t="s">
        <v>197</v>
      </c>
      <c r="D105" s="21" t="s">
        <v>198</v>
      </c>
      <c r="E105" s="21" t="s">
        <v>15</v>
      </c>
      <c r="F105" s="22">
        <f>IFERROR(INDEX([1]raw_data!B:B,MATCH(B105,[1]raw_data!A:A,0)),0)</f>
        <v>988.75</v>
      </c>
      <c r="G105" s="23">
        <f>SUMIFS([1]raw_data!C:C,[1]raw_data!$A:$A,$B105)</f>
        <v>519.32807400000002</v>
      </c>
      <c r="H105" s="24">
        <f>SUMIFS([1]raw_data!D:D,[1]raw_data!$A:$A,$B105)</f>
        <v>1.0523665659617301</v>
      </c>
      <c r="I105" s="23">
        <f>SUMIFS([1]raw_data!E:E,[1]raw_data!$A:$A,$B105)</f>
        <v>519.32807400000002</v>
      </c>
      <c r="J105" s="24">
        <f>SUMIFS([1]raw_data!F:F,[1]raw_data!$A:$A,$B105)</f>
        <v>1.0523665659617301</v>
      </c>
      <c r="K105" s="23">
        <f>SUMIFS([1]raw_data!G:G,[1]raw_data!$A:$A,$B105)</f>
        <v>61.108294000000001</v>
      </c>
      <c r="L105" s="24">
        <f>SUMIFS([1]raw_data!H:H,[1]raw_data!$A:$A,$B105)</f>
        <v>0.22365805168986</v>
      </c>
      <c r="M105" s="23">
        <f>SUMIFS([1]raw_data!I:I,[1]raw_data!$A:$A,$B105)</f>
        <v>42.260472</v>
      </c>
      <c r="N105" s="24">
        <f>SUMIFS([1]raw_data!J:J,[1]raw_data!$A:$A,$B105)</f>
        <v>0.181908548707753</v>
      </c>
      <c r="O105" s="23">
        <f>SUMIFS([1]raw_data!K:K,[1]raw_data!$A:$A,$B105)</f>
        <v>461.89022599999998</v>
      </c>
      <c r="P105" s="24">
        <f>SUMIFS([1]raw_data!L:L,[1]raw_data!$A:$A,$B105)</f>
        <v>0.66633366633366597</v>
      </c>
      <c r="Q105" s="23">
        <f>SUMIFS([1]raw_data!M:M,[1]raw_data!$A:$A,$B105)</f>
        <v>20.522977000000001</v>
      </c>
      <c r="R105" s="24">
        <f>SUMIFS([1]raw_data!N:N,[1]raw_data!$A:$A,$B105)</f>
        <v>0.121878121878121</v>
      </c>
      <c r="S105" s="23">
        <f>SUMIFS([1]raw_data!O:O,[1]raw_data!$A:$A,$B105)</f>
        <v>99.647908999999999</v>
      </c>
      <c r="T105" s="24">
        <f>SUMIFS([1]raw_data!P:P,[1]raw_data!$A:$A,$B105)</f>
        <v>0.69167523124357599</v>
      </c>
      <c r="U105" s="23">
        <f>SUMIFS([1]raw_data!Q:Q,[1]raw_data!$A:$A,$B105)</f>
        <v>93.942667999999998</v>
      </c>
      <c r="V105" s="24">
        <f>SUMIFS([1]raw_data!R:R,[1]raw_data!$A:$A,$B105)</f>
        <v>0.67934224049331904</v>
      </c>
      <c r="W105" s="23">
        <f>SUMIFS([1]raw_data!S:S,[1]raw_data!$A:$A,$B105)</f>
        <v>40.932270000000003</v>
      </c>
      <c r="X105" s="24">
        <f>SUMIFS([1]raw_data!T:T,[1]raw_data!$A:$A,$B105)</f>
        <v>0.13584117032392801</v>
      </c>
      <c r="Y105" s="23">
        <f>SUMIFS([1]raw_data!U:U,[1]raw_data!$A:$A,$B105)</f>
        <v>40.932270000000003</v>
      </c>
      <c r="Z105" s="24">
        <f>SUMIFS([1]raw_data!V:V,[1]raw_data!$A:$A,$B105)</f>
        <v>0.13584117032392801</v>
      </c>
      <c r="AA105" s="21">
        <f t="shared" si="1"/>
        <v>236.58135460000003</v>
      </c>
    </row>
    <row r="106" spans="1:27" x14ac:dyDescent="0.25">
      <c r="A106" s="39"/>
      <c r="B106" s="21" t="s">
        <v>147</v>
      </c>
      <c r="C106" s="21" t="s">
        <v>29</v>
      </c>
      <c r="D106" s="21" t="s">
        <v>148</v>
      </c>
      <c r="E106" s="21" t="s">
        <v>31</v>
      </c>
      <c r="F106" s="22">
        <f>IFERROR(INDEX([1]raw_data!B:B,MATCH(B106,[1]raw_data!A:A,0)),0)</f>
        <v>1056</v>
      </c>
      <c r="G106" s="23">
        <f>SUMIFS([1]raw_data!C:C,[1]raw_data!$A:$A,$B106)</f>
        <v>321.18407999999999</v>
      </c>
      <c r="H106" s="24">
        <f>SUMIFS([1]raw_data!D:D,[1]raw_data!$A:$A,$B106)</f>
        <v>0.54536771728748801</v>
      </c>
      <c r="I106" s="23">
        <f>SUMIFS([1]raw_data!E:E,[1]raw_data!$A:$A,$B106)</f>
        <v>105.92225999999999</v>
      </c>
      <c r="J106" s="24">
        <f>SUMIFS([1]raw_data!F:F,[1]raw_data!$A:$A,$B106)</f>
        <v>0.44317096466093597</v>
      </c>
      <c r="K106" s="23">
        <f>SUMIFS([1]raw_data!G:G,[1]raw_data!$A:$A,$B106)</f>
        <v>153.20786899999999</v>
      </c>
      <c r="L106" s="24">
        <f>SUMIFS([1]raw_data!H:H,[1]raw_data!$A:$A,$B106)</f>
        <v>3.1434034416826</v>
      </c>
      <c r="M106" s="23">
        <f>SUMIFS([1]raw_data!I:I,[1]raw_data!$A:$A,$B106)</f>
        <v>125.70417399999999</v>
      </c>
      <c r="N106" s="24">
        <f>SUMIFS([1]raw_data!J:J,[1]raw_data!$A:$A,$B106)</f>
        <v>2.1300191204588899</v>
      </c>
      <c r="O106" s="23">
        <f>SUMIFS([1]raw_data!K:K,[1]raw_data!$A:$A,$B106)</f>
        <v>4.6986990000000004</v>
      </c>
      <c r="P106" s="24">
        <f>SUMIFS([1]raw_data!L:L,[1]raw_data!$A:$A,$B106)</f>
        <v>8.1826831588962798E-2</v>
      </c>
      <c r="Q106" s="23">
        <f>SUMIFS([1]raw_data!M:M,[1]raw_data!$A:$A,$B106)</f>
        <v>4.6986990000000004</v>
      </c>
      <c r="R106" s="24">
        <f>SUMIFS([1]raw_data!N:N,[1]raw_data!$A:$A,$B106)</f>
        <v>8.1826831588962798E-2</v>
      </c>
      <c r="S106" s="23">
        <f>SUMIFS([1]raw_data!O:O,[1]raw_data!$A:$A,$B106)</f>
        <v>145.69427099999999</v>
      </c>
      <c r="T106" s="24">
        <f>SUMIFS([1]raw_data!P:P,[1]raw_data!$A:$A,$B106)</f>
        <v>1.21186440677966</v>
      </c>
      <c r="U106" s="23">
        <f>SUMIFS([1]raw_data!Q:Q,[1]raw_data!$A:$A,$B106)</f>
        <v>145.69427099999999</v>
      </c>
      <c r="V106" s="24">
        <f>SUMIFS([1]raw_data!R:R,[1]raw_data!$A:$A,$B106)</f>
        <v>1.21186440677966</v>
      </c>
      <c r="W106" s="23">
        <f>SUMIFS([1]raw_data!S:S,[1]raw_data!$A:$A,$B106)</f>
        <v>543.74017900000001</v>
      </c>
      <c r="X106" s="24">
        <f>SUMIFS([1]raw_data!T:T,[1]raw_data!$A:$A,$B106)</f>
        <v>1.15645013723696</v>
      </c>
      <c r="Y106" s="23">
        <f>SUMIFS([1]raw_data!U:U,[1]raw_data!$A:$A,$B106)</f>
        <v>543.74017900000001</v>
      </c>
      <c r="Z106" s="24">
        <f>SUMIFS([1]raw_data!V:V,[1]raw_data!$A:$A,$B106)</f>
        <v>1.15645013723696</v>
      </c>
      <c r="AA106" s="21">
        <f t="shared" si="1"/>
        <v>233.70501960000001</v>
      </c>
    </row>
    <row r="107" spans="1:27" x14ac:dyDescent="0.25">
      <c r="A107" s="39"/>
      <c r="B107" s="21" t="s">
        <v>462</v>
      </c>
      <c r="C107" s="21" t="s">
        <v>454</v>
      </c>
      <c r="D107" s="21" t="s">
        <v>463</v>
      </c>
      <c r="E107" s="21" t="s">
        <v>65</v>
      </c>
      <c r="F107" s="22">
        <f>IFERROR(INDEX([1]raw_data!B:B,MATCH(B107,[1]raw_data!A:A,0)),0)</f>
        <v>459</v>
      </c>
      <c r="G107" s="23">
        <f>SUMIFS([1]raw_data!C:C,[1]raw_data!$A:$A,$B107)</f>
        <v>2.8603100000000001</v>
      </c>
      <c r="H107" s="24">
        <f>SUMIFS([1]raw_data!D:D,[1]raw_data!$A:$A,$B107)</f>
        <v>2.2172949002217199E-3</v>
      </c>
      <c r="I107" s="23">
        <f>SUMIFS([1]raw_data!E:E,[1]raw_data!$A:$A,$B107)</f>
        <v>0</v>
      </c>
      <c r="J107" s="24">
        <f>SUMIFS([1]raw_data!F:F,[1]raw_data!$A:$A,$B107)</f>
        <v>0</v>
      </c>
      <c r="K107" s="23">
        <f>SUMIFS([1]raw_data!G:G,[1]raw_data!$A:$A,$B107)</f>
        <v>4.9998180000000003</v>
      </c>
      <c r="L107" s="24">
        <f>SUMIFS([1]raw_data!H:H,[1]raw_data!$A:$A,$B107)</f>
        <v>4.3956043956043904E-3</v>
      </c>
      <c r="M107" s="23">
        <f>SUMIFS([1]raw_data!I:I,[1]raw_data!$A:$A,$B107)</f>
        <v>0.45203300000000002</v>
      </c>
      <c r="N107" s="24">
        <f>SUMIFS([1]raw_data!J:J,[1]raw_data!$A:$A,$B107)</f>
        <v>2.19780219780219E-3</v>
      </c>
      <c r="O107" s="23">
        <f>SUMIFS([1]raw_data!K:K,[1]raw_data!$A:$A,$B107)</f>
        <v>33.851056</v>
      </c>
      <c r="P107" s="24">
        <f>SUMIFS([1]raw_data!L:L,[1]raw_data!$A:$A,$B107)</f>
        <v>0.20568927789934299</v>
      </c>
      <c r="Q107" s="23">
        <f>SUMIFS([1]raw_data!M:M,[1]raw_data!$A:$A,$B107)</f>
        <v>25.945550000000001</v>
      </c>
      <c r="R107" s="24">
        <f>SUMIFS([1]raw_data!N:N,[1]raw_data!$A:$A,$B107)</f>
        <v>0.150984682713347</v>
      </c>
      <c r="S107" s="23">
        <f>SUMIFS([1]raw_data!O:O,[1]raw_data!$A:$A,$B107)</f>
        <v>613.980591</v>
      </c>
      <c r="T107" s="24">
        <f>SUMIFS([1]raw_data!P:P,[1]raw_data!$A:$A,$B107)</f>
        <v>0.87445887445887405</v>
      </c>
      <c r="U107" s="23">
        <f>SUMIFS([1]raw_data!Q:Q,[1]raw_data!$A:$A,$B107)</f>
        <v>0.517424</v>
      </c>
      <c r="V107" s="24">
        <f>SUMIFS([1]raw_data!R:R,[1]raw_data!$A:$A,$B107)</f>
        <v>6.4935064935064896E-3</v>
      </c>
      <c r="W107" s="23">
        <f>SUMIFS([1]raw_data!S:S,[1]raw_data!$A:$A,$B107)</f>
        <v>492.89728100000002</v>
      </c>
      <c r="X107" s="24">
        <f>SUMIFS([1]raw_data!T:T,[1]raw_data!$A:$A,$B107)</f>
        <v>0.45708154506437698</v>
      </c>
      <c r="Y107" s="23">
        <f>SUMIFS([1]raw_data!U:U,[1]raw_data!$A:$A,$B107)</f>
        <v>2.6805430000000001</v>
      </c>
      <c r="Z107" s="24">
        <f>SUMIFS([1]raw_data!V:V,[1]raw_data!$A:$A,$B107)</f>
        <v>3.4334763948497798E-2</v>
      </c>
      <c r="AA107" s="21">
        <f t="shared" si="1"/>
        <v>229.7178112</v>
      </c>
    </row>
    <row r="108" spans="1:27" x14ac:dyDescent="0.25">
      <c r="A108" s="39"/>
      <c r="B108" s="21" t="s">
        <v>127</v>
      </c>
      <c r="C108" s="21" t="s">
        <v>128</v>
      </c>
      <c r="D108" s="21" t="s">
        <v>129</v>
      </c>
      <c r="E108" s="21" t="s">
        <v>15</v>
      </c>
      <c r="F108" s="22">
        <f>IFERROR(INDEX([1]raw_data!B:B,MATCH(B108,[1]raw_data!A:A,0)),0)</f>
        <v>1080.5555549999999</v>
      </c>
      <c r="G108" s="23">
        <f>SUMIFS([1]raw_data!C:C,[1]raw_data!$A:$A,$B108)</f>
        <v>809.63928899999996</v>
      </c>
      <c r="H108" s="24">
        <f>SUMIFS([1]raw_data!D:D,[1]raw_data!$A:$A,$B108)</f>
        <v>1.1122641509433899</v>
      </c>
      <c r="I108" s="23">
        <f>SUMIFS([1]raw_data!E:E,[1]raw_data!$A:$A,$B108)</f>
        <v>767.66959699999995</v>
      </c>
      <c r="J108" s="24">
        <f>SUMIFS([1]raw_data!F:F,[1]raw_data!$A:$A,$B108)</f>
        <v>1.09245283018867</v>
      </c>
      <c r="K108" s="23">
        <f>SUMIFS([1]raw_data!G:G,[1]raw_data!$A:$A,$B108)</f>
        <v>73.691917000000004</v>
      </c>
      <c r="L108" s="24">
        <f>SUMIFS([1]raw_data!H:H,[1]raw_data!$A:$A,$B108)</f>
        <v>0.158135283363802</v>
      </c>
      <c r="M108" s="23">
        <f>SUMIFS([1]raw_data!I:I,[1]raw_data!$A:$A,$B108)</f>
        <v>42.336725999999999</v>
      </c>
      <c r="N108" s="24">
        <f>SUMIFS([1]raw_data!J:J,[1]raw_data!$A:$A,$B108)</f>
        <v>0.122486288848263</v>
      </c>
      <c r="O108" s="23">
        <f>SUMIFS([1]raw_data!K:K,[1]raw_data!$A:$A,$B108)</f>
        <v>71.744871000000003</v>
      </c>
      <c r="P108" s="24">
        <f>SUMIFS([1]raw_data!L:L,[1]raw_data!$A:$A,$B108)</f>
        <v>0.27014652014652002</v>
      </c>
      <c r="Q108" s="23">
        <f>SUMIFS([1]raw_data!M:M,[1]raw_data!$A:$A,$B108)</f>
        <v>43.205204000000002</v>
      </c>
      <c r="R108" s="24">
        <f>SUMIFS([1]raw_data!N:N,[1]raw_data!$A:$A,$B108)</f>
        <v>0.19047619047618999</v>
      </c>
      <c r="S108" s="23">
        <f>SUMIFS([1]raw_data!O:O,[1]raw_data!$A:$A,$B108)</f>
        <v>83.923342000000005</v>
      </c>
      <c r="T108" s="24">
        <f>SUMIFS([1]raw_data!P:P,[1]raw_data!$A:$A,$B108)</f>
        <v>0.40810556079170501</v>
      </c>
      <c r="U108" s="23">
        <f>SUMIFS([1]raw_data!Q:Q,[1]raw_data!$A:$A,$B108)</f>
        <v>83.923342000000005</v>
      </c>
      <c r="V108" s="24">
        <f>SUMIFS([1]raw_data!R:R,[1]raw_data!$A:$A,$B108)</f>
        <v>0.40810556079170501</v>
      </c>
      <c r="W108" s="23">
        <f>SUMIFS([1]raw_data!S:S,[1]raw_data!$A:$A,$B108)</f>
        <v>108.711893</v>
      </c>
      <c r="X108" s="24">
        <f>SUMIFS([1]raw_data!T:T,[1]raw_data!$A:$A,$B108)</f>
        <v>0.374769797421731</v>
      </c>
      <c r="Y108" s="23">
        <f>SUMIFS([1]raw_data!U:U,[1]raw_data!$A:$A,$B108)</f>
        <v>107.61727999999999</v>
      </c>
      <c r="Z108" s="24">
        <f>SUMIFS([1]raw_data!V:V,[1]raw_data!$A:$A,$B108)</f>
        <v>0.373848987108655</v>
      </c>
      <c r="AA108" s="21">
        <f t="shared" si="1"/>
        <v>229.54226239999997</v>
      </c>
    </row>
    <row r="109" spans="1:27" x14ac:dyDescent="0.25">
      <c r="A109" s="39"/>
      <c r="B109" s="21" t="s">
        <v>125</v>
      </c>
      <c r="C109" s="21" t="s">
        <v>17</v>
      </c>
      <c r="D109" s="21" t="s">
        <v>126</v>
      </c>
      <c r="E109" s="21" t="s">
        <v>19</v>
      </c>
      <c r="F109" s="22">
        <f>IFERROR(INDEX([1]raw_data!B:B,MATCH(B109,[1]raw_data!A:A,0)),0)</f>
        <v>1019.5</v>
      </c>
      <c r="G109" s="23">
        <f>SUMIFS([1]raw_data!C:C,[1]raw_data!$A:$A,$B109)</f>
        <v>178.919974</v>
      </c>
      <c r="H109" s="24">
        <f>SUMIFS([1]raw_data!D:D,[1]raw_data!$A:$A,$B109)</f>
        <v>1.0380333951762499</v>
      </c>
      <c r="I109" s="23">
        <f>SUMIFS([1]raw_data!E:E,[1]raw_data!$A:$A,$B109)</f>
        <v>178.919974</v>
      </c>
      <c r="J109" s="24">
        <f>SUMIFS([1]raw_data!F:F,[1]raw_data!$A:$A,$B109)</f>
        <v>1.0380333951762499</v>
      </c>
      <c r="K109" s="23">
        <f>SUMIFS([1]raw_data!G:G,[1]raw_data!$A:$A,$B109)</f>
        <v>638.49035800000001</v>
      </c>
      <c r="L109" s="24">
        <f>SUMIFS([1]raw_data!H:H,[1]raw_data!$A:$A,$B109)</f>
        <v>2.0253411306042799</v>
      </c>
      <c r="M109" s="23">
        <f>SUMIFS([1]raw_data!I:I,[1]raw_data!$A:$A,$B109)</f>
        <v>636.813265</v>
      </c>
      <c r="N109" s="24">
        <f>SUMIFS([1]raw_data!J:J,[1]raw_data!$A:$A,$B109)</f>
        <v>2.0233918128654902</v>
      </c>
      <c r="O109" s="23">
        <f>SUMIFS([1]raw_data!K:K,[1]raw_data!$A:$A,$B109)</f>
        <v>154.49297300000001</v>
      </c>
      <c r="P109" s="24">
        <f>SUMIFS([1]raw_data!L:L,[1]raw_data!$A:$A,$B109)</f>
        <v>1.0253164556962</v>
      </c>
      <c r="Q109" s="23">
        <f>SUMIFS([1]raw_data!M:M,[1]raw_data!$A:$A,$B109)</f>
        <v>154.49297300000001</v>
      </c>
      <c r="R109" s="24">
        <f>SUMIFS([1]raw_data!N:N,[1]raw_data!$A:$A,$B109)</f>
        <v>1.0253164556962</v>
      </c>
      <c r="S109" s="23">
        <f>SUMIFS([1]raw_data!O:O,[1]raw_data!$A:$A,$B109)</f>
        <v>141.56959900000001</v>
      </c>
      <c r="T109" s="24">
        <f>SUMIFS([1]raw_data!P:P,[1]raw_data!$A:$A,$B109)</f>
        <v>1.0048875855327399</v>
      </c>
      <c r="U109" s="23">
        <f>SUMIFS([1]raw_data!Q:Q,[1]raw_data!$A:$A,$B109)</f>
        <v>141.56959900000001</v>
      </c>
      <c r="V109" s="24">
        <f>SUMIFS([1]raw_data!R:R,[1]raw_data!$A:$A,$B109)</f>
        <v>1.0048875855327399</v>
      </c>
      <c r="W109" s="23">
        <f>SUMIFS([1]raw_data!S:S,[1]raw_data!$A:$A,$B109)</f>
        <v>3.5634999999999999</v>
      </c>
      <c r="X109" s="24">
        <f>SUMIFS([1]raw_data!T:T,[1]raw_data!$A:$A,$B109)</f>
        <v>2.8815368196371299E-2</v>
      </c>
      <c r="Y109" s="23">
        <f>SUMIFS([1]raw_data!U:U,[1]raw_data!$A:$A,$B109)</f>
        <v>3.5634999999999999</v>
      </c>
      <c r="Z109" s="24">
        <f>SUMIFS([1]raw_data!V:V,[1]raw_data!$A:$A,$B109)</f>
        <v>2.8815368196371299E-2</v>
      </c>
      <c r="AA109" s="21">
        <f t="shared" si="1"/>
        <v>223.4072808</v>
      </c>
    </row>
    <row r="110" spans="1:27" x14ac:dyDescent="0.25">
      <c r="A110" s="39"/>
      <c r="B110" s="21" t="s">
        <v>244</v>
      </c>
      <c r="C110" s="21" t="s">
        <v>231</v>
      </c>
      <c r="D110" s="21" t="s">
        <v>245</v>
      </c>
      <c r="E110" s="21" t="s">
        <v>15</v>
      </c>
      <c r="F110" s="22">
        <f>IFERROR(INDEX([1]raw_data!B:B,MATCH(B110,[1]raw_data!A:A,0)),0)</f>
        <v>1593</v>
      </c>
      <c r="G110" s="23">
        <f>SUMIFS([1]raw_data!C:C,[1]raw_data!$A:$A,$B110)</f>
        <v>72.150524000000004</v>
      </c>
      <c r="H110" s="24">
        <f>SUMIFS([1]raw_data!D:D,[1]raw_data!$A:$A,$B110)</f>
        <v>0.17409766454352399</v>
      </c>
      <c r="I110" s="23">
        <f>SUMIFS([1]raw_data!E:E,[1]raw_data!$A:$A,$B110)</f>
        <v>60.521689000000002</v>
      </c>
      <c r="J110" s="24">
        <f>SUMIFS([1]raw_data!F:F,[1]raw_data!$A:$A,$B110)</f>
        <v>0.15852795470629799</v>
      </c>
      <c r="K110" s="23">
        <f>SUMIFS([1]raw_data!G:G,[1]raw_data!$A:$A,$B110)</f>
        <v>458.93270100000001</v>
      </c>
      <c r="L110" s="24">
        <f>SUMIFS([1]raw_data!H:H,[1]raw_data!$A:$A,$B110)</f>
        <v>0.48343904157857598</v>
      </c>
      <c r="M110" s="23">
        <f>SUMIFS([1]raw_data!I:I,[1]raw_data!$A:$A,$B110)</f>
        <v>51.187963000000003</v>
      </c>
      <c r="N110" s="24">
        <f>SUMIFS([1]raw_data!J:J,[1]raw_data!$A:$A,$B110)</f>
        <v>0.17477096546863899</v>
      </c>
      <c r="O110" s="23">
        <f>SUMIFS([1]raw_data!K:K,[1]raw_data!$A:$A,$B110)</f>
        <v>107.012092</v>
      </c>
      <c r="P110" s="24">
        <f>SUMIFS([1]raw_data!L:L,[1]raw_data!$A:$A,$B110)</f>
        <v>0.25123152709359597</v>
      </c>
      <c r="Q110" s="23">
        <f>SUMIFS([1]raw_data!M:M,[1]raw_data!$A:$A,$B110)</f>
        <v>49.510579</v>
      </c>
      <c r="R110" s="24">
        <f>SUMIFS([1]raw_data!N:N,[1]raw_data!$A:$A,$B110)</f>
        <v>0.22378606615059801</v>
      </c>
      <c r="S110" s="23">
        <f>SUMIFS([1]raw_data!O:O,[1]raw_data!$A:$A,$B110)</f>
        <v>392.97301900000002</v>
      </c>
      <c r="T110" s="24">
        <f>SUMIFS([1]raw_data!P:P,[1]raw_data!$A:$A,$B110)</f>
        <v>2.6547054840893698</v>
      </c>
      <c r="U110" s="23">
        <f>SUMIFS([1]raw_data!Q:Q,[1]raw_data!$A:$A,$B110)</f>
        <v>357.43757599999998</v>
      </c>
      <c r="V110" s="24">
        <f>SUMIFS([1]raw_data!R:R,[1]raw_data!$A:$A,$B110)</f>
        <v>2.5890318212593</v>
      </c>
      <c r="W110" s="23">
        <f>SUMIFS([1]raw_data!S:S,[1]raw_data!$A:$A,$B110)</f>
        <v>54.318731</v>
      </c>
      <c r="X110" s="24">
        <f>SUMIFS([1]raw_data!T:T,[1]raw_data!$A:$A,$B110)</f>
        <v>0.27024608501118502</v>
      </c>
      <c r="Y110" s="23">
        <f>SUMIFS([1]raw_data!U:U,[1]raw_data!$A:$A,$B110)</f>
        <v>51.207680000000003</v>
      </c>
      <c r="Z110" s="24">
        <f>SUMIFS([1]raw_data!V:V,[1]raw_data!$A:$A,$B110)</f>
        <v>0.266666666666666</v>
      </c>
      <c r="AA110" s="21">
        <f t="shared" si="1"/>
        <v>217.07741340000001</v>
      </c>
    </row>
    <row r="111" spans="1:27" x14ac:dyDescent="0.25">
      <c r="A111" s="39"/>
      <c r="B111" s="21" t="s">
        <v>132</v>
      </c>
      <c r="C111" s="21" t="s">
        <v>133</v>
      </c>
      <c r="D111" s="21" t="s">
        <v>134</v>
      </c>
      <c r="E111" s="21" t="s">
        <v>19</v>
      </c>
      <c r="F111" s="22">
        <f>IFERROR(INDEX([1]raw_data!B:B,MATCH(B111,[1]raw_data!A:A,0)),0)</f>
        <v>70</v>
      </c>
      <c r="G111" s="23">
        <f>SUMIFS([1]raw_data!C:C,[1]raw_data!$A:$A,$B111)</f>
        <v>248.72991099999999</v>
      </c>
      <c r="H111" s="24">
        <f>SUMIFS([1]raw_data!D:D,[1]raw_data!$A:$A,$B111)</f>
        <v>1.6716417910447701</v>
      </c>
      <c r="I111" s="23">
        <f>SUMIFS([1]raw_data!E:E,[1]raw_data!$A:$A,$B111)</f>
        <v>248.72991099999999</v>
      </c>
      <c r="J111" s="24">
        <f>SUMIFS([1]raw_data!F:F,[1]raw_data!$A:$A,$B111)</f>
        <v>1.6716417910447701</v>
      </c>
      <c r="K111" s="23">
        <f>SUMIFS([1]raw_data!G:G,[1]raw_data!$A:$A,$B111)</f>
        <v>749.26772800000003</v>
      </c>
      <c r="L111" s="24">
        <f>SUMIFS([1]raw_data!H:H,[1]raw_data!$A:$A,$B111)</f>
        <v>1.05633802816901</v>
      </c>
      <c r="M111" s="23">
        <f>SUMIFS([1]raw_data!I:I,[1]raw_data!$A:$A,$B111)</f>
        <v>749.26772800000003</v>
      </c>
      <c r="N111" s="24">
        <f>SUMIFS([1]raw_data!J:J,[1]raw_data!$A:$A,$B111)</f>
        <v>1.05633802816901</v>
      </c>
      <c r="O111" s="23">
        <f>SUMIFS([1]raw_data!K:K,[1]raw_data!$A:$A,$B111)</f>
        <v>9.7314539999999994</v>
      </c>
      <c r="P111" s="24">
        <f>SUMIFS([1]raw_data!L:L,[1]raw_data!$A:$A,$B111)</f>
        <v>5.6338028169014003E-2</v>
      </c>
      <c r="Q111" s="23">
        <f>SUMIFS([1]raw_data!M:M,[1]raw_data!$A:$A,$B111)</f>
        <v>8.884976</v>
      </c>
      <c r="R111" s="24">
        <f>SUMIFS([1]raw_data!N:N,[1]raw_data!$A:$A,$B111)</f>
        <v>4.22535211267605E-2</v>
      </c>
      <c r="S111" s="23">
        <f>SUMIFS([1]raw_data!O:O,[1]raw_data!$A:$A,$B111)</f>
        <v>1.8807510000000001</v>
      </c>
      <c r="T111" s="24">
        <f>SUMIFS([1]raw_data!P:P,[1]raw_data!$A:$A,$B111)</f>
        <v>2.8169014084507001E-2</v>
      </c>
      <c r="U111" s="23">
        <f>SUMIFS([1]raw_data!Q:Q,[1]raw_data!$A:$A,$B111)</f>
        <v>1.8807510000000001</v>
      </c>
      <c r="V111" s="24">
        <f>SUMIFS([1]raw_data!R:R,[1]raw_data!$A:$A,$B111)</f>
        <v>2.8169014084507001E-2</v>
      </c>
      <c r="W111" s="23">
        <f>SUMIFS([1]raw_data!S:S,[1]raw_data!$A:$A,$B111)</f>
        <v>8.3200479999999999</v>
      </c>
      <c r="X111" s="24">
        <f>SUMIFS([1]raw_data!T:T,[1]raw_data!$A:$A,$B111)</f>
        <v>4.3478260869565202E-2</v>
      </c>
      <c r="Y111" s="23">
        <f>SUMIFS([1]raw_data!U:U,[1]raw_data!$A:$A,$B111)</f>
        <v>8.3200479999999999</v>
      </c>
      <c r="Z111" s="24">
        <f>SUMIFS([1]raw_data!V:V,[1]raw_data!$A:$A,$B111)</f>
        <v>4.3478260869565202E-2</v>
      </c>
      <c r="AA111" s="21">
        <f t="shared" si="1"/>
        <v>203.58597840000002</v>
      </c>
    </row>
    <row r="112" spans="1:27" x14ac:dyDescent="0.25">
      <c r="A112" s="39"/>
      <c r="B112" s="21" t="s">
        <v>347</v>
      </c>
      <c r="C112" s="21" t="s">
        <v>211</v>
      </c>
      <c r="D112" s="21" t="s">
        <v>348</v>
      </c>
      <c r="E112" s="21" t="s">
        <v>76</v>
      </c>
      <c r="F112" s="22">
        <f>IFERROR(INDEX([1]raw_data!B:B,MATCH(B112,[1]raw_data!A:A,0)),0)</f>
        <v>301.11111099999999</v>
      </c>
      <c r="G112" s="23">
        <f>SUMIFS([1]raw_data!C:C,[1]raw_data!$A:$A,$B112)</f>
        <v>208.15699799999999</v>
      </c>
      <c r="H112" s="24">
        <f>SUMIFS([1]raw_data!D:D,[1]raw_data!$A:$A,$B112)</f>
        <v>0.32781456953642302</v>
      </c>
      <c r="I112" s="23">
        <f>SUMIFS([1]raw_data!E:E,[1]raw_data!$A:$A,$B112)</f>
        <v>45.901795</v>
      </c>
      <c r="J112" s="24">
        <f>SUMIFS([1]raw_data!F:F,[1]raw_data!$A:$A,$B112)</f>
        <v>0.26821192052980097</v>
      </c>
      <c r="K112" s="23">
        <f>SUMIFS([1]raw_data!G:G,[1]raw_data!$A:$A,$B112)</f>
        <v>22.235533</v>
      </c>
      <c r="L112" s="24">
        <f>SUMIFS([1]raw_data!H:H,[1]raw_data!$A:$A,$B112)</f>
        <v>6.3333333333333297E-2</v>
      </c>
      <c r="M112" s="23">
        <f>SUMIFS([1]raw_data!I:I,[1]raw_data!$A:$A,$B112)</f>
        <v>22.235533</v>
      </c>
      <c r="N112" s="24">
        <f>SUMIFS([1]raw_data!J:J,[1]raw_data!$A:$A,$B112)</f>
        <v>6.3333333333333297E-2</v>
      </c>
      <c r="O112" s="23">
        <f>SUMIFS([1]raw_data!K:K,[1]raw_data!$A:$A,$B112)</f>
        <v>299.79972099999998</v>
      </c>
      <c r="P112" s="24">
        <f>SUMIFS([1]raw_data!L:L,[1]raw_data!$A:$A,$B112)</f>
        <v>2.0299999999999998</v>
      </c>
      <c r="Q112" s="23">
        <f>SUMIFS([1]raw_data!M:M,[1]raw_data!$A:$A,$B112)</f>
        <v>294.83905499999997</v>
      </c>
      <c r="R112" s="24">
        <f>SUMIFS([1]raw_data!N:N,[1]raw_data!$A:$A,$B112)</f>
        <v>1.99</v>
      </c>
      <c r="S112" s="23">
        <f>SUMIFS([1]raw_data!O:O,[1]raw_data!$A:$A,$B112)</f>
        <v>85.105553999999998</v>
      </c>
      <c r="T112" s="24">
        <f>SUMIFS([1]raw_data!P:P,[1]raw_data!$A:$A,$B112)</f>
        <v>0.198019801980198</v>
      </c>
      <c r="U112" s="23">
        <f>SUMIFS([1]raw_data!Q:Q,[1]raw_data!$A:$A,$B112)</f>
        <v>19.719525999999998</v>
      </c>
      <c r="V112" s="24">
        <f>SUMIFS([1]raw_data!R:R,[1]raw_data!$A:$A,$B112)</f>
        <v>0.16171617161716101</v>
      </c>
      <c r="W112" s="23">
        <f>SUMIFS([1]raw_data!S:S,[1]raw_data!$A:$A,$B112)</f>
        <v>391.40355399999999</v>
      </c>
      <c r="X112" s="24">
        <f>SUMIFS([1]raw_data!T:T,[1]raw_data!$A:$A,$B112)</f>
        <v>0.40333333333333299</v>
      </c>
      <c r="Y112" s="23">
        <f>SUMIFS([1]raw_data!U:U,[1]raw_data!$A:$A,$B112)</f>
        <v>10.427777000000001</v>
      </c>
      <c r="Z112" s="24">
        <f>SUMIFS([1]raw_data!V:V,[1]raw_data!$A:$A,$B112)</f>
        <v>0.05</v>
      </c>
      <c r="AA112" s="21">
        <f t="shared" si="1"/>
        <v>201.34027199999997</v>
      </c>
    </row>
    <row r="113" spans="1:27" x14ac:dyDescent="0.25">
      <c r="A113" s="39"/>
      <c r="B113" s="21" t="s">
        <v>324</v>
      </c>
      <c r="C113" s="21" t="s">
        <v>95</v>
      </c>
      <c r="D113" s="21" t="s">
        <v>325</v>
      </c>
      <c r="E113" s="21" t="s">
        <v>19</v>
      </c>
      <c r="F113" s="22">
        <f>IFERROR(INDEX([1]raw_data!B:B,MATCH(B113,[1]raw_data!A:A,0)),0)</f>
        <v>988</v>
      </c>
      <c r="G113" s="23">
        <f>SUMIFS([1]raw_data!C:C,[1]raw_data!$A:$A,$B113)</f>
        <v>99.294144000000003</v>
      </c>
      <c r="H113" s="24">
        <f>SUMIFS([1]raw_data!D:D,[1]raw_data!$A:$A,$B113)</f>
        <v>1.0383064516128999</v>
      </c>
      <c r="I113" s="23">
        <f>SUMIFS([1]raw_data!E:E,[1]raw_data!$A:$A,$B113)</f>
        <v>99.050192999999993</v>
      </c>
      <c r="J113" s="24">
        <f>SUMIFS([1]raw_data!F:F,[1]raw_data!$A:$A,$B113)</f>
        <v>1.03729838709677</v>
      </c>
      <c r="K113" s="23">
        <f>SUMIFS([1]raw_data!G:G,[1]raw_data!$A:$A,$B113)</f>
        <v>253.13291899999999</v>
      </c>
      <c r="L113" s="24">
        <f>SUMIFS([1]raw_data!H:H,[1]raw_data!$A:$A,$B113)</f>
        <v>1.5474747474747399</v>
      </c>
      <c r="M113" s="23">
        <f>SUMIFS([1]raw_data!I:I,[1]raw_data!$A:$A,$B113)</f>
        <v>61.289341</v>
      </c>
      <c r="N113" s="24">
        <f>SUMIFS([1]raw_data!J:J,[1]raw_data!$A:$A,$B113)</f>
        <v>0.51616161616161604</v>
      </c>
      <c r="O113" s="23">
        <f>SUMIFS([1]raw_data!K:K,[1]raw_data!$A:$A,$B113)</f>
        <v>182.60731100000001</v>
      </c>
      <c r="P113" s="24">
        <f>SUMIFS([1]raw_data!L:L,[1]raw_data!$A:$A,$B113)</f>
        <v>0.58561296859169099</v>
      </c>
      <c r="Q113" s="23">
        <f>SUMIFS([1]raw_data!M:M,[1]raw_data!$A:$A,$B113)</f>
        <v>45.464083000000002</v>
      </c>
      <c r="R113" s="24">
        <f>SUMIFS([1]raw_data!N:N,[1]raw_data!$A:$A,$B113)</f>
        <v>0.13981762917933099</v>
      </c>
      <c r="S113" s="23">
        <f>SUMIFS([1]raw_data!O:O,[1]raw_data!$A:$A,$B113)</f>
        <v>254.11151000000001</v>
      </c>
      <c r="T113" s="24">
        <f>SUMIFS([1]raw_data!P:P,[1]raw_data!$A:$A,$B113)</f>
        <v>3.3184584178498899</v>
      </c>
      <c r="U113" s="23">
        <f>SUMIFS([1]raw_data!Q:Q,[1]raw_data!$A:$A,$B113)</f>
        <v>196.262068</v>
      </c>
      <c r="V113" s="24">
        <f>SUMIFS([1]raw_data!R:R,[1]raw_data!$A:$A,$B113)</f>
        <v>3.2474645030425902</v>
      </c>
      <c r="W113" s="23">
        <f>SUMIFS([1]raw_data!S:S,[1]raw_data!$A:$A,$B113)</f>
        <v>201.12774899999999</v>
      </c>
      <c r="X113" s="24">
        <f>SUMIFS([1]raw_data!T:T,[1]raw_data!$A:$A,$B113)</f>
        <v>0.56548223350253801</v>
      </c>
      <c r="Y113" s="23">
        <f>SUMIFS([1]raw_data!U:U,[1]raw_data!$A:$A,$B113)</f>
        <v>33.342283999999999</v>
      </c>
      <c r="Z113" s="24">
        <f>SUMIFS([1]raw_data!V:V,[1]raw_data!$A:$A,$B113)</f>
        <v>0.28324873096446701</v>
      </c>
      <c r="AA113" s="21">
        <f t="shared" si="1"/>
        <v>198.05472660000001</v>
      </c>
    </row>
    <row r="114" spans="1:27" x14ac:dyDescent="0.25">
      <c r="A114" s="39"/>
      <c r="B114" s="21" t="s">
        <v>175</v>
      </c>
      <c r="C114" s="21" t="s">
        <v>176</v>
      </c>
      <c r="D114" s="21" t="s">
        <v>177</v>
      </c>
      <c r="E114" s="21" t="s">
        <v>15</v>
      </c>
      <c r="F114" s="22">
        <f>IFERROR(INDEX([1]raw_data!B:B,MATCH(B114,[1]raw_data!A:A,0)),0)</f>
        <v>774</v>
      </c>
      <c r="G114" s="23">
        <f>SUMIFS([1]raw_data!C:C,[1]raw_data!$A:$A,$B114)</f>
        <v>320.03596800000003</v>
      </c>
      <c r="H114" s="24">
        <f>SUMIFS([1]raw_data!D:D,[1]raw_data!$A:$A,$B114)</f>
        <v>1.2405228758169899</v>
      </c>
      <c r="I114" s="23">
        <f>SUMIFS([1]raw_data!E:E,[1]raw_data!$A:$A,$B114)</f>
        <v>316.219899</v>
      </c>
      <c r="J114" s="24">
        <f>SUMIFS([1]raw_data!F:F,[1]raw_data!$A:$A,$B114)</f>
        <v>1.2392156862745001</v>
      </c>
      <c r="K114" s="23">
        <f>SUMIFS([1]raw_data!G:G,[1]raw_data!$A:$A,$B114)</f>
        <v>104.901921</v>
      </c>
      <c r="L114" s="24">
        <f>SUMIFS([1]raw_data!H:H,[1]raw_data!$A:$A,$B114)</f>
        <v>0.23214285714285701</v>
      </c>
      <c r="M114" s="23">
        <f>SUMIFS([1]raw_data!I:I,[1]raw_data!$A:$A,$B114)</f>
        <v>86.585322000000005</v>
      </c>
      <c r="N114" s="24">
        <f>SUMIFS([1]raw_data!J:J,[1]raw_data!$A:$A,$B114)</f>
        <v>0.22066326530612199</v>
      </c>
      <c r="O114" s="23">
        <f>SUMIFS([1]raw_data!K:K,[1]raw_data!$A:$A,$B114)</f>
        <v>416.84238199999999</v>
      </c>
      <c r="P114" s="24">
        <f>SUMIFS([1]raw_data!L:L,[1]raw_data!$A:$A,$B114)</f>
        <v>1.3504492939666199</v>
      </c>
      <c r="Q114" s="23">
        <f>SUMIFS([1]raw_data!M:M,[1]raw_data!$A:$A,$B114)</f>
        <v>297.78791100000001</v>
      </c>
      <c r="R114" s="24">
        <f>SUMIFS([1]raw_data!N:N,[1]raw_data!$A:$A,$B114)</f>
        <v>1.28754813863928</v>
      </c>
      <c r="S114" s="23">
        <f>SUMIFS([1]raw_data!O:O,[1]raw_data!$A:$A,$B114)</f>
        <v>94.354951999999997</v>
      </c>
      <c r="T114" s="24">
        <f>SUMIFS([1]raw_data!P:P,[1]raw_data!$A:$A,$B114)</f>
        <v>0.186046511627906</v>
      </c>
      <c r="U114" s="23">
        <f>SUMIFS([1]raw_data!Q:Q,[1]raw_data!$A:$A,$B114)</f>
        <v>58.777647999999999</v>
      </c>
      <c r="V114" s="24">
        <f>SUMIFS([1]raw_data!R:R,[1]raw_data!$A:$A,$B114)</f>
        <v>0.14341085271317799</v>
      </c>
      <c r="W114" s="23">
        <f>SUMIFS([1]raw_data!S:S,[1]raw_data!$A:$A,$B114)</f>
        <v>53.630251000000001</v>
      </c>
      <c r="X114" s="24">
        <f>SUMIFS([1]raw_data!T:T,[1]raw_data!$A:$A,$B114)</f>
        <v>0.18098958333333301</v>
      </c>
      <c r="Y114" s="23">
        <f>SUMIFS([1]raw_data!U:U,[1]raw_data!$A:$A,$B114)</f>
        <v>44.006467000000001</v>
      </c>
      <c r="Z114" s="24">
        <f>SUMIFS([1]raw_data!V:V,[1]raw_data!$A:$A,$B114)</f>
        <v>0.16145833333333301</v>
      </c>
      <c r="AA114" s="21">
        <f t="shared" si="1"/>
        <v>197.95309480000003</v>
      </c>
    </row>
    <row r="115" spans="1:27" x14ac:dyDescent="0.25">
      <c r="A115" s="39"/>
      <c r="B115" s="21" t="s">
        <v>422</v>
      </c>
      <c r="C115" s="21" t="s">
        <v>423</v>
      </c>
      <c r="D115" s="21" t="s">
        <v>424</v>
      </c>
      <c r="E115" s="21" t="s">
        <v>23</v>
      </c>
      <c r="F115" s="22">
        <f>IFERROR(INDEX([1]raw_data!B:B,MATCH(B115,[1]raw_data!A:A,0)),0)</f>
        <v>877.44444399999998</v>
      </c>
      <c r="G115" s="23">
        <f>SUMIFS([1]raw_data!C:C,[1]raw_data!$A:$A,$B115)</f>
        <v>767.67200200000002</v>
      </c>
      <c r="H115" s="24">
        <f>SUMIFS([1]raw_data!D:D,[1]raw_data!$A:$A,$B115)</f>
        <v>0.29682365826944102</v>
      </c>
      <c r="I115" s="23">
        <f>SUMIFS([1]raw_data!E:E,[1]raw_data!$A:$A,$B115)</f>
        <v>22.260905999999999</v>
      </c>
      <c r="J115" s="24">
        <f>SUMIFS([1]raw_data!F:F,[1]raw_data!$A:$A,$B115)</f>
        <v>9.9671412924424899E-2</v>
      </c>
      <c r="K115" s="23">
        <f>SUMIFS([1]raw_data!G:G,[1]raw_data!$A:$A,$B115)</f>
        <v>3.1894269999999998</v>
      </c>
      <c r="L115" s="24">
        <f>SUMIFS([1]raw_data!H:H,[1]raw_data!$A:$A,$B115)</f>
        <v>7.3993471164309002E-2</v>
      </c>
      <c r="M115" s="23">
        <f>SUMIFS([1]raw_data!I:I,[1]raw_data!$A:$A,$B115)</f>
        <v>3.1894269999999998</v>
      </c>
      <c r="N115" s="24">
        <f>SUMIFS([1]raw_data!J:J,[1]raw_data!$A:$A,$B115)</f>
        <v>7.3993471164309002E-2</v>
      </c>
      <c r="O115" s="23">
        <f>SUMIFS([1]raw_data!K:K,[1]raw_data!$A:$A,$B115)</f>
        <v>12.514060000000001</v>
      </c>
      <c r="P115" s="24">
        <f>SUMIFS([1]raw_data!L:L,[1]raw_data!$A:$A,$B115)</f>
        <v>0.191256830601092</v>
      </c>
      <c r="Q115" s="23">
        <f>SUMIFS([1]raw_data!M:M,[1]raw_data!$A:$A,$B115)</f>
        <v>11.188724000000001</v>
      </c>
      <c r="R115" s="24">
        <f>SUMIFS([1]raw_data!N:N,[1]raw_data!$A:$A,$B115)</f>
        <v>0.15956284153005401</v>
      </c>
      <c r="S115" s="23">
        <f>SUMIFS([1]raw_data!O:O,[1]raw_data!$A:$A,$B115)</f>
        <v>175.80488099999999</v>
      </c>
      <c r="T115" s="24">
        <f>SUMIFS([1]raw_data!P:P,[1]raw_data!$A:$A,$B115)</f>
        <v>1.50395778364116</v>
      </c>
      <c r="U115" s="23">
        <f>SUMIFS([1]raw_data!Q:Q,[1]raw_data!$A:$A,$B115)</f>
        <v>165.46400600000001</v>
      </c>
      <c r="V115" s="24">
        <f>SUMIFS([1]raw_data!R:R,[1]raw_data!$A:$A,$B115)</f>
        <v>1.43403693931398</v>
      </c>
      <c r="W115" s="23">
        <f>SUMIFS([1]raw_data!S:S,[1]raw_data!$A:$A,$B115)</f>
        <v>29.632224999999998</v>
      </c>
      <c r="X115" s="24">
        <f>SUMIFS([1]raw_data!T:T,[1]raw_data!$A:$A,$B115)</f>
        <v>6.0908084163898098E-2</v>
      </c>
      <c r="Y115" s="23">
        <f>SUMIFS([1]raw_data!U:U,[1]raw_data!$A:$A,$B115)</f>
        <v>8.395607</v>
      </c>
      <c r="Z115" s="24">
        <f>SUMIFS([1]raw_data!V:V,[1]raw_data!$A:$A,$B115)</f>
        <v>3.5437430786267897E-2</v>
      </c>
      <c r="AA115" s="21">
        <f t="shared" si="1"/>
        <v>197.762519</v>
      </c>
    </row>
    <row r="116" spans="1:27" x14ac:dyDescent="0.25">
      <c r="A116" s="39"/>
      <c r="B116" s="21" t="s">
        <v>384</v>
      </c>
      <c r="C116" s="21" t="s">
        <v>306</v>
      </c>
      <c r="D116" s="21" t="s">
        <v>385</v>
      </c>
      <c r="E116" s="21" t="s">
        <v>27</v>
      </c>
      <c r="F116" s="22">
        <f>IFERROR(INDEX([1]raw_data!B:B,MATCH(B116,[1]raw_data!A:A,0)),0)</f>
        <v>635.44444399999998</v>
      </c>
      <c r="G116" s="23">
        <f>SUMIFS([1]raw_data!C:C,[1]raw_data!$A:$A,$B116)</f>
        <v>588.83929000000001</v>
      </c>
      <c r="H116" s="24">
        <f>SUMIFS([1]raw_data!D:D,[1]raw_data!$A:$A,$B116)</f>
        <v>2.63552833078101</v>
      </c>
      <c r="I116" s="23">
        <f>SUMIFS([1]raw_data!E:E,[1]raw_data!$A:$A,$B116)</f>
        <v>69.268190000000004</v>
      </c>
      <c r="J116" s="24">
        <f>SUMIFS([1]raw_data!F:F,[1]raw_data!$A:$A,$B116)</f>
        <v>1.4869831546707499</v>
      </c>
      <c r="K116" s="23">
        <f>SUMIFS([1]raw_data!G:G,[1]raw_data!$A:$A,$B116)</f>
        <v>9.0311939999999993</v>
      </c>
      <c r="L116" s="24">
        <f>SUMIFS([1]raw_data!H:H,[1]raw_data!$A:$A,$B116)</f>
        <v>6.5727699530516395E-2</v>
      </c>
      <c r="M116" s="23">
        <f>SUMIFS([1]raw_data!I:I,[1]raw_data!$A:$A,$B116)</f>
        <v>4.3189190000000002</v>
      </c>
      <c r="N116" s="24">
        <f>SUMIFS([1]raw_data!J:J,[1]raw_data!$A:$A,$B116)</f>
        <v>4.22535211267605E-2</v>
      </c>
      <c r="O116" s="23">
        <f>SUMIFS([1]raw_data!K:K,[1]raw_data!$A:$A,$B116)</f>
        <v>56.317554000000001</v>
      </c>
      <c r="P116" s="24">
        <f>SUMIFS([1]raw_data!L:L,[1]raw_data!$A:$A,$B116)</f>
        <v>0.25235109717868298</v>
      </c>
      <c r="Q116" s="23">
        <f>SUMIFS([1]raw_data!M:M,[1]raw_data!$A:$A,$B116)</f>
        <v>13.854911</v>
      </c>
      <c r="R116" s="24">
        <f>SUMIFS([1]raw_data!N:N,[1]raw_data!$A:$A,$B116)</f>
        <v>0.21786833855799301</v>
      </c>
      <c r="S116" s="23">
        <f>SUMIFS([1]raw_data!O:O,[1]raw_data!$A:$A,$B116)</f>
        <v>157.70102299999999</v>
      </c>
      <c r="T116" s="24">
        <f>SUMIFS([1]raw_data!P:P,[1]raw_data!$A:$A,$B116)</f>
        <v>1.1133858267716501</v>
      </c>
      <c r="U116" s="23">
        <f>SUMIFS([1]raw_data!Q:Q,[1]raw_data!$A:$A,$B116)</f>
        <v>157.70102299999999</v>
      </c>
      <c r="V116" s="24">
        <f>SUMIFS([1]raw_data!R:R,[1]raw_data!$A:$A,$B116)</f>
        <v>1.1133858267716501</v>
      </c>
      <c r="W116" s="23">
        <f>SUMIFS([1]raw_data!S:S,[1]raw_data!$A:$A,$B116)</f>
        <v>171.20580000000001</v>
      </c>
      <c r="X116" s="24">
        <f>SUMIFS([1]raw_data!T:T,[1]raw_data!$A:$A,$B116)</f>
        <v>1.0571895424836599</v>
      </c>
      <c r="Y116" s="23">
        <f>SUMIFS([1]raw_data!U:U,[1]raw_data!$A:$A,$B116)</f>
        <v>90.874590999999995</v>
      </c>
      <c r="Z116" s="24">
        <f>SUMIFS([1]raw_data!V:V,[1]raw_data!$A:$A,$B116)</f>
        <v>1.02614379084967</v>
      </c>
      <c r="AA116" s="21">
        <f t="shared" si="1"/>
        <v>196.6189722</v>
      </c>
    </row>
    <row r="117" spans="1:27" x14ac:dyDescent="0.25">
      <c r="A117" s="39"/>
      <c r="B117" s="21" t="s">
        <v>202</v>
      </c>
      <c r="C117" s="21" t="s">
        <v>81</v>
      </c>
      <c r="D117" s="21" t="s">
        <v>203</v>
      </c>
      <c r="E117" s="21" t="s">
        <v>15</v>
      </c>
      <c r="F117" s="22">
        <f>IFERROR(INDEX([1]raw_data!B:B,MATCH(B117,[1]raw_data!A:A,0)),0)</f>
        <v>99.142857000000006</v>
      </c>
      <c r="G117" s="23">
        <f>SUMIFS([1]raw_data!C:C,[1]raw_data!$A:$A,$B117)</f>
        <v>3.272017</v>
      </c>
      <c r="H117" s="24">
        <f>SUMIFS([1]raw_data!D:D,[1]raw_data!$A:$A,$B117)</f>
        <v>7.3529411764705803E-3</v>
      </c>
      <c r="I117" s="23">
        <f>SUMIFS([1]raw_data!E:E,[1]raw_data!$A:$A,$B117)</f>
        <v>0</v>
      </c>
      <c r="J117" s="24">
        <f>SUMIFS([1]raw_data!F:F,[1]raw_data!$A:$A,$B117)</f>
        <v>0</v>
      </c>
      <c r="K117" s="23">
        <f>SUMIFS([1]raw_data!G:G,[1]raw_data!$A:$A,$B117)</f>
        <v>143.36324999999999</v>
      </c>
      <c r="L117" s="24">
        <f>SUMIFS([1]raw_data!H:H,[1]raw_data!$A:$A,$B117)</f>
        <v>0.33812949640287698</v>
      </c>
      <c r="M117" s="23">
        <f>SUMIFS([1]raw_data!I:I,[1]raw_data!$A:$A,$B117)</f>
        <v>143.36324999999999</v>
      </c>
      <c r="N117" s="24">
        <f>SUMIFS([1]raw_data!J:J,[1]raw_data!$A:$A,$B117)</f>
        <v>0.33812949640287698</v>
      </c>
      <c r="O117" s="23">
        <f>SUMIFS([1]raw_data!K:K,[1]raw_data!$A:$A,$B117)</f>
        <v>32.558914000000001</v>
      </c>
      <c r="P117" s="24">
        <f>SUMIFS([1]raw_data!L:L,[1]raw_data!$A:$A,$B117)</f>
        <v>0.108527131782945</v>
      </c>
      <c r="Q117" s="23">
        <f>SUMIFS([1]raw_data!M:M,[1]raw_data!$A:$A,$B117)</f>
        <v>32.558914000000001</v>
      </c>
      <c r="R117" s="24">
        <f>SUMIFS([1]raw_data!N:N,[1]raw_data!$A:$A,$B117)</f>
        <v>0.108527131782945</v>
      </c>
      <c r="S117" s="23">
        <f>SUMIFS([1]raw_data!O:O,[1]raw_data!$A:$A,$B117)</f>
        <v>119.94035</v>
      </c>
      <c r="T117" s="24">
        <f>SUMIFS([1]raw_data!P:P,[1]raw_data!$A:$A,$B117)</f>
        <v>2.5394736842105199</v>
      </c>
      <c r="U117" s="23">
        <f>SUMIFS([1]raw_data!Q:Q,[1]raw_data!$A:$A,$B117)</f>
        <v>54.522587000000001</v>
      </c>
      <c r="V117" s="24">
        <f>SUMIFS([1]raw_data!R:R,[1]raw_data!$A:$A,$B117)</f>
        <v>1.1578947368421</v>
      </c>
      <c r="W117" s="23">
        <f>SUMIFS([1]raw_data!S:S,[1]raw_data!$A:$A,$B117)</f>
        <v>665.94541000000004</v>
      </c>
      <c r="X117" s="24">
        <f>SUMIFS([1]raw_data!T:T,[1]raw_data!$A:$A,$B117)</f>
        <v>2.9275362318840501</v>
      </c>
      <c r="Y117" s="23">
        <f>SUMIFS([1]raw_data!U:U,[1]raw_data!$A:$A,$B117)</f>
        <v>470.33864699999998</v>
      </c>
      <c r="Z117" s="24">
        <f>SUMIFS([1]raw_data!V:V,[1]raw_data!$A:$A,$B117)</f>
        <v>1.9420289855072399</v>
      </c>
      <c r="AA117" s="21">
        <f t="shared" si="1"/>
        <v>193.01598820000001</v>
      </c>
    </row>
    <row r="118" spans="1:27" x14ac:dyDescent="0.25">
      <c r="A118" s="39"/>
      <c r="B118" s="21" t="s">
        <v>189</v>
      </c>
      <c r="C118" s="21" t="s">
        <v>190</v>
      </c>
      <c r="D118" s="21" t="s">
        <v>191</v>
      </c>
      <c r="E118" s="21" t="s">
        <v>15</v>
      </c>
      <c r="F118" s="22">
        <f>IFERROR(INDEX([1]raw_data!B:B,MATCH(B118,[1]raw_data!A:A,0)),0)</f>
        <v>1013.4</v>
      </c>
      <c r="G118" s="23">
        <f>SUMIFS([1]raw_data!C:C,[1]raw_data!$A:$A,$B118)</f>
        <v>285.83162299999998</v>
      </c>
      <c r="H118" s="24">
        <f>SUMIFS([1]raw_data!D:D,[1]raw_data!$A:$A,$B118)</f>
        <v>1.4156862745098</v>
      </c>
      <c r="I118" s="23">
        <f>SUMIFS([1]raw_data!E:E,[1]raw_data!$A:$A,$B118)</f>
        <v>264.54677900000002</v>
      </c>
      <c r="J118" s="24">
        <f>SUMIFS([1]raw_data!F:F,[1]raw_data!$A:$A,$B118)</f>
        <v>1.40980392156862</v>
      </c>
      <c r="K118" s="23">
        <f>SUMIFS([1]raw_data!G:G,[1]raw_data!$A:$A,$B118)</f>
        <v>165.07051100000001</v>
      </c>
      <c r="L118" s="24">
        <f>SUMIFS([1]raw_data!H:H,[1]raw_data!$A:$A,$B118)</f>
        <v>0.47693817468105898</v>
      </c>
      <c r="M118" s="23">
        <f>SUMIFS([1]raw_data!I:I,[1]raw_data!$A:$A,$B118)</f>
        <v>55.249465000000001</v>
      </c>
      <c r="N118" s="24">
        <f>SUMIFS([1]raw_data!J:J,[1]raw_data!$A:$A,$B118)</f>
        <v>9.7154072620215803E-2</v>
      </c>
      <c r="O118" s="23">
        <f>SUMIFS([1]raw_data!K:K,[1]raw_data!$A:$A,$B118)</f>
        <v>85.151269999999997</v>
      </c>
      <c r="P118" s="24">
        <f>SUMIFS([1]raw_data!L:L,[1]raw_data!$A:$A,$B118)</f>
        <v>0.118279569892473</v>
      </c>
      <c r="Q118" s="23">
        <f>SUMIFS([1]raw_data!M:M,[1]raw_data!$A:$A,$B118)</f>
        <v>30.667757999999999</v>
      </c>
      <c r="R118" s="24">
        <f>SUMIFS([1]raw_data!N:N,[1]raw_data!$A:$A,$B118)</f>
        <v>9.4819159335288297E-2</v>
      </c>
      <c r="S118" s="23">
        <f>SUMIFS([1]raw_data!O:O,[1]raw_data!$A:$A,$B118)</f>
        <v>34.187896000000002</v>
      </c>
      <c r="T118" s="24">
        <f>SUMIFS([1]raw_data!P:P,[1]raw_data!$A:$A,$B118)</f>
        <v>0.19146825396825301</v>
      </c>
      <c r="U118" s="23">
        <f>SUMIFS([1]raw_data!Q:Q,[1]raw_data!$A:$A,$B118)</f>
        <v>25.495767000000001</v>
      </c>
      <c r="V118" s="24">
        <f>SUMIFS([1]raw_data!R:R,[1]raw_data!$A:$A,$B118)</f>
        <v>0.182539682539682</v>
      </c>
      <c r="W118" s="23">
        <f>SUMIFS([1]raw_data!S:S,[1]raw_data!$A:$A,$B118)</f>
        <v>393.59287799999998</v>
      </c>
      <c r="X118" s="24">
        <f>SUMIFS([1]raw_data!T:T,[1]raw_data!$A:$A,$B118)</f>
        <v>1.4353059177532499</v>
      </c>
      <c r="Y118" s="23">
        <f>SUMIFS([1]raw_data!U:U,[1]raw_data!$A:$A,$B118)</f>
        <v>354.10310900000002</v>
      </c>
      <c r="Z118" s="24">
        <f>SUMIFS([1]raw_data!V:V,[1]raw_data!$A:$A,$B118)</f>
        <v>1.4132397191574699</v>
      </c>
      <c r="AA118" s="21">
        <f t="shared" si="1"/>
        <v>192.76683560000001</v>
      </c>
    </row>
    <row r="119" spans="1:27" x14ac:dyDescent="0.25">
      <c r="A119" s="39"/>
      <c r="B119" s="21" t="s">
        <v>194</v>
      </c>
      <c r="C119" s="21" t="s">
        <v>118</v>
      </c>
      <c r="D119" s="21" t="s">
        <v>195</v>
      </c>
      <c r="E119" s="21" t="s">
        <v>27</v>
      </c>
      <c r="F119" s="22">
        <f>IFERROR(INDEX([1]raw_data!B:B,MATCH(B119,[1]raw_data!A:A,0)),0)</f>
        <v>1067.4000000000001</v>
      </c>
      <c r="G119" s="23">
        <f>SUMIFS([1]raw_data!C:C,[1]raw_data!$A:$A,$B119)</f>
        <v>34.260426000000002</v>
      </c>
      <c r="H119" s="24">
        <f>SUMIFS([1]raw_data!D:D,[1]raw_data!$A:$A,$B119)</f>
        <v>0.140151515151515</v>
      </c>
      <c r="I119" s="23">
        <f>SUMIFS([1]raw_data!E:E,[1]raw_data!$A:$A,$B119)</f>
        <v>6.4535799999999997</v>
      </c>
      <c r="J119" s="24">
        <f>SUMIFS([1]raw_data!F:F,[1]raw_data!$A:$A,$B119)</f>
        <v>0.125946969696969</v>
      </c>
      <c r="K119" s="23">
        <f>SUMIFS([1]raw_data!G:G,[1]raw_data!$A:$A,$B119)</f>
        <v>7.0832480000000002</v>
      </c>
      <c r="L119" s="24">
        <f>SUMIFS([1]raw_data!H:H,[1]raw_data!$A:$A,$B119)</f>
        <v>3.4354688950789199E-2</v>
      </c>
      <c r="M119" s="23">
        <f>SUMIFS([1]raw_data!I:I,[1]raw_data!$A:$A,$B119)</f>
        <v>3.516057</v>
      </c>
      <c r="N119" s="24">
        <f>SUMIFS([1]raw_data!J:J,[1]raw_data!$A:$A,$B119)</f>
        <v>2.4141132776230201E-2</v>
      </c>
      <c r="O119" s="23">
        <f>SUMIFS([1]raw_data!K:K,[1]raw_data!$A:$A,$B119)</f>
        <v>106.71116600000001</v>
      </c>
      <c r="P119" s="24">
        <f>SUMIFS([1]raw_data!L:L,[1]raw_data!$A:$A,$B119)</f>
        <v>0.202602230483271</v>
      </c>
      <c r="Q119" s="23">
        <f>SUMIFS([1]raw_data!M:M,[1]raw_data!$A:$A,$B119)</f>
        <v>100.76256100000001</v>
      </c>
      <c r="R119" s="24">
        <f>SUMIFS([1]raw_data!N:N,[1]raw_data!$A:$A,$B119)</f>
        <v>0.19981412639405199</v>
      </c>
      <c r="S119" s="23">
        <f>SUMIFS([1]raw_data!O:O,[1]raw_data!$A:$A,$B119)</f>
        <v>103.903301</v>
      </c>
      <c r="T119" s="24">
        <f>SUMIFS([1]raw_data!P:P,[1]raw_data!$A:$A,$B119)</f>
        <v>0.54232558139534803</v>
      </c>
      <c r="U119" s="23">
        <f>SUMIFS([1]raw_data!Q:Q,[1]raw_data!$A:$A,$B119)</f>
        <v>79.124976000000004</v>
      </c>
      <c r="V119" s="24">
        <f>SUMIFS([1]raw_data!R:R,[1]raw_data!$A:$A,$B119)</f>
        <v>0.46511627906976699</v>
      </c>
      <c r="W119" s="23">
        <f>SUMIFS([1]raw_data!S:S,[1]raw_data!$A:$A,$B119)</f>
        <v>682.06074599999999</v>
      </c>
      <c r="X119" s="24">
        <f>SUMIFS([1]raw_data!T:T,[1]raw_data!$A:$A,$B119)</f>
        <v>2.38841405508072</v>
      </c>
      <c r="Y119" s="23">
        <f>SUMIFS([1]raw_data!U:U,[1]raw_data!$A:$A,$B119)</f>
        <v>528.321684</v>
      </c>
      <c r="Z119" s="24">
        <f>SUMIFS([1]raw_data!V:V,[1]raw_data!$A:$A,$B119)</f>
        <v>2.01519468186134</v>
      </c>
      <c r="AA119" s="21">
        <f t="shared" si="1"/>
        <v>186.8037774</v>
      </c>
    </row>
    <row r="120" spans="1:27" x14ac:dyDescent="0.25">
      <c r="A120" s="39"/>
      <c r="B120" s="21" t="s">
        <v>242</v>
      </c>
      <c r="C120" s="21" t="s">
        <v>200</v>
      </c>
      <c r="D120" s="21" t="s">
        <v>243</v>
      </c>
      <c r="E120" s="21" t="s">
        <v>15</v>
      </c>
      <c r="F120" s="22">
        <f>IFERROR(INDEX([1]raw_data!B:B,MATCH(B120,[1]raw_data!A:A,0)),0)</f>
        <v>981.6</v>
      </c>
      <c r="G120" s="23">
        <f>SUMIFS([1]raw_data!C:C,[1]raw_data!$A:$A,$B120)</f>
        <v>388.61618900000002</v>
      </c>
      <c r="H120" s="24">
        <f>SUMIFS([1]raw_data!D:D,[1]raw_data!$A:$A,$B120)</f>
        <v>2.21766561514195</v>
      </c>
      <c r="I120" s="23">
        <f>SUMIFS([1]raw_data!E:E,[1]raw_data!$A:$A,$B120)</f>
        <v>322.52865400000002</v>
      </c>
      <c r="J120" s="24">
        <f>SUMIFS([1]raw_data!F:F,[1]raw_data!$A:$A,$B120)</f>
        <v>2.19453207150368</v>
      </c>
      <c r="K120" s="23">
        <f>SUMIFS([1]raw_data!G:G,[1]raw_data!$A:$A,$B120)</f>
        <v>178.002791</v>
      </c>
      <c r="L120" s="24">
        <f>SUMIFS([1]raw_data!H:H,[1]raw_data!$A:$A,$B120)</f>
        <v>0.32526315789473598</v>
      </c>
      <c r="M120" s="23">
        <f>SUMIFS([1]raw_data!I:I,[1]raw_data!$A:$A,$B120)</f>
        <v>112.89332400000001</v>
      </c>
      <c r="N120" s="24">
        <f>SUMIFS([1]raw_data!J:J,[1]raw_data!$A:$A,$B120)</f>
        <v>0.27578947368420997</v>
      </c>
      <c r="O120" s="23">
        <f>SUMIFS([1]raw_data!K:K,[1]raw_data!$A:$A,$B120)</f>
        <v>220.110029</v>
      </c>
      <c r="P120" s="24">
        <f>SUMIFS([1]raw_data!L:L,[1]raw_data!$A:$A,$B120)</f>
        <v>0.72983870967741904</v>
      </c>
      <c r="Q120" s="23">
        <f>SUMIFS([1]raw_data!M:M,[1]raw_data!$A:$A,$B120)</f>
        <v>68.167876000000007</v>
      </c>
      <c r="R120" s="24">
        <f>SUMIFS([1]raw_data!N:N,[1]raw_data!$A:$A,$B120)</f>
        <v>0.32661290322580599</v>
      </c>
      <c r="S120" s="23">
        <f>SUMIFS([1]raw_data!O:O,[1]raw_data!$A:$A,$B120)</f>
        <v>68.234649000000005</v>
      </c>
      <c r="T120" s="24">
        <f>SUMIFS([1]raw_data!P:P,[1]raw_data!$A:$A,$B120)</f>
        <v>0.21463414634146299</v>
      </c>
      <c r="U120" s="23">
        <f>SUMIFS([1]raw_data!Q:Q,[1]raw_data!$A:$A,$B120)</f>
        <v>57.966357000000002</v>
      </c>
      <c r="V120" s="24">
        <f>SUMIFS([1]raw_data!R:R,[1]raw_data!$A:$A,$B120)</f>
        <v>0.19512195121951201</v>
      </c>
      <c r="W120" s="23">
        <f>SUMIFS([1]raw_data!S:S,[1]raw_data!$A:$A,$B120)</f>
        <v>71.103853999999998</v>
      </c>
      <c r="X120" s="24">
        <f>SUMIFS([1]raw_data!T:T,[1]raw_data!$A:$A,$B120)</f>
        <v>0.30202020202020202</v>
      </c>
      <c r="Y120" s="23">
        <f>SUMIFS([1]raw_data!U:U,[1]raw_data!$A:$A,$B120)</f>
        <v>27.511683000000001</v>
      </c>
      <c r="Z120" s="24">
        <f>SUMIFS([1]raw_data!V:V,[1]raw_data!$A:$A,$B120)</f>
        <v>0.175757575757575</v>
      </c>
      <c r="AA120" s="21">
        <f t="shared" si="1"/>
        <v>185.21350239999998</v>
      </c>
    </row>
    <row r="121" spans="1:27" x14ac:dyDescent="0.25">
      <c r="A121" s="39"/>
      <c r="B121" s="21" t="s">
        <v>256</v>
      </c>
      <c r="C121" s="21" t="s">
        <v>83</v>
      </c>
      <c r="D121" s="21" t="s">
        <v>257</v>
      </c>
      <c r="E121" s="21" t="s">
        <v>19</v>
      </c>
      <c r="F121" s="22">
        <f>IFERROR(INDEX([1]raw_data!B:B,MATCH(B121,[1]raw_data!A:A,0)),0)</f>
        <v>2555</v>
      </c>
      <c r="G121" s="23">
        <f>SUMIFS([1]raw_data!C:C,[1]raw_data!$A:$A,$B121)</f>
        <v>87.925839999999994</v>
      </c>
      <c r="H121" s="24">
        <f>SUMIFS([1]raw_data!D:D,[1]raw_data!$A:$A,$B121)</f>
        <v>0.298692360633172</v>
      </c>
      <c r="I121" s="23">
        <f>SUMIFS([1]raw_data!E:E,[1]raw_data!$A:$A,$B121)</f>
        <v>55.823419999999999</v>
      </c>
      <c r="J121" s="24">
        <f>SUMIFS([1]raw_data!F:F,[1]raw_data!$A:$A,$B121)</f>
        <v>0.19614590502408799</v>
      </c>
      <c r="K121" s="23">
        <f>SUMIFS([1]raw_data!G:G,[1]raw_data!$A:$A,$B121)</f>
        <v>434.41702600000002</v>
      </c>
      <c r="L121" s="24">
        <f>SUMIFS([1]raw_data!H:H,[1]raw_data!$A:$A,$B121)</f>
        <v>3.8802065404474999</v>
      </c>
      <c r="M121" s="23">
        <f>SUMIFS([1]raw_data!I:I,[1]raw_data!$A:$A,$B121)</f>
        <v>399.82670200000001</v>
      </c>
      <c r="N121" s="24">
        <f>SUMIFS([1]raw_data!J:J,[1]raw_data!$A:$A,$B121)</f>
        <v>3.82788296041308</v>
      </c>
      <c r="O121" s="23">
        <f>SUMIFS([1]raw_data!K:K,[1]raw_data!$A:$A,$B121)</f>
        <v>76.565528999999998</v>
      </c>
      <c r="P121" s="24">
        <f>SUMIFS([1]raw_data!L:L,[1]raw_data!$A:$A,$B121)</f>
        <v>0.257920110192837</v>
      </c>
      <c r="Q121" s="23">
        <f>SUMIFS([1]raw_data!M:M,[1]raw_data!$A:$A,$B121)</f>
        <v>34.744444000000001</v>
      </c>
      <c r="R121" s="24">
        <f>SUMIFS([1]raw_data!N:N,[1]raw_data!$A:$A,$B121)</f>
        <v>0.21212121212121199</v>
      </c>
      <c r="S121" s="23">
        <f>SUMIFS([1]raw_data!O:O,[1]raw_data!$A:$A,$B121)</f>
        <v>47.518856999999997</v>
      </c>
      <c r="T121" s="24">
        <f>SUMIFS([1]raw_data!P:P,[1]raw_data!$A:$A,$B121)</f>
        <v>0.60144927536231796</v>
      </c>
      <c r="U121" s="23">
        <f>SUMIFS([1]raw_data!Q:Q,[1]raw_data!$A:$A,$B121)</f>
        <v>46.616056999999998</v>
      </c>
      <c r="V121" s="24">
        <f>SUMIFS([1]raw_data!R:R,[1]raw_data!$A:$A,$B121)</f>
        <v>0.59247757073843998</v>
      </c>
      <c r="W121" s="23">
        <f>SUMIFS([1]raw_data!S:S,[1]raw_data!$A:$A,$B121)</f>
        <v>275.80032899999998</v>
      </c>
      <c r="X121" s="24">
        <f>SUMIFS([1]raw_data!T:T,[1]raw_data!$A:$A,$B121)</f>
        <v>0.46471600688468101</v>
      </c>
      <c r="Y121" s="23">
        <f>SUMIFS([1]raw_data!U:U,[1]raw_data!$A:$A,$B121)</f>
        <v>14.989644</v>
      </c>
      <c r="Z121" s="24">
        <f>SUMIFS([1]raw_data!V:V,[1]raw_data!$A:$A,$B121)</f>
        <v>0.17555938037865701</v>
      </c>
      <c r="AA121" s="21">
        <f t="shared" si="1"/>
        <v>184.44551619999999</v>
      </c>
    </row>
    <row r="122" spans="1:27" x14ac:dyDescent="0.25">
      <c r="A122" s="39"/>
      <c r="B122" s="21" t="s">
        <v>149</v>
      </c>
      <c r="C122" s="21" t="s">
        <v>70</v>
      </c>
      <c r="D122" s="21" t="s">
        <v>150</v>
      </c>
      <c r="E122" s="21" t="s">
        <v>15</v>
      </c>
      <c r="F122" s="22">
        <f>IFERROR(INDEX([1]raw_data!B:B,MATCH(B122,[1]raw_data!A:A,0)),0)</f>
        <v>89.5</v>
      </c>
      <c r="G122" s="23">
        <f>SUMIFS([1]raw_data!C:C,[1]raw_data!$A:$A,$B122)</f>
        <v>0</v>
      </c>
      <c r="H122" s="24">
        <f>SUMIFS([1]raw_data!D:D,[1]raw_data!$A:$A,$B122)</f>
        <v>0</v>
      </c>
      <c r="I122" s="23">
        <f>SUMIFS([1]raw_data!E:E,[1]raw_data!$A:$A,$B122)</f>
        <v>0</v>
      </c>
      <c r="J122" s="24">
        <f>SUMIFS([1]raw_data!F:F,[1]raw_data!$A:$A,$B122)</f>
        <v>0</v>
      </c>
      <c r="K122" s="23">
        <f>SUMIFS([1]raw_data!G:G,[1]raw_data!$A:$A,$B122)</f>
        <v>0</v>
      </c>
      <c r="L122" s="24">
        <f>SUMIFS([1]raw_data!H:H,[1]raw_data!$A:$A,$B122)</f>
        <v>0</v>
      </c>
      <c r="M122" s="23">
        <f>SUMIFS([1]raw_data!I:I,[1]raw_data!$A:$A,$B122)</f>
        <v>0</v>
      </c>
      <c r="N122" s="24">
        <f>SUMIFS([1]raw_data!J:J,[1]raw_data!$A:$A,$B122)</f>
        <v>0</v>
      </c>
      <c r="O122" s="23">
        <f>SUMIFS([1]raw_data!K:K,[1]raw_data!$A:$A,$B122)</f>
        <v>915.52018499999997</v>
      </c>
      <c r="P122" s="24">
        <f>SUMIFS([1]raw_data!L:L,[1]raw_data!$A:$A,$B122)</f>
        <v>4.4555555555555504</v>
      </c>
      <c r="Q122" s="23">
        <f>SUMIFS([1]raw_data!M:M,[1]raw_data!$A:$A,$B122)</f>
        <v>915.52018499999997</v>
      </c>
      <c r="R122" s="24">
        <f>SUMIFS([1]raw_data!N:N,[1]raw_data!$A:$A,$B122)</f>
        <v>4.4555555555555504</v>
      </c>
      <c r="S122" s="23">
        <f>SUMIFS([1]raw_data!O:O,[1]raw_data!$A:$A,$B122)</f>
        <v>1.383146</v>
      </c>
      <c r="T122" s="24">
        <f>SUMIFS([1]raw_data!P:P,[1]raw_data!$A:$A,$B122)</f>
        <v>1.12359550561797E-2</v>
      </c>
      <c r="U122" s="23">
        <f>SUMIFS([1]raw_data!Q:Q,[1]raw_data!$A:$A,$B122)</f>
        <v>1.383146</v>
      </c>
      <c r="V122" s="24">
        <f>SUMIFS([1]raw_data!R:R,[1]raw_data!$A:$A,$B122)</f>
        <v>1.12359550561797E-2</v>
      </c>
      <c r="W122" s="23">
        <f>SUMIFS([1]raw_data!S:S,[1]raw_data!$A:$A,$B122)</f>
        <v>0</v>
      </c>
      <c r="X122" s="24">
        <f>SUMIFS([1]raw_data!T:T,[1]raw_data!$A:$A,$B122)</f>
        <v>0</v>
      </c>
      <c r="Y122" s="23">
        <f>SUMIFS([1]raw_data!U:U,[1]raw_data!$A:$A,$B122)</f>
        <v>0</v>
      </c>
      <c r="Z122" s="24">
        <f>SUMIFS([1]raw_data!V:V,[1]raw_data!$A:$A,$B122)</f>
        <v>0</v>
      </c>
      <c r="AA122" s="21">
        <f t="shared" si="1"/>
        <v>183.38066620000001</v>
      </c>
    </row>
    <row r="123" spans="1:27" x14ac:dyDescent="0.25">
      <c r="A123" s="39"/>
      <c r="B123" s="21" t="s">
        <v>156</v>
      </c>
      <c r="C123" s="21" t="s">
        <v>109</v>
      </c>
      <c r="D123" s="21" t="s">
        <v>157</v>
      </c>
      <c r="E123" s="21" t="s">
        <v>27</v>
      </c>
      <c r="F123" s="22">
        <f>IFERROR(INDEX([1]raw_data!B:B,MATCH(B123,[1]raw_data!A:A,0)),0)</f>
        <v>912.11111100000005</v>
      </c>
      <c r="G123" s="23">
        <f>SUMIFS([1]raw_data!C:C,[1]raw_data!$A:$A,$B123)</f>
        <v>558.450872</v>
      </c>
      <c r="H123" s="24">
        <f>SUMIFS([1]raw_data!D:D,[1]raw_data!$A:$A,$B123)</f>
        <v>2.1626794258373199</v>
      </c>
      <c r="I123" s="23">
        <f>SUMIFS([1]raw_data!E:E,[1]raw_data!$A:$A,$B123)</f>
        <v>557.31226600000002</v>
      </c>
      <c r="J123" s="24">
        <f>SUMIFS([1]raw_data!F:F,[1]raw_data!$A:$A,$B123)</f>
        <v>2.1617224880382699</v>
      </c>
      <c r="K123" s="23">
        <f>SUMIFS([1]raw_data!G:G,[1]raw_data!$A:$A,$B123)</f>
        <v>2.8435579999999998</v>
      </c>
      <c r="L123" s="24">
        <f>SUMIFS([1]raw_data!H:H,[1]raw_data!$A:$A,$B123)</f>
        <v>7.71513353115727E-2</v>
      </c>
      <c r="M123" s="23">
        <f>SUMIFS([1]raw_data!I:I,[1]raw_data!$A:$A,$B123)</f>
        <v>2.8435579999999998</v>
      </c>
      <c r="N123" s="24">
        <f>SUMIFS([1]raw_data!J:J,[1]raw_data!$A:$A,$B123)</f>
        <v>7.71513353115727E-2</v>
      </c>
      <c r="O123" s="23">
        <f>SUMIFS([1]raw_data!K:K,[1]raw_data!$A:$A,$B123)</f>
        <v>272.27223400000003</v>
      </c>
      <c r="P123" s="24">
        <f>SUMIFS([1]raw_data!L:L,[1]raw_data!$A:$A,$B123)</f>
        <v>1.0538116591928199</v>
      </c>
      <c r="Q123" s="23">
        <f>SUMIFS([1]raw_data!M:M,[1]raw_data!$A:$A,$B123)</f>
        <v>261.87688700000001</v>
      </c>
      <c r="R123" s="24">
        <f>SUMIFS([1]raw_data!N:N,[1]raw_data!$A:$A,$B123)</f>
        <v>1.0246636771300399</v>
      </c>
      <c r="S123" s="23">
        <f>SUMIFS([1]raw_data!O:O,[1]raw_data!$A:$A,$B123)</f>
        <v>30.934470000000001</v>
      </c>
      <c r="T123" s="24">
        <f>SUMIFS([1]raw_data!P:P,[1]raw_data!$A:$A,$B123)</f>
        <v>0.245882352941176</v>
      </c>
      <c r="U123" s="23">
        <f>SUMIFS([1]raw_data!Q:Q,[1]raw_data!$A:$A,$B123)</f>
        <v>27.086980000000001</v>
      </c>
      <c r="V123" s="24">
        <f>SUMIFS([1]raw_data!R:R,[1]raw_data!$A:$A,$B123)</f>
        <v>0.215294117647058</v>
      </c>
      <c r="W123" s="23">
        <f>SUMIFS([1]raw_data!S:S,[1]raw_data!$A:$A,$B123)</f>
        <v>50.484994999999998</v>
      </c>
      <c r="X123" s="24">
        <f>SUMIFS([1]raw_data!T:T,[1]raw_data!$A:$A,$B123)</f>
        <v>0.20443349753694501</v>
      </c>
      <c r="Y123" s="23">
        <f>SUMIFS([1]raw_data!U:U,[1]raw_data!$A:$A,$B123)</f>
        <v>18.820053000000001</v>
      </c>
      <c r="Z123" s="24">
        <f>SUMIFS([1]raw_data!V:V,[1]raw_data!$A:$A,$B123)</f>
        <v>0.151477832512315</v>
      </c>
      <c r="AA123" s="21">
        <f t="shared" si="1"/>
        <v>182.99722580000002</v>
      </c>
    </row>
    <row r="124" spans="1:27" x14ac:dyDescent="0.25">
      <c r="A124" s="39"/>
      <c r="B124" s="21" t="s">
        <v>219</v>
      </c>
      <c r="C124" s="21" t="s">
        <v>220</v>
      </c>
      <c r="D124" s="21" t="s">
        <v>221</v>
      </c>
      <c r="E124" s="21" t="s">
        <v>27</v>
      </c>
      <c r="F124" s="22">
        <f>IFERROR(INDEX([1]raw_data!B:B,MATCH(B124,[1]raw_data!A:A,0)),0)</f>
        <v>1004.2</v>
      </c>
      <c r="G124" s="23">
        <f>SUMIFS([1]raw_data!C:C,[1]raw_data!$A:$A,$B124)</f>
        <v>68.491254999999995</v>
      </c>
      <c r="H124" s="24">
        <f>SUMIFS([1]raw_data!D:D,[1]raw_data!$A:$A,$B124)</f>
        <v>0.434442270058708</v>
      </c>
      <c r="I124" s="23">
        <f>SUMIFS([1]raw_data!E:E,[1]raw_data!$A:$A,$B124)</f>
        <v>66.554085999999998</v>
      </c>
      <c r="J124" s="24">
        <f>SUMIFS([1]raw_data!F:F,[1]raw_data!$A:$A,$B124)</f>
        <v>0.432485322896281</v>
      </c>
      <c r="K124" s="23">
        <f>SUMIFS([1]raw_data!G:G,[1]raw_data!$A:$A,$B124)</f>
        <v>43.969226999999997</v>
      </c>
      <c r="L124" s="24">
        <f>SUMIFS([1]raw_data!H:H,[1]raw_data!$A:$A,$B124)</f>
        <v>0.35270935960591099</v>
      </c>
      <c r="M124" s="23">
        <f>SUMIFS([1]raw_data!I:I,[1]raw_data!$A:$A,$B124)</f>
        <v>30.80911</v>
      </c>
      <c r="N124" s="24">
        <f>SUMIFS([1]raw_data!J:J,[1]raw_data!$A:$A,$B124)</f>
        <v>0.314285714285714</v>
      </c>
      <c r="O124" s="23">
        <f>SUMIFS([1]raw_data!K:K,[1]raw_data!$A:$A,$B124)</f>
        <v>128.58022700000001</v>
      </c>
      <c r="P124" s="24">
        <f>SUMIFS([1]raw_data!L:L,[1]raw_data!$A:$A,$B124)</f>
        <v>1.5203171456888001</v>
      </c>
      <c r="Q124" s="23">
        <f>SUMIFS([1]raw_data!M:M,[1]raw_data!$A:$A,$B124)</f>
        <v>77.854789999999994</v>
      </c>
      <c r="R124" s="24">
        <f>SUMIFS([1]raw_data!N:N,[1]raw_data!$A:$A,$B124)</f>
        <v>0.77006937561942501</v>
      </c>
      <c r="S124" s="23">
        <f>SUMIFS([1]raw_data!O:O,[1]raw_data!$A:$A,$B124)</f>
        <v>133.45351500000001</v>
      </c>
      <c r="T124" s="24">
        <f>SUMIFS([1]raw_data!P:P,[1]raw_data!$A:$A,$B124)</f>
        <v>1.0960000000000001</v>
      </c>
      <c r="U124" s="23">
        <f>SUMIFS([1]raw_data!Q:Q,[1]raw_data!$A:$A,$B124)</f>
        <v>115.002899</v>
      </c>
      <c r="V124" s="24">
        <f>SUMIFS([1]raw_data!R:R,[1]raw_data!$A:$A,$B124)</f>
        <v>1.0249999999999999</v>
      </c>
      <c r="W124" s="23">
        <f>SUMIFS([1]raw_data!S:S,[1]raw_data!$A:$A,$B124)</f>
        <v>526.41341799999998</v>
      </c>
      <c r="X124" s="24">
        <f>SUMIFS([1]raw_data!T:T,[1]raw_data!$A:$A,$B124)</f>
        <v>2.7117948717948699</v>
      </c>
      <c r="Y124" s="23">
        <f>SUMIFS([1]raw_data!U:U,[1]raw_data!$A:$A,$B124)</f>
        <v>374.10885400000001</v>
      </c>
      <c r="Z124" s="24">
        <f>SUMIFS([1]raw_data!V:V,[1]raw_data!$A:$A,$B124)</f>
        <v>2.44820512820512</v>
      </c>
      <c r="AA124" s="21">
        <f t="shared" si="1"/>
        <v>180.18152839999999</v>
      </c>
    </row>
    <row r="125" spans="1:27" x14ac:dyDescent="0.25">
      <c r="A125" s="39"/>
      <c r="B125" s="21" t="s">
        <v>276</v>
      </c>
      <c r="C125" s="21" t="s">
        <v>277</v>
      </c>
      <c r="D125" s="21" t="s">
        <v>278</v>
      </c>
      <c r="E125" s="21" t="s">
        <v>19</v>
      </c>
      <c r="F125" s="22">
        <f>IFERROR(INDEX([1]raw_data!B:B,MATCH(B125,[1]raw_data!A:A,0)),0)</f>
        <v>1161</v>
      </c>
      <c r="G125" s="23">
        <f>SUMIFS([1]raw_data!C:C,[1]raw_data!$A:$A,$B125)</f>
        <v>1.1213390000000001</v>
      </c>
      <c r="H125" s="24">
        <f>SUMIFS([1]raw_data!D:D,[1]raw_data!$A:$A,$B125)</f>
        <v>6.6815144766146899E-3</v>
      </c>
      <c r="I125" s="23">
        <f>SUMIFS([1]raw_data!E:E,[1]raw_data!$A:$A,$B125)</f>
        <v>1.1213390000000001</v>
      </c>
      <c r="J125" s="24">
        <f>SUMIFS([1]raw_data!F:F,[1]raw_data!$A:$A,$B125)</f>
        <v>6.6815144766146899E-3</v>
      </c>
      <c r="K125" s="23">
        <f>SUMIFS([1]raw_data!G:G,[1]raw_data!$A:$A,$B125)</f>
        <v>390.98522400000002</v>
      </c>
      <c r="L125" s="24">
        <f>SUMIFS([1]raw_data!H:H,[1]raw_data!$A:$A,$B125)</f>
        <v>3.5752409191994001</v>
      </c>
      <c r="M125" s="23">
        <f>SUMIFS([1]raw_data!I:I,[1]raw_data!$A:$A,$B125)</f>
        <v>390.40230100000002</v>
      </c>
      <c r="N125" s="24">
        <f>SUMIFS([1]raw_data!J:J,[1]raw_data!$A:$A,$B125)</f>
        <v>3.5744996293550702</v>
      </c>
      <c r="O125" s="23">
        <f>SUMIFS([1]raw_data!K:K,[1]raw_data!$A:$A,$B125)</f>
        <v>116.34524999999999</v>
      </c>
      <c r="P125" s="24">
        <f>SUMIFS([1]raw_data!L:L,[1]raw_data!$A:$A,$B125)</f>
        <v>1.7166799680766101</v>
      </c>
      <c r="Q125" s="23">
        <f>SUMIFS([1]raw_data!M:M,[1]raw_data!$A:$A,$B125)</f>
        <v>85.898043999999999</v>
      </c>
      <c r="R125" s="24">
        <f>SUMIFS([1]raw_data!N:N,[1]raw_data!$A:$A,$B125)</f>
        <v>1.707102952913</v>
      </c>
      <c r="S125" s="23">
        <f>SUMIFS([1]raw_data!O:O,[1]raw_data!$A:$A,$B125)</f>
        <v>154.24998199999999</v>
      </c>
      <c r="T125" s="24">
        <f>SUMIFS([1]raw_data!P:P,[1]raw_data!$A:$A,$B125)</f>
        <v>0.46077457795431898</v>
      </c>
      <c r="U125" s="23">
        <f>SUMIFS([1]raw_data!Q:Q,[1]raw_data!$A:$A,$B125)</f>
        <v>31.609665</v>
      </c>
      <c r="V125" s="24">
        <f>SUMIFS([1]raw_data!R:R,[1]raw_data!$A:$A,$B125)</f>
        <v>0.39721946375372302</v>
      </c>
      <c r="W125" s="23">
        <f>SUMIFS([1]raw_data!S:S,[1]raw_data!$A:$A,$B125)</f>
        <v>216.79177200000001</v>
      </c>
      <c r="X125" s="24">
        <f>SUMIFS([1]raw_data!T:T,[1]raw_data!$A:$A,$B125)</f>
        <v>0.178343949044585</v>
      </c>
      <c r="Y125" s="23">
        <f>SUMIFS([1]raw_data!U:U,[1]raw_data!$A:$A,$B125)</f>
        <v>2.1350669999999998</v>
      </c>
      <c r="Z125" s="24">
        <f>SUMIFS([1]raw_data!V:V,[1]raw_data!$A:$A,$B125)</f>
        <v>4.5647558386411803E-2</v>
      </c>
      <c r="AA125" s="21">
        <f t="shared" si="1"/>
        <v>175.89871339999999</v>
      </c>
    </row>
    <row r="126" spans="1:27" x14ac:dyDescent="0.25">
      <c r="A126" s="39"/>
      <c r="B126" s="21" t="s">
        <v>246</v>
      </c>
      <c r="C126" s="21" t="s">
        <v>231</v>
      </c>
      <c r="D126" s="21" t="s">
        <v>247</v>
      </c>
      <c r="E126" s="21" t="s">
        <v>15</v>
      </c>
      <c r="F126" s="22">
        <f>IFERROR(INDEX([1]raw_data!B:B,MATCH(B126,[1]raw_data!A:A,0)),0)</f>
        <v>1193.5999999999999</v>
      </c>
      <c r="G126" s="23">
        <f>SUMIFS([1]raw_data!C:C,[1]raw_data!$A:$A,$B126)</f>
        <v>93.087142</v>
      </c>
      <c r="H126" s="24">
        <f>SUMIFS([1]raw_data!D:D,[1]raw_data!$A:$A,$B126)</f>
        <v>0.36275375110326502</v>
      </c>
      <c r="I126" s="23">
        <f>SUMIFS([1]raw_data!E:E,[1]raw_data!$A:$A,$B126)</f>
        <v>65.845152999999996</v>
      </c>
      <c r="J126" s="24">
        <f>SUMIFS([1]raw_data!F:F,[1]raw_data!$A:$A,$B126)</f>
        <v>0.335392762577228</v>
      </c>
      <c r="K126" s="23">
        <f>SUMIFS([1]raw_data!G:G,[1]raw_data!$A:$A,$B126)</f>
        <v>93.868274</v>
      </c>
      <c r="L126" s="24">
        <f>SUMIFS([1]raw_data!H:H,[1]raw_data!$A:$A,$B126)</f>
        <v>0.34008810572687198</v>
      </c>
      <c r="M126" s="23">
        <f>SUMIFS([1]raw_data!I:I,[1]raw_data!$A:$A,$B126)</f>
        <v>90.564098999999999</v>
      </c>
      <c r="N126" s="24">
        <f>SUMIFS([1]raw_data!J:J,[1]raw_data!$A:$A,$B126)</f>
        <v>0.33744493392070402</v>
      </c>
      <c r="O126" s="23">
        <f>SUMIFS([1]raw_data!K:K,[1]raw_data!$A:$A,$B126)</f>
        <v>376.85110800000001</v>
      </c>
      <c r="P126" s="24">
        <f>SUMIFS([1]raw_data!L:L,[1]raw_data!$A:$A,$B126)</f>
        <v>0.81786339754816095</v>
      </c>
      <c r="Q126" s="23">
        <f>SUMIFS([1]raw_data!M:M,[1]raw_data!$A:$A,$B126)</f>
        <v>150.84084899999999</v>
      </c>
      <c r="R126" s="24">
        <f>SUMIFS([1]raw_data!N:N,[1]raw_data!$A:$A,$B126)</f>
        <v>0.68301225919439501</v>
      </c>
      <c r="S126" s="23">
        <f>SUMIFS([1]raw_data!O:O,[1]raw_data!$A:$A,$B126)</f>
        <v>86.393838000000002</v>
      </c>
      <c r="T126" s="24">
        <f>SUMIFS([1]raw_data!P:P,[1]raw_data!$A:$A,$B126)</f>
        <v>0.38841567291311702</v>
      </c>
      <c r="U126" s="23">
        <f>SUMIFS([1]raw_data!Q:Q,[1]raw_data!$A:$A,$B126)</f>
        <v>38.112464000000003</v>
      </c>
      <c r="V126" s="24">
        <f>SUMIFS([1]raw_data!R:R,[1]raw_data!$A:$A,$B126)</f>
        <v>0.30238500851788702</v>
      </c>
      <c r="W126" s="23">
        <f>SUMIFS([1]raw_data!S:S,[1]raw_data!$A:$A,$B126)</f>
        <v>228.65927199999999</v>
      </c>
      <c r="X126" s="24">
        <f>SUMIFS([1]raw_data!T:T,[1]raw_data!$A:$A,$B126)</f>
        <v>1.8721098265895899</v>
      </c>
      <c r="Y126" s="23">
        <f>SUMIFS([1]raw_data!U:U,[1]raw_data!$A:$A,$B126)</f>
        <v>224.19324399999999</v>
      </c>
      <c r="Z126" s="24">
        <f>SUMIFS([1]raw_data!V:V,[1]raw_data!$A:$A,$B126)</f>
        <v>1.8591040462427699</v>
      </c>
      <c r="AA126" s="21">
        <f t="shared" si="1"/>
        <v>175.77192680000002</v>
      </c>
    </row>
    <row r="127" spans="1:27" x14ac:dyDescent="0.25">
      <c r="A127" s="39"/>
      <c r="B127" s="21" t="s">
        <v>333</v>
      </c>
      <c r="C127" s="21" t="s">
        <v>95</v>
      </c>
      <c r="D127" s="21" t="s">
        <v>334</v>
      </c>
      <c r="E127" s="21" t="s">
        <v>19</v>
      </c>
      <c r="F127" s="22">
        <f>IFERROR(INDEX([1]raw_data!B:B,MATCH(B127,[1]raw_data!A:A,0)),0)</f>
        <v>2047</v>
      </c>
      <c r="G127" s="23">
        <f>SUMIFS([1]raw_data!C:C,[1]raw_data!$A:$A,$B127)</f>
        <v>185.82223099999999</v>
      </c>
      <c r="H127" s="24">
        <f>SUMIFS([1]raw_data!D:D,[1]raw_data!$A:$A,$B127)</f>
        <v>0.72241294752329499</v>
      </c>
      <c r="I127" s="23">
        <f>SUMIFS([1]raw_data!E:E,[1]raw_data!$A:$A,$B127)</f>
        <v>185.00630000000001</v>
      </c>
      <c r="J127" s="24">
        <f>SUMIFS([1]raw_data!F:F,[1]raw_data!$A:$A,$B127)</f>
        <v>0.72143207454634595</v>
      </c>
      <c r="K127" s="23">
        <f>SUMIFS([1]raw_data!G:G,[1]raw_data!$A:$A,$B127)</f>
        <v>190.52236600000001</v>
      </c>
      <c r="L127" s="24">
        <f>SUMIFS([1]raw_data!H:H,[1]raw_data!$A:$A,$B127)</f>
        <v>1.2207602339181201</v>
      </c>
      <c r="M127" s="23">
        <f>SUMIFS([1]raw_data!I:I,[1]raw_data!$A:$A,$B127)</f>
        <v>31.917204000000002</v>
      </c>
      <c r="N127" s="24">
        <f>SUMIFS([1]raw_data!J:J,[1]raw_data!$A:$A,$B127)</f>
        <v>0.19980506822611999</v>
      </c>
      <c r="O127" s="23">
        <f>SUMIFS([1]raw_data!K:K,[1]raw_data!$A:$A,$B127)</f>
        <v>119.944985</v>
      </c>
      <c r="P127" s="24">
        <f>SUMIFS([1]raw_data!L:L,[1]raw_data!$A:$A,$B127)</f>
        <v>1.16869819600195</v>
      </c>
      <c r="Q127" s="23">
        <f>SUMIFS([1]raw_data!M:M,[1]raw_data!$A:$A,$B127)</f>
        <v>78.624459000000002</v>
      </c>
      <c r="R127" s="24">
        <f>SUMIFS([1]raw_data!N:N,[1]raw_data!$A:$A,$B127)</f>
        <v>1.0848366650414401</v>
      </c>
      <c r="S127" s="23">
        <f>SUMIFS([1]raw_data!O:O,[1]raw_data!$A:$A,$B127)</f>
        <v>267.78653500000001</v>
      </c>
      <c r="T127" s="24">
        <f>SUMIFS([1]raw_data!P:P,[1]raw_data!$A:$A,$B127)</f>
        <v>1.17951219512195</v>
      </c>
      <c r="U127" s="23">
        <f>SUMIFS([1]raw_data!Q:Q,[1]raw_data!$A:$A,$B127)</f>
        <v>86.893983000000006</v>
      </c>
      <c r="V127" s="24">
        <f>SUMIFS([1]raw_data!R:R,[1]raw_data!$A:$A,$B127)</f>
        <v>1.06243902439024</v>
      </c>
      <c r="W127" s="23">
        <f>SUMIFS([1]raw_data!S:S,[1]raw_data!$A:$A,$B127)</f>
        <v>90.735208</v>
      </c>
      <c r="X127" s="24">
        <f>SUMIFS([1]raw_data!T:T,[1]raw_data!$A:$A,$B127)</f>
        <v>0.20411160058737099</v>
      </c>
      <c r="Y127" s="23">
        <f>SUMIFS([1]raw_data!U:U,[1]raw_data!$A:$A,$B127)</f>
        <v>45.126340999999996</v>
      </c>
      <c r="Z127" s="24">
        <f>SUMIFS([1]raw_data!V:V,[1]raw_data!$A:$A,$B127)</f>
        <v>0.18159569260890801</v>
      </c>
      <c r="AA127" s="21">
        <f t="shared" si="1"/>
        <v>170.96226500000003</v>
      </c>
    </row>
    <row r="128" spans="1:27" x14ac:dyDescent="0.25">
      <c r="A128" s="39"/>
      <c r="B128" s="21" t="s">
        <v>382</v>
      </c>
      <c r="C128" s="21" t="s">
        <v>35</v>
      </c>
      <c r="D128" s="21" t="s">
        <v>383</v>
      </c>
      <c r="E128" s="21" t="s">
        <v>15</v>
      </c>
      <c r="F128" s="22">
        <f>IFERROR(INDEX([1]raw_data!B:B,MATCH(B128,[1]raw_data!A:A,0)),0)</f>
        <v>438.5</v>
      </c>
      <c r="G128" s="23">
        <f>SUMIFS([1]raw_data!C:C,[1]raw_data!$A:$A,$B128)</f>
        <v>3.4794619999999998</v>
      </c>
      <c r="H128" s="24">
        <f>SUMIFS([1]raw_data!D:D,[1]raw_data!$A:$A,$B128)</f>
        <v>1.1627906976744099E-2</v>
      </c>
      <c r="I128" s="23">
        <f>SUMIFS([1]raw_data!E:E,[1]raw_data!$A:$A,$B128)</f>
        <v>3.4794619999999998</v>
      </c>
      <c r="J128" s="24">
        <f>SUMIFS([1]raw_data!F:F,[1]raw_data!$A:$A,$B128)</f>
        <v>1.1627906976744099E-2</v>
      </c>
      <c r="K128" s="23">
        <f>SUMIFS([1]raw_data!G:G,[1]raw_data!$A:$A,$B128)</f>
        <v>0</v>
      </c>
      <c r="L128" s="24">
        <f>SUMIFS([1]raw_data!H:H,[1]raw_data!$A:$A,$B128)</f>
        <v>0</v>
      </c>
      <c r="M128" s="23">
        <f>SUMIFS([1]raw_data!I:I,[1]raw_data!$A:$A,$B128)</f>
        <v>0</v>
      </c>
      <c r="N128" s="24">
        <f>SUMIFS([1]raw_data!J:J,[1]raw_data!$A:$A,$B128)</f>
        <v>0</v>
      </c>
      <c r="O128" s="23">
        <f>SUMIFS([1]raw_data!K:K,[1]raw_data!$A:$A,$B128)</f>
        <v>588.61204999999995</v>
      </c>
      <c r="P128" s="24">
        <f>SUMIFS([1]raw_data!L:L,[1]raw_data!$A:$A,$B128)</f>
        <v>2.6087912087912</v>
      </c>
      <c r="Q128" s="23">
        <f>SUMIFS([1]raw_data!M:M,[1]raw_data!$A:$A,$B128)</f>
        <v>156.064908</v>
      </c>
      <c r="R128" s="24">
        <f>SUMIFS([1]raw_data!N:N,[1]raw_data!$A:$A,$B128)</f>
        <v>1.21318681318681</v>
      </c>
      <c r="S128" s="23">
        <f>SUMIFS([1]raw_data!O:O,[1]raw_data!$A:$A,$B128)</f>
        <v>108.523449</v>
      </c>
      <c r="T128" s="24">
        <f>SUMIFS([1]raw_data!P:P,[1]raw_data!$A:$A,$B128)</f>
        <v>0.18968692449355401</v>
      </c>
      <c r="U128" s="23">
        <f>SUMIFS([1]raw_data!Q:Q,[1]raw_data!$A:$A,$B128)</f>
        <v>26.060773000000001</v>
      </c>
      <c r="V128" s="24">
        <f>SUMIFS([1]raw_data!R:R,[1]raw_data!$A:$A,$B128)</f>
        <v>0.13259668508287201</v>
      </c>
      <c r="W128" s="23">
        <f>SUMIFS([1]raw_data!S:S,[1]raw_data!$A:$A,$B128)</f>
        <v>150.91484500000001</v>
      </c>
      <c r="X128" s="24">
        <f>SUMIFS([1]raw_data!T:T,[1]raw_data!$A:$A,$B128)</f>
        <v>1.6539162112932599</v>
      </c>
      <c r="Y128" s="23">
        <f>SUMIFS([1]raw_data!U:U,[1]raw_data!$A:$A,$B128)</f>
        <v>150.91484500000001</v>
      </c>
      <c r="Z128" s="24">
        <f>SUMIFS([1]raw_data!V:V,[1]raw_data!$A:$A,$B128)</f>
        <v>1.6539162112932599</v>
      </c>
      <c r="AA128" s="21">
        <f t="shared" si="1"/>
        <v>170.30596120000001</v>
      </c>
    </row>
    <row r="129" spans="1:27" x14ac:dyDescent="0.25">
      <c r="A129" s="39"/>
      <c r="B129" s="21" t="s">
        <v>427</v>
      </c>
      <c r="C129" s="21" t="s">
        <v>331</v>
      </c>
      <c r="D129" s="21" t="s">
        <v>428</v>
      </c>
      <c r="E129" s="21" t="s">
        <v>23</v>
      </c>
      <c r="F129" s="22">
        <f>IFERROR(INDEX([1]raw_data!B:B,MATCH(B129,[1]raw_data!A:A,0)),0)</f>
        <v>1049.8</v>
      </c>
      <c r="G129" s="23">
        <f>SUMIFS([1]raw_data!C:C,[1]raw_data!$A:$A,$B129)</f>
        <v>625.228568</v>
      </c>
      <c r="H129" s="24">
        <f>SUMIFS([1]raw_data!D:D,[1]raw_data!$A:$A,$B129)</f>
        <v>0.27490421455938602</v>
      </c>
      <c r="I129" s="23">
        <f>SUMIFS([1]raw_data!E:E,[1]raw_data!$A:$A,$B129)</f>
        <v>86.822438000000005</v>
      </c>
      <c r="J129" s="24">
        <f>SUMIFS([1]raw_data!F:F,[1]raw_data!$A:$A,$B129)</f>
        <v>0.12164750957854401</v>
      </c>
      <c r="K129" s="23">
        <f>SUMIFS([1]raw_data!G:G,[1]raw_data!$A:$A,$B129)</f>
        <v>32.610207000000003</v>
      </c>
      <c r="L129" s="24">
        <f>SUMIFS([1]raw_data!H:H,[1]raw_data!$A:$A,$B129)</f>
        <v>7.8598484848484806E-2</v>
      </c>
      <c r="M129" s="23">
        <f>SUMIFS([1]raw_data!I:I,[1]raw_data!$A:$A,$B129)</f>
        <v>4.5292770000000004</v>
      </c>
      <c r="N129" s="24">
        <f>SUMIFS([1]raw_data!J:J,[1]raw_data!$A:$A,$B129)</f>
        <v>7.00757575757575E-2</v>
      </c>
      <c r="O129" s="23">
        <f>SUMIFS([1]raw_data!K:K,[1]raw_data!$A:$A,$B129)</f>
        <v>6.7703680000000004</v>
      </c>
      <c r="P129" s="24">
        <f>SUMIFS([1]raw_data!L:L,[1]raw_data!$A:$A,$B129)</f>
        <v>0.119092627599243</v>
      </c>
      <c r="Q129" s="23">
        <f>SUMIFS([1]raw_data!M:M,[1]raw_data!$A:$A,$B129)</f>
        <v>5.2828290000000004</v>
      </c>
      <c r="R129" s="24">
        <f>SUMIFS([1]raw_data!N:N,[1]raw_data!$A:$A,$B129)</f>
        <v>0.11625708884688001</v>
      </c>
      <c r="S129" s="23">
        <f>SUMIFS([1]raw_data!O:O,[1]raw_data!$A:$A,$B129)</f>
        <v>132.01736099999999</v>
      </c>
      <c r="T129" s="24">
        <f>SUMIFS([1]raw_data!P:P,[1]raw_data!$A:$A,$B129)</f>
        <v>0.333965844402277</v>
      </c>
      <c r="U129" s="23">
        <f>SUMIFS([1]raw_data!Q:Q,[1]raw_data!$A:$A,$B129)</f>
        <v>63.864294000000001</v>
      </c>
      <c r="V129" s="24">
        <f>SUMIFS([1]raw_data!R:R,[1]raw_data!$A:$A,$B129)</f>
        <v>0.29601518026565399</v>
      </c>
      <c r="W129" s="23">
        <f>SUMIFS([1]raw_data!S:S,[1]raw_data!$A:$A,$B129)</f>
        <v>47.485292999999999</v>
      </c>
      <c r="X129" s="24">
        <f>SUMIFS([1]raw_data!T:T,[1]raw_data!$A:$A,$B129)</f>
        <v>0.37994214079074201</v>
      </c>
      <c r="Y129" s="23">
        <f>SUMIFS([1]raw_data!U:U,[1]raw_data!$A:$A,$B129)</f>
        <v>47.348874000000002</v>
      </c>
      <c r="Z129" s="24">
        <f>SUMIFS([1]raw_data!V:V,[1]raw_data!$A:$A,$B129)</f>
        <v>0.37897782063645102</v>
      </c>
      <c r="AA129" s="21">
        <f t="shared" si="1"/>
        <v>168.82235939999995</v>
      </c>
    </row>
    <row r="130" spans="1:27" x14ac:dyDescent="0.25">
      <c r="A130" s="39"/>
      <c r="B130" s="21" t="s">
        <v>237</v>
      </c>
      <c r="C130" s="21" t="s">
        <v>118</v>
      </c>
      <c r="D130" s="21" t="s">
        <v>238</v>
      </c>
      <c r="E130" s="21" t="s">
        <v>27</v>
      </c>
      <c r="F130" s="22">
        <f>IFERROR(INDEX([1]raw_data!B:B,MATCH(B130,[1]raw_data!A:A,0)),0)</f>
        <v>739.11111100000005</v>
      </c>
      <c r="G130" s="23">
        <f>SUMIFS([1]raw_data!C:C,[1]raw_data!$A:$A,$B130)</f>
        <v>38.566454999999998</v>
      </c>
      <c r="H130" s="24">
        <f>SUMIFS([1]raw_data!D:D,[1]raw_data!$A:$A,$B130)</f>
        <v>0.13235294117647001</v>
      </c>
      <c r="I130" s="23">
        <f>SUMIFS([1]raw_data!E:E,[1]raw_data!$A:$A,$B130)</f>
        <v>11.283588</v>
      </c>
      <c r="J130" s="24">
        <f>SUMIFS([1]raw_data!F:F,[1]raw_data!$A:$A,$B130)</f>
        <v>0.11229946524064099</v>
      </c>
      <c r="K130" s="23">
        <f>SUMIFS([1]raw_data!G:G,[1]raw_data!$A:$A,$B130)</f>
        <v>183.744507</v>
      </c>
      <c r="L130" s="24">
        <f>SUMIFS([1]raw_data!H:H,[1]raw_data!$A:$A,$B130)</f>
        <v>1.0691994572591501</v>
      </c>
      <c r="M130" s="23">
        <f>SUMIFS([1]raw_data!I:I,[1]raw_data!$A:$A,$B130)</f>
        <v>181.93978200000001</v>
      </c>
      <c r="N130" s="24">
        <f>SUMIFS([1]raw_data!J:J,[1]raw_data!$A:$A,$B130)</f>
        <v>1.06377204884667</v>
      </c>
      <c r="O130" s="23">
        <f>SUMIFS([1]raw_data!K:K,[1]raw_data!$A:$A,$B130)</f>
        <v>176.87115</v>
      </c>
      <c r="P130" s="24">
        <f>SUMIFS([1]raw_data!L:L,[1]raw_data!$A:$A,$B130)</f>
        <v>1.22282608695652</v>
      </c>
      <c r="Q130" s="23">
        <f>SUMIFS([1]raw_data!M:M,[1]raw_data!$A:$A,$B130)</f>
        <v>176.87115</v>
      </c>
      <c r="R130" s="24">
        <f>SUMIFS([1]raw_data!N:N,[1]raw_data!$A:$A,$B130)</f>
        <v>1.22282608695652</v>
      </c>
      <c r="S130" s="23">
        <f>SUMIFS([1]raw_data!O:O,[1]raw_data!$A:$A,$B130)</f>
        <v>315.24897399999998</v>
      </c>
      <c r="T130" s="24">
        <f>SUMIFS([1]raw_data!P:P,[1]raw_data!$A:$A,$B130)</f>
        <v>2.46448087431693</v>
      </c>
      <c r="U130" s="23">
        <f>SUMIFS([1]raw_data!Q:Q,[1]raw_data!$A:$A,$B130)</f>
        <v>120.693647</v>
      </c>
      <c r="V130" s="24">
        <f>SUMIFS([1]raw_data!R:R,[1]raw_data!$A:$A,$B130)</f>
        <v>1.6639344262294999</v>
      </c>
      <c r="W130" s="23">
        <f>SUMIFS([1]raw_data!S:S,[1]raw_data!$A:$A,$B130)</f>
        <v>122.194084</v>
      </c>
      <c r="X130" s="24">
        <f>SUMIFS([1]raw_data!T:T,[1]raw_data!$A:$A,$B130)</f>
        <v>1.0310391363022899</v>
      </c>
      <c r="Y130" s="23">
        <f>SUMIFS([1]raw_data!U:U,[1]raw_data!$A:$A,$B130)</f>
        <v>111.834255</v>
      </c>
      <c r="Z130" s="24">
        <f>SUMIFS([1]raw_data!V:V,[1]raw_data!$A:$A,$B130)</f>
        <v>1.01214574898785</v>
      </c>
      <c r="AA130" s="21">
        <f t="shared" si="1"/>
        <v>167.32503399999999</v>
      </c>
    </row>
    <row r="131" spans="1:27" x14ac:dyDescent="0.25">
      <c r="A131" s="39"/>
      <c r="B131" s="21" t="s">
        <v>230</v>
      </c>
      <c r="C131" s="21" t="s">
        <v>231</v>
      </c>
      <c r="D131" s="21" t="s">
        <v>232</v>
      </c>
      <c r="E131" s="21" t="s">
        <v>15</v>
      </c>
      <c r="F131" s="22">
        <f>IFERROR(INDEX([1]raw_data!B:B,MATCH(B131,[1]raw_data!A:A,0)),0)</f>
        <v>810.11111100000005</v>
      </c>
      <c r="G131" s="23">
        <f>SUMIFS([1]raw_data!C:C,[1]raw_data!$A:$A,$B131)</f>
        <v>72.173817</v>
      </c>
      <c r="H131" s="24">
        <f>SUMIFS([1]raw_data!D:D,[1]raw_data!$A:$A,$B131)</f>
        <v>0.41032998565279699</v>
      </c>
      <c r="I131" s="23">
        <f>SUMIFS([1]raw_data!E:E,[1]raw_data!$A:$A,$B131)</f>
        <v>63.846404</v>
      </c>
      <c r="J131" s="24">
        <f>SUMIFS([1]raw_data!F:F,[1]raw_data!$A:$A,$B131)</f>
        <v>0.385939741750358</v>
      </c>
      <c r="K131" s="23">
        <f>SUMIFS([1]raw_data!G:G,[1]raw_data!$A:$A,$B131)</f>
        <v>216.615241</v>
      </c>
      <c r="L131" s="24">
        <f>SUMIFS([1]raw_data!H:H,[1]raw_data!$A:$A,$B131)</f>
        <v>1.4054834054834</v>
      </c>
      <c r="M131" s="23">
        <f>SUMIFS([1]raw_data!I:I,[1]raw_data!$A:$A,$B131)</f>
        <v>216.615241</v>
      </c>
      <c r="N131" s="24">
        <f>SUMIFS([1]raw_data!J:J,[1]raw_data!$A:$A,$B131)</f>
        <v>1.4054834054834</v>
      </c>
      <c r="O131" s="23">
        <f>SUMIFS([1]raw_data!K:K,[1]raw_data!$A:$A,$B131)</f>
        <v>255.00648200000001</v>
      </c>
      <c r="P131" s="24">
        <f>SUMIFS([1]raw_data!L:L,[1]raw_data!$A:$A,$B131)</f>
        <v>0.92927864214992895</v>
      </c>
      <c r="Q131" s="23">
        <f>SUMIFS([1]raw_data!M:M,[1]raw_data!$A:$A,$B131)</f>
        <v>155.14542599999999</v>
      </c>
      <c r="R131" s="24">
        <f>SUMIFS([1]raw_data!N:N,[1]raw_data!$A:$A,$B131)</f>
        <v>0.81329561527581296</v>
      </c>
      <c r="S131" s="23">
        <f>SUMIFS([1]raw_data!O:O,[1]raw_data!$A:$A,$B131)</f>
        <v>121.806105</v>
      </c>
      <c r="T131" s="24">
        <f>SUMIFS([1]raw_data!P:P,[1]raw_data!$A:$A,$B131)</f>
        <v>0.47058823529411697</v>
      </c>
      <c r="U131" s="23">
        <f>SUMIFS([1]raw_data!Q:Q,[1]raw_data!$A:$A,$B131)</f>
        <v>87.389326999999994</v>
      </c>
      <c r="V131" s="24">
        <f>SUMIFS([1]raw_data!R:R,[1]raw_data!$A:$A,$B131)</f>
        <v>0.45053475935828802</v>
      </c>
      <c r="W131" s="23">
        <f>SUMIFS([1]raw_data!S:S,[1]raw_data!$A:$A,$B131)</f>
        <v>166.92497700000001</v>
      </c>
      <c r="X131" s="24">
        <f>SUMIFS([1]raw_data!T:T,[1]raw_data!$A:$A,$B131)</f>
        <v>0.20924149956408</v>
      </c>
      <c r="Y131" s="23">
        <f>SUMIFS([1]raw_data!U:U,[1]raw_data!$A:$A,$B131)</f>
        <v>107.917974</v>
      </c>
      <c r="Z131" s="24">
        <f>SUMIFS([1]raw_data!V:V,[1]raw_data!$A:$A,$B131)</f>
        <v>0.146469049694856</v>
      </c>
      <c r="AA131" s="21">
        <f t="shared" si="1"/>
        <v>166.50532440000001</v>
      </c>
    </row>
    <row r="132" spans="1:27" x14ac:dyDescent="0.25">
      <c r="A132" s="39"/>
      <c r="B132" s="21" t="s">
        <v>379</v>
      </c>
      <c r="C132" s="21" t="s">
        <v>380</v>
      </c>
      <c r="D132" s="21" t="s">
        <v>381</v>
      </c>
      <c r="E132" s="21" t="s">
        <v>19</v>
      </c>
      <c r="F132" s="22">
        <f>IFERROR(INDEX([1]raw_data!B:B,MATCH(B132,[1]raw_data!A:A,0)),0)</f>
        <v>1575.125</v>
      </c>
      <c r="G132" s="23">
        <f>SUMIFS([1]raw_data!C:C,[1]raw_data!$A:$A,$B132)</f>
        <v>142.24473900000001</v>
      </c>
      <c r="H132" s="24">
        <f>SUMIFS([1]raw_data!D:D,[1]raw_data!$A:$A,$B132)</f>
        <v>1.2429245283018799</v>
      </c>
      <c r="I132" s="23">
        <f>SUMIFS([1]raw_data!E:E,[1]raw_data!$A:$A,$B132)</f>
        <v>142.24473900000001</v>
      </c>
      <c r="J132" s="24">
        <f>SUMIFS([1]raw_data!F:F,[1]raw_data!$A:$A,$B132)</f>
        <v>1.2429245283018799</v>
      </c>
      <c r="K132" s="23">
        <f>SUMIFS([1]raw_data!G:G,[1]raw_data!$A:$A,$B132)</f>
        <v>61.511440999999998</v>
      </c>
      <c r="L132" s="24">
        <f>SUMIFS([1]raw_data!H:H,[1]raw_data!$A:$A,$B132)</f>
        <v>0.34805653710247297</v>
      </c>
      <c r="M132" s="23">
        <f>SUMIFS([1]raw_data!I:I,[1]raw_data!$A:$A,$B132)</f>
        <v>59.682250000000003</v>
      </c>
      <c r="N132" s="24">
        <f>SUMIFS([1]raw_data!J:J,[1]raw_data!$A:$A,$B132)</f>
        <v>0.34687868080094197</v>
      </c>
      <c r="O132" s="23">
        <f>SUMIFS([1]raw_data!K:K,[1]raw_data!$A:$A,$B132)</f>
        <v>107.423496</v>
      </c>
      <c r="P132" s="24">
        <f>SUMIFS([1]raw_data!L:L,[1]raw_data!$A:$A,$B132)</f>
        <v>0.403321470937129</v>
      </c>
      <c r="Q132" s="23">
        <f>SUMIFS([1]raw_data!M:M,[1]raw_data!$A:$A,$B132)</f>
        <v>104.02406000000001</v>
      </c>
      <c r="R132" s="24">
        <f>SUMIFS([1]raw_data!N:N,[1]raw_data!$A:$A,$B132)</f>
        <v>0.40154211150652402</v>
      </c>
      <c r="S132" s="23">
        <f>SUMIFS([1]raw_data!O:O,[1]raw_data!$A:$A,$B132)</f>
        <v>13.595487</v>
      </c>
      <c r="T132" s="24">
        <f>SUMIFS([1]raw_data!P:P,[1]raw_data!$A:$A,$B132)</f>
        <v>0.15623136553369099</v>
      </c>
      <c r="U132" s="23">
        <f>SUMIFS([1]raw_data!Q:Q,[1]raw_data!$A:$A,$B132)</f>
        <v>13.595487</v>
      </c>
      <c r="V132" s="24">
        <f>SUMIFS([1]raw_data!R:R,[1]raw_data!$A:$A,$B132)</f>
        <v>0.15623136553369099</v>
      </c>
      <c r="W132" s="23">
        <f>SUMIFS([1]raw_data!S:S,[1]raw_data!$A:$A,$B132)</f>
        <v>495.15842700000002</v>
      </c>
      <c r="X132" s="24">
        <f>SUMIFS([1]raw_data!T:T,[1]raw_data!$A:$A,$B132)</f>
        <v>2.0715447154471498</v>
      </c>
      <c r="Y132" s="23">
        <f>SUMIFS([1]raw_data!U:U,[1]raw_data!$A:$A,$B132)</f>
        <v>19.950284</v>
      </c>
      <c r="Z132" s="24">
        <f>SUMIFS([1]raw_data!V:V,[1]raw_data!$A:$A,$B132)</f>
        <v>0.21869918699186899</v>
      </c>
      <c r="AA132" s="21">
        <f t="shared" ref="AA132:AA193" si="2">(G132+K132+O132+S132+W132)/5</f>
        <v>163.986718</v>
      </c>
    </row>
    <row r="133" spans="1:27" x14ac:dyDescent="0.25">
      <c r="A133" s="40" t="s">
        <v>313</v>
      </c>
      <c r="B133" s="25" t="s">
        <v>303</v>
      </c>
      <c r="C133" s="25" t="s">
        <v>214</v>
      </c>
      <c r="D133" s="25" t="s">
        <v>304</v>
      </c>
      <c r="E133" s="25" t="s">
        <v>23</v>
      </c>
      <c r="F133" s="26">
        <f>IFERROR(INDEX([1]raw_data!B:B,MATCH(B133,[1]raw_data!A:A,0)),0)</f>
        <v>450.33333299999998</v>
      </c>
      <c r="G133" s="27">
        <f>SUMIFS([1]raw_data!C:C,[1]raw_data!$A:$A,$B133)</f>
        <v>108.989912</v>
      </c>
      <c r="H133" s="28">
        <f>SUMIFS([1]raw_data!D:D,[1]raw_data!$A:$A,$B133)</f>
        <v>1.07218683651804</v>
      </c>
      <c r="I133" s="27">
        <f>SUMIFS([1]raw_data!E:E,[1]raw_data!$A:$A,$B133)</f>
        <v>108.989912</v>
      </c>
      <c r="J133" s="28">
        <f>SUMIFS([1]raw_data!F:F,[1]raw_data!$A:$A,$B133)</f>
        <v>1.07218683651804</v>
      </c>
      <c r="K133" s="27">
        <f>SUMIFS([1]raw_data!G:G,[1]raw_data!$A:$A,$B133)</f>
        <v>8.1870200000000004</v>
      </c>
      <c r="L133" s="28">
        <f>SUMIFS([1]raw_data!H:H,[1]raw_data!$A:$A,$B133)</f>
        <v>7.7083333333333295E-2</v>
      </c>
      <c r="M133" s="27">
        <f>SUMIFS([1]raw_data!I:I,[1]raw_data!$A:$A,$B133)</f>
        <v>4.3165399999999998</v>
      </c>
      <c r="N133" s="28">
        <f>SUMIFS([1]raw_data!J:J,[1]raw_data!$A:$A,$B133)</f>
        <v>7.4999999999999997E-2</v>
      </c>
      <c r="O133" s="27">
        <f>SUMIFS([1]raw_data!K:K,[1]raw_data!$A:$A,$B133)</f>
        <v>315.65126099999998</v>
      </c>
      <c r="P133" s="28">
        <f>SUMIFS([1]raw_data!L:L,[1]raw_data!$A:$A,$B133)</f>
        <v>2.6124721603563401</v>
      </c>
      <c r="Q133" s="27">
        <f>SUMIFS([1]raw_data!M:M,[1]raw_data!$A:$A,$B133)</f>
        <v>249.287082</v>
      </c>
      <c r="R133" s="28">
        <f>SUMIFS([1]raw_data!N:N,[1]raw_data!$A:$A,$B133)</f>
        <v>2.58351893095768</v>
      </c>
      <c r="S133" s="27">
        <f>SUMIFS([1]raw_data!O:O,[1]raw_data!$A:$A,$B133)</f>
        <v>297.87720400000001</v>
      </c>
      <c r="T133" s="28">
        <f>SUMIFS([1]raw_data!P:P,[1]raw_data!$A:$A,$B133)</f>
        <v>1.28251121076233</v>
      </c>
      <c r="U133" s="27">
        <f>SUMIFS([1]raw_data!Q:Q,[1]raw_data!$A:$A,$B133)</f>
        <v>103.23751799999999</v>
      </c>
      <c r="V133" s="28">
        <f>SUMIFS([1]raw_data!R:R,[1]raw_data!$A:$A,$B133)</f>
        <v>1.17040358744394</v>
      </c>
      <c r="W133" s="27">
        <f>SUMIFS([1]raw_data!S:S,[1]raw_data!$A:$A,$B133)</f>
        <v>74.026121000000003</v>
      </c>
      <c r="X133" s="28">
        <f>SUMIFS([1]raw_data!T:T,[1]raw_data!$A:$A,$B133)</f>
        <v>5.7692307692307598E-2</v>
      </c>
      <c r="Y133" s="27">
        <f>SUMIFS([1]raw_data!U:U,[1]raw_data!$A:$A,$B133)</f>
        <v>1.274038</v>
      </c>
      <c r="Z133" s="28">
        <f>SUMIFS([1]raw_data!V:V,[1]raw_data!$A:$A,$B133)</f>
        <v>1.9230769230769201E-2</v>
      </c>
      <c r="AA133">
        <f t="shared" si="2"/>
        <v>160.94630359999999</v>
      </c>
    </row>
    <row r="134" spans="1:27" x14ac:dyDescent="0.25">
      <c r="A134" s="40"/>
      <c r="B134" s="25" t="s">
        <v>299</v>
      </c>
      <c r="C134" s="25" t="s">
        <v>231</v>
      </c>
      <c r="D134" s="25" t="s">
        <v>300</v>
      </c>
      <c r="E134" s="25" t="s">
        <v>15</v>
      </c>
      <c r="F134" s="26">
        <f>IFERROR(INDEX([1]raw_data!B:B,MATCH(B134,[1]raw_data!A:A,0)),0)</f>
        <v>2000.375</v>
      </c>
      <c r="G134" s="27">
        <f>SUMIFS([1]raw_data!C:C,[1]raw_data!$A:$A,$B134)</f>
        <v>29.731864999999999</v>
      </c>
      <c r="H134" s="28">
        <f>SUMIFS([1]raw_data!D:D,[1]raw_data!$A:$A,$B134)</f>
        <v>0.13529411764705801</v>
      </c>
      <c r="I134" s="27">
        <f>SUMIFS([1]raw_data!E:E,[1]raw_data!$A:$A,$B134)</f>
        <v>29.731864999999999</v>
      </c>
      <c r="J134" s="28">
        <f>SUMIFS([1]raw_data!F:F,[1]raw_data!$A:$A,$B134)</f>
        <v>0.13529411764705801</v>
      </c>
      <c r="K134" s="27">
        <f>SUMIFS([1]raw_data!G:G,[1]raw_data!$A:$A,$B134)</f>
        <v>366.38933700000001</v>
      </c>
      <c r="L134" s="28">
        <f>SUMIFS([1]raw_data!H:H,[1]raw_data!$A:$A,$B134)</f>
        <v>0.63402527075812198</v>
      </c>
      <c r="M134" s="27">
        <f>SUMIFS([1]raw_data!I:I,[1]raw_data!$A:$A,$B134)</f>
        <v>120.525115</v>
      </c>
      <c r="N134" s="28">
        <f>SUMIFS([1]raw_data!J:J,[1]raw_data!$A:$A,$B134)</f>
        <v>0.45803249097472898</v>
      </c>
      <c r="O134" s="27">
        <f>SUMIFS([1]raw_data!K:K,[1]raw_data!$A:$A,$B134)</f>
        <v>308.30073399999998</v>
      </c>
      <c r="P134" s="28">
        <f>SUMIFS([1]raw_data!L:L,[1]raw_data!$A:$A,$B134)</f>
        <v>3.3138226024313302</v>
      </c>
      <c r="Q134" s="27">
        <f>SUMIFS([1]raw_data!M:M,[1]raw_data!$A:$A,$B134)</f>
        <v>280.990409</v>
      </c>
      <c r="R134" s="28">
        <f>SUMIFS([1]raw_data!N:N,[1]raw_data!$A:$A,$B134)</f>
        <v>3.2944619540747402</v>
      </c>
      <c r="S134" s="27">
        <f>SUMIFS([1]raw_data!O:O,[1]raw_data!$A:$A,$B134)</f>
        <v>41.468992999999998</v>
      </c>
      <c r="T134" s="28">
        <f>SUMIFS([1]raw_data!P:P,[1]raw_data!$A:$A,$B134)</f>
        <v>0.11052882324916601</v>
      </c>
      <c r="U134" s="27">
        <f>SUMIFS([1]raw_data!Q:Q,[1]raw_data!$A:$A,$B134)</f>
        <v>39.628307</v>
      </c>
      <c r="V134" s="28">
        <f>SUMIFS([1]raw_data!R:R,[1]raw_data!$A:$A,$B134)</f>
        <v>0.104811815150071</v>
      </c>
      <c r="W134" s="27">
        <f>SUMIFS([1]raw_data!S:S,[1]raw_data!$A:$A,$B134)</f>
        <v>3.8904990000000002</v>
      </c>
      <c r="X134" s="28">
        <f>SUMIFS([1]raw_data!T:T,[1]raw_data!$A:$A,$B134)</f>
        <v>1.8030513176144201E-2</v>
      </c>
      <c r="Y134" s="27">
        <f>SUMIFS([1]raw_data!U:U,[1]raw_data!$A:$A,$B134)</f>
        <v>3.8904990000000002</v>
      </c>
      <c r="Z134" s="28">
        <f>SUMIFS([1]raw_data!V:V,[1]raw_data!$A:$A,$B134)</f>
        <v>1.8030513176144201E-2</v>
      </c>
      <c r="AA134">
        <f t="shared" si="2"/>
        <v>149.95628559999997</v>
      </c>
    </row>
    <row r="135" spans="1:27" x14ac:dyDescent="0.25">
      <c r="A135" s="40"/>
      <c r="B135" s="17" t="s">
        <v>355</v>
      </c>
      <c r="C135" s="17" t="s">
        <v>356</v>
      </c>
      <c r="D135" s="17" t="s">
        <v>357</v>
      </c>
      <c r="E135" s="17" t="s">
        <v>76</v>
      </c>
      <c r="F135" s="18">
        <f>IFERROR(INDEX([1]raw_data!B:B,MATCH(B135,[1]raw_data!A:A,0)),0)</f>
        <v>169.444444</v>
      </c>
      <c r="G135" s="19">
        <f>SUMIFS([1]raw_data!C:C,[1]raw_data!$A:$A,$B135)</f>
        <v>366.784516</v>
      </c>
      <c r="H135" s="20">
        <f>SUMIFS([1]raw_data!D:D,[1]raw_data!$A:$A,$B135)</f>
        <v>1.3941176470588199</v>
      </c>
      <c r="I135" s="19">
        <f>SUMIFS([1]raw_data!E:E,[1]raw_data!$A:$A,$B135)</f>
        <v>129.050218</v>
      </c>
      <c r="J135" s="20">
        <f>SUMIFS([1]raw_data!F:F,[1]raw_data!$A:$A,$B135)</f>
        <v>1.1176470588235199</v>
      </c>
      <c r="K135" s="19">
        <f>SUMIFS([1]raw_data!G:G,[1]raw_data!$A:$A,$B135)</f>
        <v>127.05324400000001</v>
      </c>
      <c r="L135" s="20">
        <f>SUMIFS([1]raw_data!H:H,[1]raw_data!$A:$A,$B135)</f>
        <v>1.0643274853801099</v>
      </c>
      <c r="M135" s="19">
        <f>SUMIFS([1]raw_data!I:I,[1]raw_data!$A:$A,$B135)</f>
        <v>111.44621100000001</v>
      </c>
      <c r="N135" s="20">
        <f>SUMIFS([1]raw_data!J:J,[1]raw_data!$A:$A,$B135)</f>
        <v>1.0409356725146099</v>
      </c>
      <c r="O135" s="19">
        <f>SUMIFS([1]raw_data!K:K,[1]raw_data!$A:$A,$B135)</f>
        <v>226.699703</v>
      </c>
      <c r="P135" s="20">
        <f>SUMIFS([1]raw_data!L:L,[1]raw_data!$A:$A,$B135)</f>
        <v>0.585798816568047</v>
      </c>
      <c r="Q135" s="19">
        <f>SUMIFS([1]raw_data!M:M,[1]raw_data!$A:$A,$B135)</f>
        <v>116.90946700000001</v>
      </c>
      <c r="R135" s="20">
        <f>SUMIFS([1]raw_data!N:N,[1]raw_data!$A:$A,$B135)</f>
        <v>0.53254437869822402</v>
      </c>
      <c r="S135" s="19">
        <f>SUMIFS([1]raw_data!O:O,[1]raw_data!$A:$A,$B135)</f>
        <v>14.600997</v>
      </c>
      <c r="T135" s="20">
        <f>SUMIFS([1]raw_data!P:P,[1]raw_data!$A:$A,$B135)</f>
        <v>8.9820359281437098E-2</v>
      </c>
      <c r="U135" s="19">
        <f>SUMIFS([1]raw_data!Q:Q,[1]raw_data!$A:$A,$B135)</f>
        <v>14.600997</v>
      </c>
      <c r="V135" s="20">
        <f>SUMIFS([1]raw_data!R:R,[1]raw_data!$A:$A,$B135)</f>
        <v>8.9820359281437098E-2</v>
      </c>
      <c r="W135" s="19">
        <f>SUMIFS([1]raw_data!S:S,[1]raw_data!$A:$A,$B135)</f>
        <v>4.755522</v>
      </c>
      <c r="X135" s="20">
        <f>SUMIFS([1]raw_data!T:T,[1]raw_data!$A:$A,$B135)</f>
        <v>3.5502958579881602E-2</v>
      </c>
      <c r="Y135" s="19">
        <f>SUMIFS([1]raw_data!U:U,[1]raw_data!$A:$A,$B135)</f>
        <v>4.5209070000000002</v>
      </c>
      <c r="Z135" s="20">
        <f>SUMIFS([1]raw_data!V:V,[1]raw_data!$A:$A,$B135)</f>
        <v>1.7751479289940801E-2</v>
      </c>
      <c r="AA135">
        <f t="shared" si="2"/>
        <v>147.97879640000002</v>
      </c>
    </row>
    <row r="136" spans="1:27" x14ac:dyDescent="0.25">
      <c r="A136" s="40"/>
      <c r="B136" s="17" t="s">
        <v>363</v>
      </c>
      <c r="C136" s="17" t="s">
        <v>317</v>
      </c>
      <c r="D136" s="17" t="s">
        <v>364</v>
      </c>
      <c r="E136" s="17" t="s">
        <v>23</v>
      </c>
      <c r="F136" s="18">
        <f>IFERROR(INDEX([1]raw_data!B:B,MATCH(B136,[1]raw_data!A:A,0)),0)</f>
        <v>902.2</v>
      </c>
      <c r="G136" s="19">
        <f>SUMIFS([1]raw_data!C:C,[1]raw_data!$A:$A,$B136)</f>
        <v>450.36922600000003</v>
      </c>
      <c r="H136" s="20">
        <f>SUMIFS([1]raw_data!D:D,[1]raw_data!$A:$A,$B136)</f>
        <v>0.31986899563318699</v>
      </c>
      <c r="I136" s="19">
        <f>SUMIFS([1]raw_data!E:E,[1]raw_data!$A:$A,$B136)</f>
        <v>119.47690799999999</v>
      </c>
      <c r="J136" s="20">
        <f>SUMIFS([1]raw_data!F:F,[1]raw_data!$A:$A,$B136)</f>
        <v>0.18013100436681201</v>
      </c>
      <c r="K136" s="19">
        <f>SUMIFS([1]raw_data!G:G,[1]raw_data!$A:$A,$B136)</f>
        <v>143.599424</v>
      </c>
      <c r="L136" s="20">
        <f>SUMIFS([1]raw_data!H:H,[1]raw_data!$A:$A,$B136)</f>
        <v>1.2788671023965099</v>
      </c>
      <c r="M136" s="19">
        <f>SUMIFS([1]raw_data!I:I,[1]raw_data!$A:$A,$B136)</f>
        <v>132.297248</v>
      </c>
      <c r="N136" s="20">
        <f>SUMIFS([1]raw_data!J:J,[1]raw_data!$A:$A,$B136)</f>
        <v>1.2745098039215601</v>
      </c>
      <c r="O136" s="19">
        <f>SUMIFS([1]raw_data!K:K,[1]raw_data!$A:$A,$B136)</f>
        <v>33.655864000000001</v>
      </c>
      <c r="P136" s="20">
        <f>SUMIFS([1]raw_data!L:L,[1]raw_data!$A:$A,$B136)</f>
        <v>0.202185792349726</v>
      </c>
      <c r="Q136" s="19">
        <f>SUMIFS([1]raw_data!M:M,[1]raw_data!$A:$A,$B136)</f>
        <v>22.035336000000001</v>
      </c>
      <c r="R136" s="20">
        <f>SUMIFS([1]raw_data!N:N,[1]raw_data!$A:$A,$B136)</f>
        <v>0.196721311475409</v>
      </c>
      <c r="S136" s="19">
        <f>SUMIFS([1]raw_data!O:O,[1]raw_data!$A:$A,$B136)</f>
        <v>32.822426999999998</v>
      </c>
      <c r="T136" s="20">
        <f>SUMIFS([1]raw_data!P:P,[1]raw_data!$A:$A,$B136)</f>
        <v>0.30303030303030298</v>
      </c>
      <c r="U136" s="19">
        <f>SUMIFS([1]raw_data!Q:Q,[1]raw_data!$A:$A,$B136)</f>
        <v>15.372989</v>
      </c>
      <c r="V136" s="20">
        <f>SUMIFS([1]raw_data!R:R,[1]raw_data!$A:$A,$B136)</f>
        <v>0.27946127946127902</v>
      </c>
      <c r="W136" s="19">
        <f>SUMIFS([1]raw_data!S:S,[1]raw_data!$A:$A,$B136)</f>
        <v>76.493951999999993</v>
      </c>
      <c r="X136" s="20">
        <f>SUMIFS([1]raw_data!T:T,[1]raw_data!$A:$A,$B136)</f>
        <v>1.1044776119402899</v>
      </c>
      <c r="Y136" s="19">
        <f>SUMIFS([1]raw_data!U:U,[1]raw_data!$A:$A,$B136)</f>
        <v>75.346995000000007</v>
      </c>
      <c r="Z136" s="20">
        <f>SUMIFS([1]raw_data!V:V,[1]raw_data!$A:$A,$B136)</f>
        <v>1.0907003444316801</v>
      </c>
      <c r="AA136">
        <f t="shared" si="2"/>
        <v>147.3881786</v>
      </c>
    </row>
    <row r="137" spans="1:27" x14ac:dyDescent="0.25">
      <c r="A137" s="40"/>
      <c r="B137" s="25" t="s">
        <v>208</v>
      </c>
      <c r="C137" s="25" t="s">
        <v>115</v>
      </c>
      <c r="D137" s="25" t="s">
        <v>209</v>
      </c>
      <c r="E137" s="25" t="s">
        <v>15</v>
      </c>
      <c r="F137" s="26">
        <f>IFERROR(INDEX([1]raw_data!B:B,MATCH(B137,[1]raw_data!A:A,0)),0)</f>
        <v>101</v>
      </c>
      <c r="G137" s="27">
        <f>SUMIFS([1]raw_data!C:C,[1]raw_data!$A:$A,$B137)</f>
        <v>0</v>
      </c>
      <c r="H137" s="28">
        <f>SUMIFS([1]raw_data!D:D,[1]raw_data!$A:$A,$B137)</f>
        <v>0</v>
      </c>
      <c r="I137" s="27">
        <f>SUMIFS([1]raw_data!E:E,[1]raw_data!$A:$A,$B137)</f>
        <v>0</v>
      </c>
      <c r="J137" s="28">
        <f>SUMIFS([1]raw_data!F:F,[1]raw_data!$A:$A,$B137)</f>
        <v>0</v>
      </c>
      <c r="K137" s="27">
        <f>SUMIFS([1]raw_data!G:G,[1]raw_data!$A:$A,$B137)</f>
        <v>0</v>
      </c>
      <c r="L137" s="28">
        <f>SUMIFS([1]raw_data!H:H,[1]raw_data!$A:$A,$B137)</f>
        <v>0</v>
      </c>
      <c r="M137" s="27">
        <f>SUMIFS([1]raw_data!I:I,[1]raw_data!$A:$A,$B137)</f>
        <v>0</v>
      </c>
      <c r="N137" s="28">
        <f>SUMIFS([1]raw_data!J:J,[1]raw_data!$A:$A,$B137)</f>
        <v>0</v>
      </c>
      <c r="O137" s="27">
        <f>SUMIFS([1]raw_data!K:K,[1]raw_data!$A:$A,$B137)</f>
        <v>0</v>
      </c>
      <c r="P137" s="28">
        <f>SUMIFS([1]raw_data!L:L,[1]raw_data!$A:$A,$B137)</f>
        <v>0</v>
      </c>
      <c r="Q137" s="27">
        <f>SUMIFS([1]raw_data!M:M,[1]raw_data!$A:$A,$B137)</f>
        <v>0</v>
      </c>
      <c r="R137" s="28">
        <f>SUMIFS([1]raw_data!N:N,[1]raw_data!$A:$A,$B137)</f>
        <v>0</v>
      </c>
      <c r="S137" s="27">
        <f>SUMIFS([1]raw_data!O:O,[1]raw_data!$A:$A,$B137)</f>
        <v>721.15973499999996</v>
      </c>
      <c r="T137" s="28">
        <f>SUMIFS([1]raw_data!P:P,[1]raw_data!$A:$A,$B137)</f>
        <v>1.93069306930693</v>
      </c>
      <c r="U137" s="27">
        <f>SUMIFS([1]raw_data!Q:Q,[1]raw_data!$A:$A,$B137)</f>
        <v>673.72640200000001</v>
      </c>
      <c r="V137" s="28">
        <f>SUMIFS([1]raw_data!R:R,[1]raw_data!$A:$A,$B137)</f>
        <v>0.93069306930692997</v>
      </c>
      <c r="W137" s="27">
        <f>SUMIFS([1]raw_data!S:S,[1]raw_data!$A:$A,$B137)</f>
        <v>0</v>
      </c>
      <c r="X137" s="28">
        <f>SUMIFS([1]raw_data!T:T,[1]raw_data!$A:$A,$B137)</f>
        <v>0</v>
      </c>
      <c r="Y137" s="27">
        <f>SUMIFS([1]raw_data!U:U,[1]raw_data!$A:$A,$B137)</f>
        <v>0</v>
      </c>
      <c r="Z137" s="28">
        <f>SUMIFS([1]raw_data!V:V,[1]raw_data!$A:$A,$B137)</f>
        <v>0</v>
      </c>
      <c r="AA137">
        <f t="shared" si="2"/>
        <v>144.23194699999999</v>
      </c>
    </row>
    <row r="138" spans="1:27" x14ac:dyDescent="0.25">
      <c r="A138" s="40"/>
      <c r="B138" s="25" t="s">
        <v>206</v>
      </c>
      <c r="C138" s="25" t="s">
        <v>165</v>
      </c>
      <c r="D138" s="25" t="s">
        <v>207</v>
      </c>
      <c r="E138" s="25" t="s">
        <v>19</v>
      </c>
      <c r="F138" s="26">
        <f>IFERROR(INDEX([1]raw_data!B:B,MATCH(B138,[1]raw_data!A:A,0)),0)</f>
        <v>329.375</v>
      </c>
      <c r="G138" s="27">
        <f>SUMIFS([1]raw_data!C:C,[1]raw_data!$A:$A,$B138)</f>
        <v>37.120266000000001</v>
      </c>
      <c r="H138" s="28">
        <f>SUMIFS([1]raw_data!D:D,[1]raw_data!$A:$A,$B138)</f>
        <v>0.33439490445859799</v>
      </c>
      <c r="I138" s="27">
        <f>SUMIFS([1]raw_data!E:E,[1]raw_data!$A:$A,$B138)</f>
        <v>37.120266000000001</v>
      </c>
      <c r="J138" s="28">
        <f>SUMIFS([1]raw_data!F:F,[1]raw_data!$A:$A,$B138)</f>
        <v>0.33439490445859799</v>
      </c>
      <c r="K138" s="27">
        <f>SUMIFS([1]raw_data!G:G,[1]raw_data!$A:$A,$B138)</f>
        <v>282.75783200000001</v>
      </c>
      <c r="L138" s="28">
        <f>SUMIFS([1]raw_data!H:H,[1]raw_data!$A:$A,$B138)</f>
        <v>1.4220779220779201</v>
      </c>
      <c r="M138" s="27">
        <f>SUMIFS([1]raw_data!I:I,[1]raw_data!$A:$A,$B138)</f>
        <v>274.13327900000002</v>
      </c>
      <c r="N138" s="28">
        <f>SUMIFS([1]raw_data!J:J,[1]raw_data!$A:$A,$B138)</f>
        <v>1.36038961038961</v>
      </c>
      <c r="O138" s="27">
        <f>SUMIFS([1]raw_data!K:K,[1]raw_data!$A:$A,$B138)</f>
        <v>379.40156300000001</v>
      </c>
      <c r="P138" s="28">
        <f>SUMIFS([1]raw_data!L:L,[1]raw_data!$A:$A,$B138)</f>
        <v>2.9158576051779899</v>
      </c>
      <c r="Q138" s="27">
        <f>SUMIFS([1]raw_data!M:M,[1]raw_data!$A:$A,$B138)</f>
        <v>362.29083000000003</v>
      </c>
      <c r="R138" s="28">
        <f>SUMIFS([1]raw_data!N:N,[1]raw_data!$A:$A,$B138)</f>
        <v>2.90614886731391</v>
      </c>
      <c r="S138" s="27">
        <f>SUMIFS([1]raw_data!O:O,[1]raw_data!$A:$A,$B138)</f>
        <v>12.038869999999999</v>
      </c>
      <c r="T138" s="28">
        <f>SUMIFS([1]raw_data!P:P,[1]raw_data!$A:$A,$B138)</f>
        <v>0.10423452768729601</v>
      </c>
      <c r="U138" s="27">
        <f>SUMIFS([1]raw_data!Q:Q,[1]raw_data!$A:$A,$B138)</f>
        <v>6.7578170000000002</v>
      </c>
      <c r="V138" s="28">
        <f>SUMIFS([1]raw_data!R:R,[1]raw_data!$A:$A,$B138)</f>
        <v>9.4462540716612295E-2</v>
      </c>
      <c r="W138" s="27">
        <f>SUMIFS([1]raw_data!S:S,[1]raw_data!$A:$A,$B138)</f>
        <v>0.70130300000000001</v>
      </c>
      <c r="X138" s="28">
        <f>SUMIFS([1]raw_data!T:T,[1]raw_data!$A:$A,$B138)</f>
        <v>2.1141649048625698E-3</v>
      </c>
      <c r="Y138" s="27">
        <f>SUMIFS([1]raw_data!U:U,[1]raw_data!$A:$A,$B138)</f>
        <v>0.70130300000000001</v>
      </c>
      <c r="Z138" s="28">
        <f>SUMIFS([1]raw_data!V:V,[1]raw_data!$A:$A,$B138)</f>
        <v>2.1141649048625698E-3</v>
      </c>
      <c r="AA138">
        <f t="shared" si="2"/>
        <v>142.40396680000001</v>
      </c>
    </row>
    <row r="139" spans="1:27" x14ac:dyDescent="0.25">
      <c r="A139" s="40"/>
      <c r="B139" s="21" t="s">
        <v>339</v>
      </c>
      <c r="C139" s="21" t="s">
        <v>271</v>
      </c>
      <c r="D139" s="21" t="s">
        <v>340</v>
      </c>
      <c r="E139" s="21" t="s">
        <v>23</v>
      </c>
      <c r="F139" s="22">
        <f>IFERROR(INDEX([1]raw_data!B:B,MATCH(B139,[1]raw_data!A:A,0)),0)</f>
        <v>749.8</v>
      </c>
      <c r="G139" s="23">
        <f>SUMIFS([1]raw_data!C:C,[1]raw_data!$A:$A,$B139)</f>
        <v>168.65524500000001</v>
      </c>
      <c r="H139" s="24">
        <f>SUMIFS([1]raw_data!D:D,[1]raw_data!$A:$A,$B139)</f>
        <v>0.62386511024643299</v>
      </c>
      <c r="I139" s="23">
        <f>SUMIFS([1]raw_data!E:E,[1]raw_data!$A:$A,$B139)</f>
        <v>160.49422899999999</v>
      </c>
      <c r="J139" s="24">
        <f>SUMIFS([1]raw_data!F:F,[1]raw_data!$A:$A,$B139)</f>
        <v>0.58754863813229496</v>
      </c>
      <c r="K139" s="23">
        <f>SUMIFS([1]raw_data!G:G,[1]raw_data!$A:$A,$B139)</f>
        <v>120.254999</v>
      </c>
      <c r="L139" s="24">
        <f>SUMIFS([1]raw_data!H:H,[1]raw_data!$A:$A,$B139)</f>
        <v>0.61249999999999905</v>
      </c>
      <c r="M139" s="23">
        <f>SUMIFS([1]raw_data!I:I,[1]raw_data!$A:$A,$B139)</f>
        <v>117.373418</v>
      </c>
      <c r="N139" s="24">
        <f>SUMIFS([1]raw_data!J:J,[1]raw_data!$A:$A,$B139)</f>
        <v>0.61111111111111105</v>
      </c>
      <c r="O139" s="23">
        <f>SUMIFS([1]raw_data!K:K,[1]raw_data!$A:$A,$B139)</f>
        <v>286.845438</v>
      </c>
      <c r="P139" s="24">
        <f>SUMIFS([1]raw_data!L:L,[1]raw_data!$A:$A,$B139)</f>
        <v>1.2486842105263101</v>
      </c>
      <c r="Q139" s="23">
        <f>SUMIFS([1]raw_data!M:M,[1]raw_data!$A:$A,$B139)</f>
        <v>33.01614</v>
      </c>
      <c r="R139" s="24">
        <f>SUMIFS([1]raw_data!N:N,[1]raw_data!$A:$A,$B139)</f>
        <v>0.84605263157894695</v>
      </c>
      <c r="S139" s="23">
        <f>SUMIFS([1]raw_data!O:O,[1]raw_data!$A:$A,$B139)</f>
        <v>54.687640999999999</v>
      </c>
      <c r="T139" s="24">
        <f>SUMIFS([1]raw_data!P:P,[1]raw_data!$A:$A,$B139)</f>
        <v>0.63337893296853598</v>
      </c>
      <c r="U139" s="23">
        <f>SUMIFS([1]raw_data!Q:Q,[1]raw_data!$A:$A,$B139)</f>
        <v>43.643318999999998</v>
      </c>
      <c r="V139" s="24">
        <f>SUMIFS([1]raw_data!R:R,[1]raw_data!$A:$A,$B139)</f>
        <v>0.60054719562243497</v>
      </c>
      <c r="W139" s="23">
        <f>SUMIFS([1]raw_data!S:S,[1]raw_data!$A:$A,$B139)</f>
        <v>81.047413000000006</v>
      </c>
      <c r="X139" s="24">
        <f>SUMIFS([1]raw_data!T:T,[1]raw_data!$A:$A,$B139)</f>
        <v>0.34680573663624498</v>
      </c>
      <c r="Y139" s="23">
        <f>SUMIFS([1]raw_data!U:U,[1]raw_data!$A:$A,$B139)</f>
        <v>65.136135999999993</v>
      </c>
      <c r="Z139" s="24">
        <f>SUMIFS([1]raw_data!V:V,[1]raw_data!$A:$A,$B139)</f>
        <v>0.302477183833116</v>
      </c>
      <c r="AA139">
        <f t="shared" si="2"/>
        <v>142.29814719999999</v>
      </c>
    </row>
    <row r="140" spans="1:27" x14ac:dyDescent="0.25">
      <c r="A140" s="40"/>
      <c r="B140" s="25" t="s">
        <v>213</v>
      </c>
      <c r="C140" s="25" t="s">
        <v>214</v>
      </c>
      <c r="D140" s="25" t="s">
        <v>215</v>
      </c>
      <c r="E140" s="25" t="s">
        <v>23</v>
      </c>
      <c r="F140" s="26">
        <f>IFERROR(INDEX([1]raw_data!B:B,MATCH(B140,[1]raw_data!A:A,0)),0)</f>
        <v>1328.333333</v>
      </c>
      <c r="G140" s="27">
        <f>SUMIFS([1]raw_data!C:C,[1]raw_data!$A:$A,$B140)</f>
        <v>17.719512000000002</v>
      </c>
      <c r="H140" s="28">
        <f>SUMIFS([1]raw_data!D:D,[1]raw_data!$A:$A,$B140)</f>
        <v>4.96296296296296E-2</v>
      </c>
      <c r="I140" s="27">
        <f>SUMIFS([1]raw_data!E:E,[1]raw_data!$A:$A,$B140)</f>
        <v>12.865804000000001</v>
      </c>
      <c r="J140" s="28">
        <f>SUMIFS([1]raw_data!F:F,[1]raw_data!$A:$A,$B140)</f>
        <v>4.5185185185185099E-2</v>
      </c>
      <c r="K140" s="27">
        <f>SUMIFS([1]raw_data!G:G,[1]raw_data!$A:$A,$B140)</f>
        <v>5.9661270000000002</v>
      </c>
      <c r="L140" s="28">
        <f>SUMIFS([1]raw_data!H:H,[1]raw_data!$A:$A,$B140)</f>
        <v>4.2035398230088401E-2</v>
      </c>
      <c r="M140" s="27">
        <f>SUMIFS([1]raw_data!I:I,[1]raw_data!$A:$A,$B140)</f>
        <v>2.9693429999999998</v>
      </c>
      <c r="N140" s="28">
        <f>SUMIFS([1]raw_data!J:J,[1]raw_data!$A:$A,$B140)</f>
        <v>3.7610619469026503E-2</v>
      </c>
      <c r="O140" s="27">
        <f>SUMIFS([1]raw_data!K:K,[1]raw_data!$A:$A,$B140)</f>
        <v>249.341961</v>
      </c>
      <c r="P140" s="28">
        <f>SUMIFS([1]raw_data!L:L,[1]raw_data!$A:$A,$B140)</f>
        <v>1.8045722713864301</v>
      </c>
      <c r="Q140" s="27">
        <f>SUMIFS([1]raw_data!M:M,[1]raw_data!$A:$A,$B140)</f>
        <v>220.68955199999999</v>
      </c>
      <c r="R140" s="28">
        <f>SUMIFS([1]raw_data!N:N,[1]raw_data!$A:$A,$B140)</f>
        <v>1.76917404129793</v>
      </c>
      <c r="S140" s="27">
        <f>SUMIFS([1]raw_data!O:O,[1]raw_data!$A:$A,$B140)</f>
        <v>313.56842899999998</v>
      </c>
      <c r="T140" s="28">
        <f>SUMIFS([1]raw_data!P:P,[1]raw_data!$A:$A,$B140)</f>
        <v>2.4038772213247102</v>
      </c>
      <c r="U140" s="27">
        <f>SUMIFS([1]raw_data!Q:Q,[1]raw_data!$A:$A,$B140)</f>
        <v>313.50526300000001</v>
      </c>
      <c r="V140" s="28">
        <f>SUMIFS([1]raw_data!R:R,[1]raw_data!$A:$A,$B140)</f>
        <v>2.4022617124394099</v>
      </c>
      <c r="W140" s="27">
        <f>SUMIFS([1]raw_data!S:S,[1]raw_data!$A:$A,$B140)</f>
        <v>120.01564500000001</v>
      </c>
      <c r="X140" s="28">
        <f>SUMIFS([1]raw_data!T:T,[1]raw_data!$A:$A,$B140)</f>
        <v>1.0442804428044199</v>
      </c>
      <c r="Y140" s="27">
        <f>SUMIFS([1]raw_data!U:U,[1]raw_data!$A:$A,$B140)</f>
        <v>120.01564500000001</v>
      </c>
      <c r="Z140" s="28">
        <f>SUMIFS([1]raw_data!V:V,[1]raw_data!$A:$A,$B140)</f>
        <v>1.0442804428044199</v>
      </c>
      <c r="AA140">
        <f t="shared" si="2"/>
        <v>141.32233479999999</v>
      </c>
    </row>
    <row r="141" spans="1:27" x14ac:dyDescent="0.25">
      <c r="A141" s="40"/>
      <c r="B141" s="25" t="s">
        <v>216</v>
      </c>
      <c r="C141" s="25" t="s">
        <v>217</v>
      </c>
      <c r="D141" s="25" t="s">
        <v>218</v>
      </c>
      <c r="E141" s="25" t="s">
        <v>65</v>
      </c>
      <c r="F141" s="26">
        <f>IFERROR(INDEX([1]raw_data!B:B,MATCH(B141,[1]raw_data!A:A,0)),0)</f>
        <v>400.33333299999998</v>
      </c>
      <c r="G141" s="27">
        <f>SUMIFS([1]raw_data!C:C,[1]raw_data!$A:$A,$B141)</f>
        <v>0</v>
      </c>
      <c r="H141" s="28">
        <f>SUMIFS([1]raw_data!D:D,[1]raw_data!$A:$A,$B141)</f>
        <v>0</v>
      </c>
      <c r="I141" s="27">
        <f>SUMIFS([1]raw_data!E:E,[1]raw_data!$A:$A,$B141)</f>
        <v>0</v>
      </c>
      <c r="J141" s="28">
        <f>SUMIFS([1]raw_data!F:F,[1]raw_data!$A:$A,$B141)</f>
        <v>0</v>
      </c>
      <c r="K141" s="27">
        <f>SUMIFS([1]raw_data!G:G,[1]raw_data!$A:$A,$B141)</f>
        <v>0</v>
      </c>
      <c r="L141" s="28">
        <f>SUMIFS([1]raw_data!H:H,[1]raw_data!$A:$A,$B141)</f>
        <v>0</v>
      </c>
      <c r="M141" s="27">
        <f>SUMIFS([1]raw_data!I:I,[1]raw_data!$A:$A,$B141)</f>
        <v>0</v>
      </c>
      <c r="N141" s="28">
        <f>SUMIFS([1]raw_data!J:J,[1]raw_data!$A:$A,$B141)</f>
        <v>0</v>
      </c>
      <c r="O141" s="27">
        <f>SUMIFS([1]raw_data!K:K,[1]raw_data!$A:$A,$B141)</f>
        <v>131.201223</v>
      </c>
      <c r="P141" s="28">
        <f>SUMIFS([1]raw_data!L:L,[1]raw_data!$A:$A,$B141)</f>
        <v>1.0091743119265999</v>
      </c>
      <c r="Q141" s="27">
        <f>SUMIFS([1]raw_data!M:M,[1]raw_data!$A:$A,$B141)</f>
        <v>131.201223</v>
      </c>
      <c r="R141" s="28">
        <f>SUMIFS([1]raw_data!N:N,[1]raw_data!$A:$A,$B141)</f>
        <v>1.0091743119265999</v>
      </c>
      <c r="S141" s="27">
        <f>SUMIFS([1]raw_data!O:O,[1]raw_data!$A:$A,$B141)</f>
        <v>36.178745999999997</v>
      </c>
      <c r="T141" s="28">
        <f>SUMIFS([1]raw_data!P:P,[1]raw_data!$A:$A,$B141)</f>
        <v>9.1743119266054999E-3</v>
      </c>
      <c r="U141" s="27">
        <f>SUMIFS([1]raw_data!Q:Q,[1]raw_data!$A:$A,$B141)</f>
        <v>0</v>
      </c>
      <c r="V141" s="28">
        <f>SUMIFS([1]raw_data!R:R,[1]raw_data!$A:$A,$B141)</f>
        <v>0</v>
      </c>
      <c r="W141" s="27">
        <f>SUMIFS([1]raw_data!S:S,[1]raw_data!$A:$A,$B141)</f>
        <v>535.05873099999997</v>
      </c>
      <c r="X141" s="28">
        <f>SUMIFS([1]raw_data!T:T,[1]raw_data!$A:$A,$B141)</f>
        <v>3.5025432349949099</v>
      </c>
      <c r="Y141" s="27">
        <f>SUMIFS([1]raw_data!U:U,[1]raw_data!$A:$A,$B141)</f>
        <v>535.05873099999997</v>
      </c>
      <c r="Z141" s="28">
        <f>SUMIFS([1]raw_data!V:V,[1]raw_data!$A:$A,$B141)</f>
        <v>3.5025432349949099</v>
      </c>
      <c r="AA141">
        <f t="shared" si="2"/>
        <v>140.48773999999997</v>
      </c>
    </row>
    <row r="142" spans="1:27" x14ac:dyDescent="0.25">
      <c r="A142" s="40"/>
      <c r="B142" s="25" t="s">
        <v>258</v>
      </c>
      <c r="C142" s="25" t="s">
        <v>259</v>
      </c>
      <c r="D142" s="25" t="s">
        <v>260</v>
      </c>
      <c r="E142" s="25" t="s">
        <v>19</v>
      </c>
      <c r="F142" s="26">
        <f>IFERROR(INDEX([1]raw_data!B:B,MATCH(B142,[1]raw_data!A:A,0)),0)</f>
        <v>3411.4</v>
      </c>
      <c r="G142" s="27">
        <f>SUMIFS([1]raw_data!C:C,[1]raw_data!$A:$A,$B142)</f>
        <v>101.637073</v>
      </c>
      <c r="H142" s="28">
        <f>SUMIFS([1]raw_data!D:D,[1]raw_data!$A:$A,$B142)</f>
        <v>0.98657718120805304</v>
      </c>
      <c r="I142" s="27">
        <f>SUMIFS([1]raw_data!E:E,[1]raw_data!$A:$A,$B142)</f>
        <v>101.429866</v>
      </c>
      <c r="J142" s="28">
        <f>SUMIFS([1]raw_data!F:F,[1]raw_data!$A:$A,$B142)</f>
        <v>0.97081995914794195</v>
      </c>
      <c r="K142" s="27">
        <f>SUMIFS([1]raw_data!G:G,[1]raw_data!$A:$A,$B142)</f>
        <v>203.16139899999999</v>
      </c>
      <c r="L142" s="28">
        <f>SUMIFS([1]raw_data!H:H,[1]raw_data!$A:$A,$B142)</f>
        <v>1.1744730679156901</v>
      </c>
      <c r="M142" s="27">
        <f>SUMIFS([1]raw_data!I:I,[1]raw_data!$A:$A,$B142)</f>
        <v>198.40013300000001</v>
      </c>
      <c r="N142" s="28">
        <f>SUMIFS([1]raw_data!J:J,[1]raw_data!$A:$A,$B142)</f>
        <v>1.16334894613583</v>
      </c>
      <c r="O142" s="27">
        <f>SUMIFS([1]raw_data!K:K,[1]raw_data!$A:$A,$B142)</f>
        <v>179.171435</v>
      </c>
      <c r="P142" s="28">
        <f>SUMIFS([1]raw_data!L:L,[1]raw_data!$A:$A,$B142)</f>
        <v>1.0464776381175001</v>
      </c>
      <c r="Q142" s="27">
        <f>SUMIFS([1]raw_data!M:M,[1]raw_data!$A:$A,$B142)</f>
        <v>75.459372999999999</v>
      </c>
      <c r="R142" s="28">
        <f>SUMIFS([1]raw_data!N:N,[1]raw_data!$A:$A,$B142)</f>
        <v>1.0078924291142899</v>
      </c>
      <c r="S142" s="27">
        <f>SUMIFS([1]raw_data!O:O,[1]raw_data!$A:$A,$B142)</f>
        <v>47.53884</v>
      </c>
      <c r="T142" s="28">
        <f>SUMIFS([1]raw_data!P:P,[1]raw_data!$A:$A,$B142)</f>
        <v>0.236571764015262</v>
      </c>
      <c r="U142" s="27">
        <f>SUMIFS([1]raw_data!Q:Q,[1]raw_data!$A:$A,$B142)</f>
        <v>44.916612000000001</v>
      </c>
      <c r="V142" s="28">
        <f>SUMIFS([1]raw_data!R:R,[1]raw_data!$A:$A,$B142)</f>
        <v>0.22835339007924799</v>
      </c>
      <c r="W142" s="27">
        <f>SUMIFS([1]raw_data!S:S,[1]raw_data!$A:$A,$B142)</f>
        <v>158.508746</v>
      </c>
      <c r="X142" s="28">
        <f>SUMIFS([1]raw_data!T:T,[1]raw_data!$A:$A,$B142)</f>
        <v>1.3476077968103899</v>
      </c>
      <c r="Y142" s="27">
        <f>SUMIFS([1]raw_data!U:U,[1]raw_data!$A:$A,$B142)</f>
        <v>129.52325200000001</v>
      </c>
      <c r="Z142" s="28">
        <f>SUMIFS([1]raw_data!V:V,[1]raw_data!$A:$A,$B142)</f>
        <v>1.3360897814530399</v>
      </c>
      <c r="AA142">
        <f t="shared" si="2"/>
        <v>138.0034986</v>
      </c>
    </row>
    <row r="143" spans="1:27" x14ac:dyDescent="0.25">
      <c r="A143" s="40"/>
      <c r="B143" s="21" t="s">
        <v>292</v>
      </c>
      <c r="C143" s="21" t="s">
        <v>293</v>
      </c>
      <c r="D143" s="21" t="s">
        <v>294</v>
      </c>
      <c r="E143" s="21" t="s">
        <v>15</v>
      </c>
      <c r="F143" s="22">
        <f>IFERROR(INDEX([1]raw_data!B:B,MATCH(B143,[1]raw_data!A:A,0)),0)</f>
        <v>1734.2</v>
      </c>
      <c r="G143" s="23">
        <f>SUMIFS([1]raw_data!C:C,[1]raw_data!$A:$A,$B143)</f>
        <v>229.36699899999999</v>
      </c>
      <c r="H143" s="24">
        <f>SUMIFS([1]raw_data!D:D,[1]raw_data!$A:$A,$B143)</f>
        <v>0.44081172491544501</v>
      </c>
      <c r="I143" s="23">
        <f>SUMIFS([1]raw_data!E:E,[1]raw_data!$A:$A,$B143)</f>
        <v>227.94174699999999</v>
      </c>
      <c r="J143" s="24">
        <f>SUMIFS([1]raw_data!F:F,[1]raw_data!$A:$A,$B143)</f>
        <v>0.43799323562570402</v>
      </c>
      <c r="K143" s="23">
        <f>SUMIFS([1]raw_data!G:G,[1]raw_data!$A:$A,$B143)</f>
        <v>112.296429</v>
      </c>
      <c r="L143" s="24">
        <f>SUMIFS([1]raw_data!H:H,[1]raw_data!$A:$A,$B143)</f>
        <v>0.27122153209109701</v>
      </c>
      <c r="M143" s="23">
        <f>SUMIFS([1]raw_data!I:I,[1]raw_data!$A:$A,$B143)</f>
        <v>103.062943</v>
      </c>
      <c r="N143" s="24">
        <f>SUMIFS([1]raw_data!J:J,[1]raw_data!$A:$A,$B143)</f>
        <v>0.26570048309178701</v>
      </c>
      <c r="O143" s="23">
        <f>SUMIFS([1]raw_data!K:K,[1]raw_data!$A:$A,$B143)</f>
        <v>161.24666500000001</v>
      </c>
      <c r="P143" s="24">
        <f>SUMIFS([1]raw_data!L:L,[1]raw_data!$A:$A,$B143)</f>
        <v>4.94505494505494E-2</v>
      </c>
      <c r="Q143" s="23">
        <f>SUMIFS([1]raw_data!M:M,[1]raw_data!$A:$A,$B143)</f>
        <v>2.455457</v>
      </c>
      <c r="R143" s="24">
        <f>SUMIFS([1]raw_data!N:N,[1]raw_data!$A:$A,$B143)</f>
        <v>6.5934065934065899E-3</v>
      </c>
      <c r="S143" s="23">
        <f>SUMIFS([1]raw_data!O:O,[1]raw_data!$A:$A,$B143)</f>
        <v>53.032792000000001</v>
      </c>
      <c r="T143" s="24">
        <f>SUMIFS([1]raw_data!P:P,[1]raw_data!$A:$A,$B143)</f>
        <v>0.17563117453347901</v>
      </c>
      <c r="U143" s="23">
        <f>SUMIFS([1]raw_data!Q:Q,[1]raw_data!$A:$A,$B143)</f>
        <v>23.373618</v>
      </c>
      <c r="V143" s="24">
        <f>SUMIFS([1]raw_data!R:R,[1]raw_data!$A:$A,$B143)</f>
        <v>9.7694840834247995E-2</v>
      </c>
      <c r="W143" s="23">
        <f>SUMIFS([1]raw_data!S:S,[1]raw_data!$A:$A,$B143)</f>
        <v>129.88720799999999</v>
      </c>
      <c r="X143" s="24">
        <f>SUMIFS([1]raw_data!T:T,[1]raw_data!$A:$A,$B143)</f>
        <v>0.41915836101882598</v>
      </c>
      <c r="Y143" s="23">
        <f>SUMIFS([1]raw_data!U:U,[1]raw_data!$A:$A,$B143)</f>
        <v>126.070708</v>
      </c>
      <c r="Z143" s="24">
        <f>SUMIFS([1]raw_data!V:V,[1]raw_data!$A:$A,$B143)</f>
        <v>0.41306755260243599</v>
      </c>
      <c r="AA143">
        <f t="shared" si="2"/>
        <v>137.1660186</v>
      </c>
    </row>
    <row r="144" spans="1:27" x14ac:dyDescent="0.25">
      <c r="A144" s="40"/>
      <c r="B144" s="25" t="s">
        <v>264</v>
      </c>
      <c r="C144" s="25" t="s">
        <v>81</v>
      </c>
      <c r="D144" s="25" t="s">
        <v>265</v>
      </c>
      <c r="E144" s="25" t="s">
        <v>15</v>
      </c>
      <c r="F144" s="26">
        <f>IFERROR(INDEX([1]raw_data!B:B,MATCH(B144,[1]raw_data!A:A,0)),0)</f>
        <v>142.375</v>
      </c>
      <c r="G144" s="27">
        <f>SUMIFS([1]raw_data!C:C,[1]raw_data!$A:$A,$B144)</f>
        <v>69.030519999999996</v>
      </c>
      <c r="H144" s="28">
        <f>SUMIFS([1]raw_data!D:D,[1]raw_data!$A:$A,$B144)</f>
        <v>8.6330935251798496E-2</v>
      </c>
      <c r="I144" s="27">
        <f>SUMIFS([1]raw_data!E:E,[1]raw_data!$A:$A,$B144)</f>
        <v>69.030519999999996</v>
      </c>
      <c r="J144" s="28">
        <f>SUMIFS([1]raw_data!F:F,[1]raw_data!$A:$A,$B144)</f>
        <v>8.6330935251798496E-2</v>
      </c>
      <c r="K144" s="27">
        <f>SUMIFS([1]raw_data!G:G,[1]raw_data!$A:$A,$B144)</f>
        <v>202.097891</v>
      </c>
      <c r="L144" s="28">
        <f>SUMIFS([1]raw_data!H:H,[1]raw_data!$A:$A,$B144)</f>
        <v>0.90845070422535201</v>
      </c>
      <c r="M144" s="27">
        <f>SUMIFS([1]raw_data!I:I,[1]raw_data!$A:$A,$B144)</f>
        <v>202.097891</v>
      </c>
      <c r="N144" s="28">
        <f>SUMIFS([1]raw_data!J:J,[1]raw_data!$A:$A,$B144)</f>
        <v>0.90845070422535201</v>
      </c>
      <c r="O144" s="27">
        <f>SUMIFS([1]raw_data!K:K,[1]raw_data!$A:$A,$B144)</f>
        <v>190.42612199999999</v>
      </c>
      <c r="P144" s="28">
        <f>SUMIFS([1]raw_data!L:L,[1]raw_data!$A:$A,$B144)</f>
        <v>0.58156028368794299</v>
      </c>
      <c r="Q144" s="27">
        <f>SUMIFS([1]raw_data!M:M,[1]raw_data!$A:$A,$B144)</f>
        <v>161.002364</v>
      </c>
      <c r="R144" s="28">
        <f>SUMIFS([1]raw_data!N:N,[1]raw_data!$A:$A,$B144)</f>
        <v>0.57446808510638203</v>
      </c>
      <c r="S144" s="27">
        <f>SUMIFS([1]raw_data!O:O,[1]raw_data!$A:$A,$B144)</f>
        <v>73.016069999999999</v>
      </c>
      <c r="T144" s="28">
        <f>SUMIFS([1]raw_data!P:P,[1]raw_data!$A:$A,$B144)</f>
        <v>1.1571428571428499</v>
      </c>
      <c r="U144" s="27">
        <f>SUMIFS([1]raw_data!Q:Q,[1]raw_data!$A:$A,$B144)</f>
        <v>24.631309000000002</v>
      </c>
      <c r="V144" s="28">
        <f>SUMIFS([1]raw_data!R:R,[1]raw_data!$A:$A,$B144)</f>
        <v>0.14285714285714199</v>
      </c>
      <c r="W144" s="27">
        <f>SUMIFS([1]raw_data!S:S,[1]raw_data!$A:$A,$B144)</f>
        <v>91.243692999999993</v>
      </c>
      <c r="X144" s="28">
        <f>SUMIFS([1]raw_data!T:T,[1]raw_data!$A:$A,$B144)</f>
        <v>0.22972972972972899</v>
      </c>
      <c r="Y144" s="27">
        <f>SUMIFS([1]raw_data!U:U,[1]raw_data!$A:$A,$B144)</f>
        <v>71.775225000000006</v>
      </c>
      <c r="Z144" s="28">
        <f>SUMIFS([1]raw_data!V:V,[1]raw_data!$A:$A,$B144)</f>
        <v>0.222972972972972</v>
      </c>
      <c r="AA144">
        <f t="shared" si="2"/>
        <v>125.1628592</v>
      </c>
    </row>
    <row r="145" spans="1:27" x14ac:dyDescent="0.25">
      <c r="A145" s="40"/>
      <c r="B145" s="25" t="s">
        <v>308</v>
      </c>
      <c r="C145" s="25" t="s">
        <v>17</v>
      </c>
      <c r="D145" s="25" t="s">
        <v>309</v>
      </c>
      <c r="E145" s="25" t="s">
        <v>19</v>
      </c>
      <c r="F145" s="26">
        <f>IFERROR(INDEX([1]raw_data!B:B,MATCH(B145,[1]raw_data!A:A,0)),0)</f>
        <v>1801.2222220000001</v>
      </c>
      <c r="G145" s="27">
        <f>SUMIFS([1]raw_data!C:C,[1]raw_data!$A:$A,$B145)</f>
        <v>29.782986000000001</v>
      </c>
      <c r="H145" s="28">
        <f>SUMIFS([1]raw_data!D:D,[1]raw_data!$A:$A,$B145)</f>
        <v>0.21078701155751201</v>
      </c>
      <c r="I145" s="27">
        <f>SUMIFS([1]raw_data!E:E,[1]raw_data!$A:$A,$B145)</f>
        <v>29.782986000000001</v>
      </c>
      <c r="J145" s="28">
        <f>SUMIFS([1]raw_data!F:F,[1]raw_data!$A:$A,$B145)</f>
        <v>0.21078701155751201</v>
      </c>
      <c r="K145" s="27">
        <f>SUMIFS([1]raw_data!G:G,[1]raw_data!$A:$A,$B145)</f>
        <v>57.368872000000003</v>
      </c>
      <c r="L145" s="28">
        <f>SUMIFS([1]raw_data!H:H,[1]raw_data!$A:$A,$B145)</f>
        <v>0.454345434543454</v>
      </c>
      <c r="M145" s="27">
        <f>SUMIFS([1]raw_data!I:I,[1]raw_data!$A:$A,$B145)</f>
        <v>33.126474999999999</v>
      </c>
      <c r="N145" s="28">
        <f>SUMIFS([1]raw_data!J:J,[1]raw_data!$A:$A,$B145)</f>
        <v>0.43454345434543401</v>
      </c>
      <c r="O145" s="27">
        <f>SUMIFS([1]raw_data!K:K,[1]raw_data!$A:$A,$B145)</f>
        <v>18.046326000000001</v>
      </c>
      <c r="P145" s="28">
        <f>SUMIFS([1]raw_data!L:L,[1]raw_data!$A:$A,$B145)</f>
        <v>0.103296703296703</v>
      </c>
      <c r="Q145" s="27">
        <f>SUMIFS([1]raw_data!M:M,[1]raw_data!$A:$A,$B145)</f>
        <v>6.9902280000000001</v>
      </c>
      <c r="R145" s="28">
        <f>SUMIFS([1]raw_data!N:N,[1]raw_data!$A:$A,$B145)</f>
        <v>8.5164835164835098E-2</v>
      </c>
      <c r="S145" s="27">
        <f>SUMIFS([1]raw_data!O:O,[1]raw_data!$A:$A,$B145)</f>
        <v>308.55598400000002</v>
      </c>
      <c r="T145" s="28">
        <f>SUMIFS([1]raw_data!P:P,[1]raw_data!$A:$A,$B145)</f>
        <v>2.2184546970539101</v>
      </c>
      <c r="U145" s="27">
        <f>SUMIFS([1]raw_data!Q:Q,[1]raw_data!$A:$A,$B145)</f>
        <v>291.01009800000003</v>
      </c>
      <c r="V145" s="28">
        <f>SUMIFS([1]raw_data!R:R,[1]raw_data!$A:$A,$B145)</f>
        <v>2.20511395219566</v>
      </c>
      <c r="W145" s="27">
        <f>SUMIFS([1]raw_data!S:S,[1]raw_data!$A:$A,$B145)</f>
        <v>208.37335200000001</v>
      </c>
      <c r="X145" s="28">
        <f>SUMIFS([1]raw_data!T:T,[1]raw_data!$A:$A,$B145)</f>
        <v>0.76590909090908998</v>
      </c>
      <c r="Y145" s="27">
        <f>SUMIFS([1]raw_data!U:U,[1]raw_data!$A:$A,$B145)</f>
        <v>93.570710000000005</v>
      </c>
      <c r="Z145" s="28">
        <f>SUMIFS([1]raw_data!V:V,[1]raw_data!$A:$A,$B145)</f>
        <v>0.71193181818181805</v>
      </c>
      <c r="AA145">
        <f t="shared" si="2"/>
        <v>124.425504</v>
      </c>
    </row>
    <row r="146" spans="1:27" x14ac:dyDescent="0.25">
      <c r="A146" s="40"/>
      <c r="B146" s="25" t="s">
        <v>392</v>
      </c>
      <c r="C146" s="25" t="s">
        <v>128</v>
      </c>
      <c r="D146" s="25" t="s">
        <v>393</v>
      </c>
      <c r="E146" s="25" t="s">
        <v>15</v>
      </c>
      <c r="F146" s="26">
        <f>IFERROR(INDEX([1]raw_data!B:B,MATCH(B146,[1]raw_data!A:A,0)),0)</f>
        <v>554.20000000000005</v>
      </c>
      <c r="G146" s="27">
        <f>SUMIFS([1]raw_data!C:C,[1]raw_data!$A:$A,$B146)</f>
        <v>16.134229999999999</v>
      </c>
      <c r="H146" s="28">
        <f>SUMIFS([1]raw_data!D:D,[1]raw_data!$A:$A,$B146)</f>
        <v>3.5514018691588697E-2</v>
      </c>
      <c r="I146" s="27">
        <f>SUMIFS([1]raw_data!E:E,[1]raw_data!$A:$A,$B146)</f>
        <v>10.659521</v>
      </c>
      <c r="J146" s="28">
        <f>SUMIFS([1]raw_data!F:F,[1]raw_data!$A:$A,$B146)</f>
        <v>3.3644859813084099E-2</v>
      </c>
      <c r="K146" s="27">
        <f>SUMIFS([1]raw_data!G:G,[1]raw_data!$A:$A,$B146)</f>
        <v>348.60878100000002</v>
      </c>
      <c r="L146" s="28">
        <f>SUMIFS([1]raw_data!H:H,[1]raw_data!$A:$A,$B146)</f>
        <v>1.3314606741573001</v>
      </c>
      <c r="M146" s="27">
        <f>SUMIFS([1]raw_data!I:I,[1]raw_data!$A:$A,$B146)</f>
        <v>166.76711</v>
      </c>
      <c r="N146" s="28">
        <f>SUMIFS([1]raw_data!J:J,[1]raw_data!$A:$A,$B146)</f>
        <v>1.2378277153557999</v>
      </c>
      <c r="O146" s="27">
        <f>SUMIFS([1]raw_data!K:K,[1]raw_data!$A:$A,$B146)</f>
        <v>54.497926999999997</v>
      </c>
      <c r="P146" s="28">
        <f>SUMIFS([1]raw_data!L:L,[1]raw_data!$A:$A,$B146)</f>
        <v>0.170172084130019</v>
      </c>
      <c r="Q146" s="27">
        <f>SUMIFS([1]raw_data!M:M,[1]raw_data!$A:$A,$B146)</f>
        <v>47.01708</v>
      </c>
      <c r="R146" s="28">
        <f>SUMIFS([1]raw_data!N:N,[1]raw_data!$A:$A,$B146)</f>
        <v>0.164435946462715</v>
      </c>
      <c r="S146" s="27">
        <f>SUMIFS([1]raw_data!O:O,[1]raw_data!$A:$A,$B146)</f>
        <v>134.37495200000001</v>
      </c>
      <c r="T146" s="28">
        <f>SUMIFS([1]raw_data!P:P,[1]raw_data!$A:$A,$B146)</f>
        <v>0.15238095238095201</v>
      </c>
      <c r="U146" s="27">
        <f>SUMIFS([1]raw_data!Q:Q,[1]raw_data!$A:$A,$B146)</f>
        <v>13.885586999999999</v>
      </c>
      <c r="V146" s="28">
        <f>SUMIFS([1]raw_data!R:R,[1]raw_data!$A:$A,$B146)</f>
        <v>0.12761904761904699</v>
      </c>
      <c r="W146" s="27">
        <f>SUMIFS([1]raw_data!S:S,[1]raw_data!$A:$A,$B146)</f>
        <v>65.790952000000004</v>
      </c>
      <c r="X146" s="28">
        <f>SUMIFS([1]raw_data!T:T,[1]raw_data!$A:$A,$B146)</f>
        <v>0.13302752293577899</v>
      </c>
      <c r="Y146" s="27">
        <f>SUMIFS([1]raw_data!U:U,[1]raw_data!$A:$A,$B146)</f>
        <v>65.615009999999998</v>
      </c>
      <c r="Z146" s="28">
        <f>SUMIFS([1]raw_data!V:V,[1]raw_data!$A:$A,$B146)</f>
        <v>0.13149847094801201</v>
      </c>
      <c r="AA146">
        <f t="shared" si="2"/>
        <v>123.88136840000001</v>
      </c>
    </row>
    <row r="147" spans="1:27" x14ac:dyDescent="0.25">
      <c r="A147" s="40"/>
      <c r="B147" s="25" t="s">
        <v>360</v>
      </c>
      <c r="C147" s="25" t="s">
        <v>361</v>
      </c>
      <c r="D147" s="25" t="s">
        <v>362</v>
      </c>
      <c r="E147" s="25" t="s">
        <v>15</v>
      </c>
      <c r="F147" s="26">
        <f>IFERROR(INDEX([1]raw_data!B:B,MATCH(B147,[1]raw_data!A:A,0)),0)</f>
        <v>516.625</v>
      </c>
      <c r="G147" s="27">
        <f>SUMIFS([1]raw_data!C:C,[1]raw_data!$A:$A,$B147)</f>
        <v>30.686368000000002</v>
      </c>
      <c r="H147" s="28">
        <f>SUMIFS([1]raw_data!D:D,[1]raw_data!$A:$A,$B147)</f>
        <v>0.120724346076458</v>
      </c>
      <c r="I147" s="27">
        <f>SUMIFS([1]raw_data!E:E,[1]raw_data!$A:$A,$B147)</f>
        <v>30.686368000000002</v>
      </c>
      <c r="J147" s="28">
        <f>SUMIFS([1]raw_data!F:F,[1]raw_data!$A:$A,$B147)</f>
        <v>0.120724346076458</v>
      </c>
      <c r="K147" s="27">
        <f>SUMIFS([1]raw_data!G:G,[1]raw_data!$A:$A,$B147)</f>
        <v>138.501757</v>
      </c>
      <c r="L147" s="28">
        <f>SUMIFS([1]raw_data!H:H,[1]raw_data!$A:$A,$B147)</f>
        <v>0.22682445759368799</v>
      </c>
      <c r="M147" s="27">
        <f>SUMIFS([1]raw_data!I:I,[1]raw_data!$A:$A,$B147)</f>
        <v>48.627727</v>
      </c>
      <c r="N147" s="28">
        <f>SUMIFS([1]raw_data!J:J,[1]raw_data!$A:$A,$B147)</f>
        <v>0.19921104536489101</v>
      </c>
      <c r="O147" s="27">
        <f>SUMIFS([1]raw_data!K:K,[1]raw_data!$A:$A,$B147)</f>
        <v>120.48102900000001</v>
      </c>
      <c r="P147" s="28">
        <f>SUMIFS([1]raw_data!L:L,[1]raw_data!$A:$A,$B147)</f>
        <v>0.57773512476007605</v>
      </c>
      <c r="Q147" s="27">
        <f>SUMIFS([1]raw_data!M:M,[1]raw_data!$A:$A,$B147)</f>
        <v>5.7182659999999998</v>
      </c>
      <c r="R147" s="28">
        <f>SUMIFS([1]raw_data!N:N,[1]raw_data!$A:$A,$B147)</f>
        <v>7.2936660268713996E-2</v>
      </c>
      <c r="S147" s="27">
        <f>SUMIFS([1]raw_data!O:O,[1]raw_data!$A:$A,$B147)</f>
        <v>111.09732200000001</v>
      </c>
      <c r="T147" s="28">
        <f>SUMIFS([1]raw_data!P:P,[1]raw_data!$A:$A,$B147)</f>
        <v>1.17973231357552</v>
      </c>
      <c r="U147" s="27">
        <f>SUMIFS([1]raw_data!Q:Q,[1]raw_data!$A:$A,$B147)</f>
        <v>100.555003</v>
      </c>
      <c r="V147" s="28">
        <f>SUMIFS([1]raw_data!R:R,[1]raw_data!$A:$A,$B147)</f>
        <v>1.17782026768642</v>
      </c>
      <c r="W147" s="27">
        <f>SUMIFS([1]raw_data!S:S,[1]raw_data!$A:$A,$B147)</f>
        <v>182.17662200000001</v>
      </c>
      <c r="X147" s="28">
        <f>SUMIFS([1]raw_data!T:T,[1]raw_data!$A:$A,$B147)</f>
        <v>1.11048689138576</v>
      </c>
      <c r="Y147" s="27">
        <f>SUMIFS([1]raw_data!U:U,[1]raw_data!$A:$A,$B147)</f>
        <v>182.17662200000001</v>
      </c>
      <c r="Z147" s="28">
        <f>SUMIFS([1]raw_data!V:V,[1]raw_data!$A:$A,$B147)</f>
        <v>1.11048689138576</v>
      </c>
      <c r="AA147">
        <f t="shared" si="2"/>
        <v>116.58861960000002</v>
      </c>
    </row>
    <row r="148" spans="1:27" x14ac:dyDescent="0.25">
      <c r="A148" s="40"/>
      <c r="B148" s="25" t="s">
        <v>386</v>
      </c>
      <c r="C148" s="25" t="s">
        <v>200</v>
      </c>
      <c r="D148" s="25" t="s">
        <v>387</v>
      </c>
      <c r="E148" s="25" t="s">
        <v>15</v>
      </c>
      <c r="F148" s="26">
        <f>IFERROR(INDEX([1]raw_data!B:B,MATCH(B148,[1]raw_data!A:A,0)),0)</f>
        <v>1913.8</v>
      </c>
      <c r="G148" s="27">
        <f>SUMIFS([1]raw_data!C:C,[1]raw_data!$A:$A,$B148)</f>
        <v>73.632633999999996</v>
      </c>
      <c r="H148" s="28">
        <f>SUMIFS([1]raw_data!D:D,[1]raw_data!$A:$A,$B148)</f>
        <v>0.28301886792452802</v>
      </c>
      <c r="I148" s="27">
        <f>SUMIFS([1]raw_data!E:E,[1]raw_data!$A:$A,$B148)</f>
        <v>70.586792000000003</v>
      </c>
      <c r="J148" s="28">
        <f>SUMIFS([1]raw_data!F:F,[1]raw_data!$A:$A,$B148)</f>
        <v>0.27568134171907699</v>
      </c>
      <c r="K148" s="27">
        <f>SUMIFS([1]raw_data!G:G,[1]raw_data!$A:$A,$B148)</f>
        <v>84.796969000000004</v>
      </c>
      <c r="L148" s="28">
        <f>SUMIFS([1]raw_data!H:H,[1]raw_data!$A:$A,$B148)</f>
        <v>0.237402597402597</v>
      </c>
      <c r="M148" s="27">
        <f>SUMIFS([1]raw_data!I:I,[1]raw_data!$A:$A,$B148)</f>
        <v>27.375238</v>
      </c>
      <c r="N148" s="28">
        <f>SUMIFS([1]raw_data!J:J,[1]raw_data!$A:$A,$B148)</f>
        <v>0.17714285714285699</v>
      </c>
      <c r="O148" s="27">
        <f>SUMIFS([1]raw_data!K:K,[1]raw_data!$A:$A,$B148)</f>
        <v>125.346813</v>
      </c>
      <c r="P148" s="28">
        <f>SUMIFS([1]raw_data!L:L,[1]raw_data!$A:$A,$B148)</f>
        <v>0.41822916666666599</v>
      </c>
      <c r="Q148" s="27">
        <f>SUMIFS([1]raw_data!M:M,[1]raw_data!$A:$A,$B148)</f>
        <v>66.081648999999999</v>
      </c>
      <c r="R148" s="28">
        <f>SUMIFS([1]raw_data!N:N,[1]raw_data!$A:$A,$B148)</f>
        <v>0.36354166666666599</v>
      </c>
      <c r="S148" s="27">
        <f>SUMIFS([1]raw_data!O:O,[1]raw_data!$A:$A,$B148)</f>
        <v>227.852925</v>
      </c>
      <c r="T148" s="28">
        <f>SUMIFS([1]raw_data!P:P,[1]raw_data!$A:$A,$B148)</f>
        <v>0.49684542586750702</v>
      </c>
      <c r="U148" s="27">
        <f>SUMIFS([1]raw_data!Q:Q,[1]raw_data!$A:$A,$B148)</f>
        <v>133.55388099999999</v>
      </c>
      <c r="V148" s="28">
        <f>SUMIFS([1]raw_data!R:R,[1]raw_data!$A:$A,$B148)</f>
        <v>0.41377497371188199</v>
      </c>
      <c r="W148" s="27">
        <f>SUMIFS([1]raw_data!S:S,[1]raw_data!$A:$A,$B148)</f>
        <v>38.539836999999999</v>
      </c>
      <c r="X148" s="28">
        <f>SUMIFS([1]raw_data!T:T,[1]raw_data!$A:$A,$B148)</f>
        <v>0.21525600835945599</v>
      </c>
      <c r="Y148" s="27">
        <f>SUMIFS([1]raw_data!U:U,[1]raw_data!$A:$A,$B148)</f>
        <v>35.918120000000002</v>
      </c>
      <c r="Z148" s="28">
        <f>SUMIFS([1]raw_data!V:V,[1]raw_data!$A:$A,$B148)</f>
        <v>0.205329153605015</v>
      </c>
      <c r="AA148">
        <f t="shared" si="2"/>
        <v>110.0338356</v>
      </c>
    </row>
    <row r="149" spans="1:27" x14ac:dyDescent="0.25">
      <c r="A149" s="40"/>
      <c r="B149" s="17" t="s">
        <v>316</v>
      </c>
      <c r="C149" s="17" t="s">
        <v>317</v>
      </c>
      <c r="D149" s="17" t="s">
        <v>318</v>
      </c>
      <c r="E149" s="17" t="s">
        <v>23</v>
      </c>
      <c r="F149" s="18">
        <f>IFERROR(INDEX([1]raw_data!B:B,MATCH(B149,[1]raw_data!A:A,0)),0)</f>
        <v>1872.333333</v>
      </c>
      <c r="G149" s="19">
        <f>SUMIFS([1]raw_data!C:C,[1]raw_data!$A:$A,$B149)</f>
        <v>303.73958499999998</v>
      </c>
      <c r="H149" s="20">
        <f>SUMIFS([1]raw_data!D:D,[1]raw_data!$A:$A,$B149)</f>
        <v>2.3007712082262199</v>
      </c>
      <c r="I149" s="19">
        <f>SUMIFS([1]raw_data!E:E,[1]raw_data!$A:$A,$B149)</f>
        <v>267.72434600000003</v>
      </c>
      <c r="J149" s="20">
        <f>SUMIFS([1]raw_data!F:F,[1]raw_data!$A:$A,$B149)</f>
        <v>2.2565552699228699</v>
      </c>
      <c r="K149" s="19">
        <f>SUMIFS([1]raw_data!G:G,[1]raw_data!$A:$A,$B149)</f>
        <v>28.093378999999999</v>
      </c>
      <c r="L149" s="20">
        <f>SUMIFS([1]raw_data!H:H,[1]raw_data!$A:$A,$B149)</f>
        <v>0.20236869207003</v>
      </c>
      <c r="M149" s="19">
        <f>SUMIFS([1]raw_data!I:I,[1]raw_data!$A:$A,$B149)</f>
        <v>24.939976000000001</v>
      </c>
      <c r="N149" s="20">
        <f>SUMIFS([1]raw_data!J:J,[1]raw_data!$A:$A,$B149)</f>
        <v>0.20030895983522101</v>
      </c>
      <c r="O149" s="19">
        <f>SUMIFS([1]raw_data!K:K,[1]raw_data!$A:$A,$B149)</f>
        <v>17.258844</v>
      </c>
      <c r="P149" s="20">
        <f>SUMIFS([1]raw_data!L:L,[1]raw_data!$A:$A,$B149)</f>
        <v>0.204533745492014</v>
      </c>
      <c r="Q149" s="19">
        <f>SUMIFS([1]raw_data!M:M,[1]raw_data!$A:$A,$B149)</f>
        <v>17.258844</v>
      </c>
      <c r="R149" s="20">
        <f>SUMIFS([1]raw_data!N:N,[1]raw_data!$A:$A,$B149)</f>
        <v>0.204533745492014</v>
      </c>
      <c r="S149" s="19">
        <f>SUMIFS([1]raw_data!O:O,[1]raw_data!$A:$A,$B149)</f>
        <v>36.117528999999998</v>
      </c>
      <c r="T149" s="20">
        <f>SUMIFS([1]raw_data!P:P,[1]raw_data!$A:$A,$B149)</f>
        <v>0.51202961135101699</v>
      </c>
      <c r="U149" s="19">
        <f>SUMIFS([1]raw_data!Q:Q,[1]raw_data!$A:$A,$B149)</f>
        <v>34.938412</v>
      </c>
      <c r="V149" s="20">
        <f>SUMIFS([1]raw_data!R:R,[1]raw_data!$A:$A,$B149)</f>
        <v>0.47131400370141802</v>
      </c>
      <c r="W149" s="19">
        <f>SUMIFS([1]raw_data!S:S,[1]raw_data!$A:$A,$B149)</f>
        <v>157.269148</v>
      </c>
      <c r="X149" s="20">
        <f>SUMIFS([1]raw_data!T:T,[1]raw_data!$A:$A,$B149)</f>
        <v>1.21879815100154</v>
      </c>
      <c r="Y149" s="19">
        <f>SUMIFS([1]raw_data!U:U,[1]raw_data!$A:$A,$B149)</f>
        <v>96.438665999999998</v>
      </c>
      <c r="Z149" s="20">
        <f>SUMIFS([1]raw_data!V:V,[1]raw_data!$A:$A,$B149)</f>
        <v>0.52696456086286503</v>
      </c>
      <c r="AA149">
        <f t="shared" si="2"/>
        <v>108.49569699999999</v>
      </c>
    </row>
    <row r="150" spans="1:27" x14ac:dyDescent="0.25">
      <c r="A150" s="40"/>
      <c r="B150" s="25" t="s">
        <v>401</v>
      </c>
      <c r="C150" s="25" t="s">
        <v>35</v>
      </c>
      <c r="D150" s="25" t="s">
        <v>402</v>
      </c>
      <c r="E150" s="25" t="s">
        <v>15</v>
      </c>
      <c r="F150" s="26">
        <f>IFERROR(INDEX([1]raw_data!B:B,MATCH(B150,[1]raw_data!A:A,0)),0)</f>
        <v>1850.6</v>
      </c>
      <c r="G150" s="27">
        <f>SUMIFS([1]raw_data!C:C,[1]raw_data!$A:$A,$B150)</f>
        <v>142.65076400000001</v>
      </c>
      <c r="H150" s="28">
        <f>SUMIFS([1]raw_data!D:D,[1]raw_data!$A:$A,$B150)</f>
        <v>0.28237585199610499</v>
      </c>
      <c r="I150" s="27">
        <f>SUMIFS([1]raw_data!E:E,[1]raw_data!$A:$A,$B150)</f>
        <v>83.926181</v>
      </c>
      <c r="J150" s="28">
        <f>SUMIFS([1]raw_data!F:F,[1]raw_data!$A:$A,$B150)</f>
        <v>0.25121713729308598</v>
      </c>
      <c r="K150" s="27">
        <f>SUMIFS([1]raw_data!G:G,[1]raw_data!$A:$A,$B150)</f>
        <v>143.527275</v>
      </c>
      <c r="L150" s="28">
        <f>SUMIFS([1]raw_data!H:H,[1]raw_data!$A:$A,$B150)</f>
        <v>0.236548715462918</v>
      </c>
      <c r="M150" s="27">
        <f>SUMIFS([1]raw_data!I:I,[1]raw_data!$A:$A,$B150)</f>
        <v>59.153781000000002</v>
      </c>
      <c r="N150" s="28">
        <f>SUMIFS([1]raw_data!J:J,[1]raw_data!$A:$A,$B150)</f>
        <v>0.170140571982549</v>
      </c>
      <c r="O150" s="27">
        <f>SUMIFS([1]raw_data!K:K,[1]raw_data!$A:$A,$B150)</f>
        <v>80.719560000000001</v>
      </c>
      <c r="P150" s="28">
        <f>SUMIFS([1]raw_data!L:L,[1]raw_data!$A:$A,$B150)</f>
        <v>0.179942693409742</v>
      </c>
      <c r="Q150" s="27">
        <f>SUMIFS([1]raw_data!M:M,[1]raw_data!$A:$A,$B150)</f>
        <v>39.607630999999998</v>
      </c>
      <c r="R150" s="28">
        <f>SUMIFS([1]raw_data!N:N,[1]raw_data!$A:$A,$B150)</f>
        <v>0.15014326647564399</v>
      </c>
      <c r="S150" s="27">
        <f>SUMIFS([1]raw_data!O:O,[1]raw_data!$A:$A,$B150)</f>
        <v>48.465052</v>
      </c>
      <c r="T150" s="28">
        <f>SUMIFS([1]raw_data!P:P,[1]raw_data!$A:$A,$B150)</f>
        <v>0.160332541567695</v>
      </c>
      <c r="U150" s="27">
        <f>SUMIFS([1]raw_data!Q:Q,[1]raw_data!$A:$A,$B150)</f>
        <v>33.496831999999998</v>
      </c>
      <c r="V150" s="28">
        <f>SUMIFS([1]raw_data!R:R,[1]raw_data!$A:$A,$B150)</f>
        <v>0.13895486935866899</v>
      </c>
      <c r="W150" s="27">
        <f>SUMIFS([1]raw_data!S:S,[1]raw_data!$A:$A,$B150)</f>
        <v>111.206092</v>
      </c>
      <c r="X150" s="28">
        <f>SUMIFS([1]raw_data!T:T,[1]raw_data!$A:$A,$B150)</f>
        <v>0.15582893966022199</v>
      </c>
      <c r="Y150" s="27">
        <f>SUMIFS([1]raw_data!U:U,[1]raw_data!$A:$A,$B150)</f>
        <v>33.345058999999999</v>
      </c>
      <c r="Z150" s="28">
        <f>SUMIFS([1]raw_data!V:V,[1]raw_data!$A:$A,$B150)</f>
        <v>0.10193321616871701</v>
      </c>
      <c r="AA150">
        <f t="shared" si="2"/>
        <v>105.31374860000001</v>
      </c>
    </row>
    <row r="151" spans="1:27" x14ac:dyDescent="0.25">
      <c r="A151" s="40"/>
      <c r="B151" s="25" t="s">
        <v>284</v>
      </c>
      <c r="C151" s="25" t="s">
        <v>78</v>
      </c>
      <c r="D151" s="25" t="s">
        <v>200</v>
      </c>
      <c r="E151" s="25" t="s">
        <v>15</v>
      </c>
      <c r="F151" s="26">
        <f>IFERROR(INDEX([1]raw_data!B:B,MATCH(B151,[1]raw_data!A:A,0)),0)</f>
        <v>300</v>
      </c>
      <c r="G151" s="27">
        <f>SUMIFS([1]raw_data!C:C,[1]raw_data!$A:$A,$B151)</f>
        <v>39.229543999999997</v>
      </c>
      <c r="H151" s="28">
        <f>SUMIFS([1]raw_data!D:D,[1]raw_data!$A:$A,$B151)</f>
        <v>0.1</v>
      </c>
      <c r="I151" s="27">
        <f>SUMIFS([1]raw_data!E:E,[1]raw_data!$A:$A,$B151)</f>
        <v>39.229543999999997</v>
      </c>
      <c r="J151" s="28">
        <f>SUMIFS([1]raw_data!F:F,[1]raw_data!$A:$A,$B151)</f>
        <v>0.1</v>
      </c>
      <c r="K151" s="27">
        <f>SUMIFS([1]raw_data!G:G,[1]raw_data!$A:$A,$B151)</f>
        <v>13.419193</v>
      </c>
      <c r="L151" s="28">
        <f>SUMIFS([1]raw_data!H:H,[1]raw_data!$A:$A,$B151)</f>
        <v>7.3800738007380004E-2</v>
      </c>
      <c r="M151" s="27">
        <f>SUMIFS([1]raw_data!I:I,[1]raw_data!$A:$A,$B151)</f>
        <v>13.419193</v>
      </c>
      <c r="N151" s="28">
        <f>SUMIFS([1]raw_data!J:J,[1]raw_data!$A:$A,$B151)</f>
        <v>7.3800738007380004E-2</v>
      </c>
      <c r="O151" s="27">
        <f>SUMIFS([1]raw_data!K:K,[1]raw_data!$A:$A,$B151)</f>
        <v>93.978998000000004</v>
      </c>
      <c r="P151" s="28">
        <f>SUMIFS([1]raw_data!L:L,[1]raw_data!$A:$A,$B151)</f>
        <v>1.0549450549450501</v>
      </c>
      <c r="Q151" s="27">
        <f>SUMIFS([1]raw_data!M:M,[1]raw_data!$A:$A,$B151)</f>
        <v>93.978998000000004</v>
      </c>
      <c r="R151" s="28">
        <f>SUMIFS([1]raw_data!N:N,[1]raw_data!$A:$A,$B151)</f>
        <v>1.0549450549450501</v>
      </c>
      <c r="S151" s="27">
        <f>SUMIFS([1]raw_data!O:O,[1]raw_data!$A:$A,$B151)</f>
        <v>146.527433</v>
      </c>
      <c r="T151" s="28">
        <f>SUMIFS([1]raw_data!P:P,[1]raw_data!$A:$A,$B151)</f>
        <v>1.1861313868613099</v>
      </c>
      <c r="U151" s="27">
        <f>SUMIFS([1]raw_data!Q:Q,[1]raw_data!$A:$A,$B151)</f>
        <v>146.527433</v>
      </c>
      <c r="V151" s="28">
        <f>SUMIFS([1]raw_data!R:R,[1]raw_data!$A:$A,$B151)</f>
        <v>1.1861313868613099</v>
      </c>
      <c r="W151" s="27">
        <f>SUMIFS([1]raw_data!S:S,[1]raw_data!$A:$A,$B151)</f>
        <v>214.337312</v>
      </c>
      <c r="X151" s="28">
        <f>SUMIFS([1]raw_data!T:T,[1]raw_data!$A:$A,$B151)</f>
        <v>0.99157303370786498</v>
      </c>
      <c r="Y151" s="27">
        <f>SUMIFS([1]raw_data!U:U,[1]raw_data!$A:$A,$B151)</f>
        <v>209.357022</v>
      </c>
      <c r="Z151" s="28">
        <f>SUMIFS([1]raw_data!V:V,[1]raw_data!$A:$A,$B151)</f>
        <v>0.98595505617977497</v>
      </c>
      <c r="AA151">
        <f t="shared" si="2"/>
        <v>101.498496</v>
      </c>
    </row>
    <row r="152" spans="1:27" x14ac:dyDescent="0.25">
      <c r="A152" s="40"/>
      <c r="B152" s="25" t="s">
        <v>345</v>
      </c>
      <c r="C152" s="25" t="s">
        <v>317</v>
      </c>
      <c r="D152" s="25" t="s">
        <v>346</v>
      </c>
      <c r="E152" s="25" t="s">
        <v>23</v>
      </c>
      <c r="F152" s="26">
        <f>IFERROR(INDEX([1]raw_data!B:B,MATCH(B152,[1]raw_data!A:A,0)),0)</f>
        <v>145.42857100000001</v>
      </c>
      <c r="G152" s="27">
        <f>SUMIFS([1]raw_data!C:C,[1]raw_data!$A:$A,$B152)</f>
        <v>38.235332</v>
      </c>
      <c r="H152" s="28">
        <f>SUMIFS([1]raw_data!D:D,[1]raw_data!$A:$A,$B152)</f>
        <v>1.6E-2</v>
      </c>
      <c r="I152" s="27">
        <f>SUMIFS([1]raw_data!E:E,[1]raw_data!$A:$A,$B152)</f>
        <v>0</v>
      </c>
      <c r="J152" s="28">
        <f>SUMIFS([1]raw_data!F:F,[1]raw_data!$A:$A,$B152)</f>
        <v>0</v>
      </c>
      <c r="K152" s="27">
        <f>SUMIFS([1]raw_data!G:G,[1]raw_data!$A:$A,$B152)</f>
        <v>56.648432</v>
      </c>
      <c r="L152" s="28">
        <f>SUMIFS([1]raw_data!H:H,[1]raw_data!$A:$A,$B152)</f>
        <v>0.26771653543307</v>
      </c>
      <c r="M152" s="27">
        <f>SUMIFS([1]raw_data!I:I,[1]raw_data!$A:$A,$B152)</f>
        <v>56.648432</v>
      </c>
      <c r="N152" s="28">
        <f>SUMIFS([1]raw_data!J:J,[1]raw_data!$A:$A,$B152)</f>
        <v>0.26771653543307</v>
      </c>
      <c r="O152" s="27">
        <f>SUMIFS([1]raw_data!K:K,[1]raw_data!$A:$A,$B152)</f>
        <v>165.77317600000001</v>
      </c>
      <c r="P152" s="28">
        <f>SUMIFS([1]raw_data!L:L,[1]raw_data!$A:$A,$B152)</f>
        <v>1.015625</v>
      </c>
      <c r="Q152" s="27">
        <f>SUMIFS([1]raw_data!M:M,[1]raw_data!$A:$A,$B152)</f>
        <v>153.50156200000001</v>
      </c>
      <c r="R152" s="28">
        <f>SUMIFS([1]raw_data!N:N,[1]raw_data!$A:$A,$B152)</f>
        <v>1.0078125</v>
      </c>
      <c r="S152" s="27">
        <f>SUMIFS([1]raw_data!O:O,[1]raw_data!$A:$A,$B152)</f>
        <v>175.81005200000001</v>
      </c>
      <c r="T152" s="28">
        <f>SUMIFS([1]raw_data!P:P,[1]raw_data!$A:$A,$B152)</f>
        <v>1.23015873015873</v>
      </c>
      <c r="U152" s="27">
        <f>SUMIFS([1]raw_data!Q:Q,[1]raw_data!$A:$A,$B152)</f>
        <v>175.81005200000001</v>
      </c>
      <c r="V152" s="28">
        <f>SUMIFS([1]raw_data!R:R,[1]raw_data!$A:$A,$B152)</f>
        <v>1.23015873015873</v>
      </c>
      <c r="W152" s="27">
        <f>SUMIFS([1]raw_data!S:S,[1]raw_data!$A:$A,$B152)</f>
        <v>56.615537000000003</v>
      </c>
      <c r="X152" s="28">
        <f>SUMIFS([1]raw_data!T:T,[1]raw_data!$A:$A,$B152)</f>
        <v>9.3749999999999903E-2</v>
      </c>
      <c r="Y152" s="27">
        <f>SUMIFS([1]raw_data!U:U,[1]raw_data!$A:$A,$B152)</f>
        <v>15.605815</v>
      </c>
      <c r="Z152" s="28">
        <f>SUMIFS([1]raw_data!V:V,[1]raw_data!$A:$A,$B152)</f>
        <v>2.6041666666666598E-2</v>
      </c>
      <c r="AA152">
        <f t="shared" si="2"/>
        <v>98.616505799999999</v>
      </c>
    </row>
    <row r="153" spans="1:27" x14ac:dyDescent="0.25">
      <c r="A153" s="40"/>
      <c r="B153" s="17" t="s">
        <v>439</v>
      </c>
      <c r="C153" s="17" t="s">
        <v>282</v>
      </c>
      <c r="D153" s="17" t="s">
        <v>440</v>
      </c>
      <c r="E153" s="17" t="s">
        <v>23</v>
      </c>
      <c r="F153" s="18">
        <f>IFERROR(INDEX([1]raw_data!B:B,MATCH(B153,[1]raw_data!A:A,0)),0)</f>
        <v>545.33333300000004</v>
      </c>
      <c r="G153" s="19">
        <f>SUMIFS([1]raw_data!C:C,[1]raw_data!$A:$A,$B153)</f>
        <v>360.94770999999997</v>
      </c>
      <c r="H153" s="20">
        <f>SUMIFS([1]raw_data!D:D,[1]raw_data!$A:$A,$B153)</f>
        <v>0.212643678160919</v>
      </c>
      <c r="I153" s="19">
        <f>SUMIFS([1]raw_data!E:E,[1]raw_data!$A:$A,$B153)</f>
        <v>16.387124</v>
      </c>
      <c r="J153" s="20">
        <f>SUMIFS([1]raw_data!F:F,[1]raw_data!$A:$A,$B153)</f>
        <v>0.114942528735632</v>
      </c>
      <c r="K153" s="19">
        <f>SUMIFS([1]raw_data!G:G,[1]raw_data!$A:$A,$B153)</f>
        <v>130.14320599999999</v>
      </c>
      <c r="L153" s="20">
        <f>SUMIFS([1]raw_data!H:H,[1]raw_data!$A:$A,$B153)</f>
        <v>1.2027027027027</v>
      </c>
      <c r="M153" s="19">
        <f>SUMIFS([1]raw_data!I:I,[1]raw_data!$A:$A,$B153)</f>
        <v>130.14320599999999</v>
      </c>
      <c r="N153" s="20">
        <f>SUMIFS([1]raw_data!J:J,[1]raw_data!$A:$A,$B153)</f>
        <v>1.2027027027027</v>
      </c>
      <c r="O153" s="19">
        <f>SUMIFS([1]raw_data!K:K,[1]raw_data!$A:$A,$B153)</f>
        <v>0</v>
      </c>
      <c r="P153" s="20">
        <f>SUMIFS([1]raw_data!L:L,[1]raw_data!$A:$A,$B153)</f>
        <v>0</v>
      </c>
      <c r="Q153" s="19">
        <f>SUMIFS([1]raw_data!M:M,[1]raw_data!$A:$A,$B153)</f>
        <v>0</v>
      </c>
      <c r="R153" s="20">
        <f>SUMIFS([1]raw_data!N:N,[1]raw_data!$A:$A,$B153)</f>
        <v>0</v>
      </c>
      <c r="S153" s="19">
        <f>SUMIFS([1]raw_data!O:O,[1]raw_data!$A:$A,$B153)</f>
        <v>0</v>
      </c>
      <c r="T153" s="20">
        <f>SUMIFS([1]raw_data!P:P,[1]raw_data!$A:$A,$B153)</f>
        <v>0</v>
      </c>
      <c r="U153" s="19">
        <f>SUMIFS([1]raw_data!Q:Q,[1]raw_data!$A:$A,$B153)</f>
        <v>0</v>
      </c>
      <c r="V153" s="20">
        <f>SUMIFS([1]raw_data!R:R,[1]raw_data!$A:$A,$B153)</f>
        <v>0</v>
      </c>
      <c r="W153" s="19">
        <f>SUMIFS([1]raw_data!S:S,[1]raw_data!$A:$A,$B153)</f>
        <v>0</v>
      </c>
      <c r="X153" s="20">
        <f>SUMIFS([1]raw_data!T:T,[1]raw_data!$A:$A,$B153)</f>
        <v>0</v>
      </c>
      <c r="Y153" s="19">
        <f>SUMIFS([1]raw_data!U:U,[1]raw_data!$A:$A,$B153)</f>
        <v>0</v>
      </c>
      <c r="Z153" s="20">
        <f>SUMIFS([1]raw_data!V:V,[1]raw_data!$A:$A,$B153)</f>
        <v>0</v>
      </c>
      <c r="AA153">
        <f t="shared" si="2"/>
        <v>98.218183199999999</v>
      </c>
    </row>
    <row r="154" spans="1:27" x14ac:dyDescent="0.25">
      <c r="A154" s="40"/>
      <c r="B154" s="25" t="s">
        <v>322</v>
      </c>
      <c r="C154" s="25" t="s">
        <v>115</v>
      </c>
      <c r="D154" s="25" t="s">
        <v>323</v>
      </c>
      <c r="E154" s="25" t="s">
        <v>15</v>
      </c>
      <c r="F154" s="26">
        <f>IFERROR(INDEX([1]raw_data!B:B,MATCH(B154,[1]raw_data!A:A,0)),0)</f>
        <v>41.25</v>
      </c>
      <c r="G154" s="27">
        <f>SUMIFS([1]raw_data!C:C,[1]raw_data!$A:$A,$B154)</f>
        <v>0</v>
      </c>
      <c r="H154" s="28">
        <f>SUMIFS([1]raw_data!D:D,[1]raw_data!$A:$A,$B154)</f>
        <v>0</v>
      </c>
      <c r="I154" s="27">
        <f>SUMIFS([1]raw_data!E:E,[1]raw_data!$A:$A,$B154)</f>
        <v>0</v>
      </c>
      <c r="J154" s="28">
        <f>SUMIFS([1]raw_data!F:F,[1]raw_data!$A:$A,$B154)</f>
        <v>0</v>
      </c>
      <c r="K154" s="27">
        <f>SUMIFS([1]raw_data!G:G,[1]raw_data!$A:$A,$B154)</f>
        <v>0</v>
      </c>
      <c r="L154" s="28">
        <f>SUMIFS([1]raw_data!H:H,[1]raw_data!$A:$A,$B154)</f>
        <v>0</v>
      </c>
      <c r="M154" s="27">
        <f>SUMIFS([1]raw_data!I:I,[1]raw_data!$A:$A,$B154)</f>
        <v>0</v>
      </c>
      <c r="N154" s="28">
        <f>SUMIFS([1]raw_data!J:J,[1]raw_data!$A:$A,$B154)</f>
        <v>0</v>
      </c>
      <c r="O154" s="27">
        <f>SUMIFS([1]raw_data!K:K,[1]raw_data!$A:$A,$B154)</f>
        <v>231.346396</v>
      </c>
      <c r="P154" s="28">
        <f>SUMIFS([1]raw_data!L:L,[1]raw_data!$A:$A,$B154)</f>
        <v>1.0270270270270201</v>
      </c>
      <c r="Q154" s="27">
        <f>SUMIFS([1]raw_data!M:M,[1]raw_data!$A:$A,$B154)</f>
        <v>231.346396</v>
      </c>
      <c r="R154" s="28">
        <f>SUMIFS([1]raw_data!N:N,[1]raw_data!$A:$A,$B154)</f>
        <v>1.0270270270270201</v>
      </c>
      <c r="S154" s="27">
        <f>SUMIFS([1]raw_data!O:O,[1]raw_data!$A:$A,$B154)</f>
        <v>184.30394699999999</v>
      </c>
      <c r="T154" s="28">
        <f>SUMIFS([1]raw_data!P:P,[1]raw_data!$A:$A,$B154)</f>
        <v>1.4736842105263099</v>
      </c>
      <c r="U154" s="27">
        <f>SUMIFS([1]raw_data!Q:Q,[1]raw_data!$A:$A,$B154)</f>
        <v>136.50394700000001</v>
      </c>
      <c r="V154" s="28">
        <f>SUMIFS([1]raw_data!R:R,[1]raw_data!$A:$A,$B154)</f>
        <v>0.47368421052631499</v>
      </c>
      <c r="W154" s="27">
        <f>SUMIFS([1]raw_data!S:S,[1]raw_data!$A:$A,$B154)</f>
        <v>69.160576000000006</v>
      </c>
      <c r="X154" s="28">
        <f>SUMIFS([1]raw_data!T:T,[1]raw_data!$A:$A,$B154)</f>
        <v>0.65384615384615297</v>
      </c>
      <c r="Y154" s="27">
        <f>SUMIFS([1]raw_data!U:U,[1]raw_data!$A:$A,$B154)</f>
        <v>69.160576000000006</v>
      </c>
      <c r="Z154" s="28">
        <f>SUMIFS([1]raw_data!V:V,[1]raw_data!$A:$A,$B154)</f>
        <v>0.65384615384615297</v>
      </c>
      <c r="AA154">
        <f t="shared" si="2"/>
        <v>96.962183800000005</v>
      </c>
    </row>
    <row r="155" spans="1:27" x14ac:dyDescent="0.25">
      <c r="A155" s="40"/>
      <c r="B155" s="25" t="s">
        <v>349</v>
      </c>
      <c r="C155" s="25" t="s">
        <v>350</v>
      </c>
      <c r="D155" s="25" t="s">
        <v>351</v>
      </c>
      <c r="E155" s="25" t="s">
        <v>15</v>
      </c>
      <c r="F155" s="26">
        <f>IFERROR(INDEX([1]raw_data!B:B,MATCH(B155,[1]raw_data!A:A,0)),0)</f>
        <v>971.44444399999998</v>
      </c>
      <c r="G155" s="27">
        <f>SUMIFS([1]raw_data!C:C,[1]raw_data!$A:$A,$B155)</f>
        <v>67.066113000000001</v>
      </c>
      <c r="H155" s="28">
        <f>SUMIFS([1]raw_data!D:D,[1]raw_data!$A:$A,$B155)</f>
        <v>0.29568788501026599</v>
      </c>
      <c r="I155" s="27">
        <f>SUMIFS([1]raw_data!E:E,[1]raw_data!$A:$A,$B155)</f>
        <v>30.899640999999999</v>
      </c>
      <c r="J155" s="28">
        <f>SUMIFS([1]raw_data!F:F,[1]raw_data!$A:$A,$B155)</f>
        <v>0.27412731006160101</v>
      </c>
      <c r="K155" s="27">
        <f>SUMIFS([1]raw_data!G:G,[1]raw_data!$A:$A,$B155)</f>
        <v>103.91823100000001</v>
      </c>
      <c r="L155" s="28">
        <f>SUMIFS([1]raw_data!H:H,[1]raw_data!$A:$A,$B155)</f>
        <v>0.67214799588900298</v>
      </c>
      <c r="M155" s="27">
        <f>SUMIFS([1]raw_data!I:I,[1]raw_data!$A:$A,$B155)</f>
        <v>101.954038</v>
      </c>
      <c r="N155" s="28">
        <f>SUMIFS([1]raw_data!J:J,[1]raw_data!$A:$A,$B155)</f>
        <v>0.66803699897225</v>
      </c>
      <c r="O155" s="27">
        <f>SUMIFS([1]raw_data!K:K,[1]raw_data!$A:$A,$B155)</f>
        <v>219.99953600000001</v>
      </c>
      <c r="P155" s="28">
        <f>SUMIFS([1]raw_data!L:L,[1]raw_data!$A:$A,$B155)</f>
        <v>1.56937307297019</v>
      </c>
      <c r="Q155" s="27">
        <f>SUMIFS([1]raw_data!M:M,[1]raw_data!$A:$A,$B155)</f>
        <v>212.09837200000001</v>
      </c>
      <c r="R155" s="28">
        <f>SUMIFS([1]raw_data!N:N,[1]raw_data!$A:$A,$B155)</f>
        <v>1.5601233299074999</v>
      </c>
      <c r="S155" s="27">
        <f>SUMIFS([1]raw_data!O:O,[1]raw_data!$A:$A,$B155)</f>
        <v>10.510277</v>
      </c>
      <c r="T155" s="28">
        <f>SUMIFS([1]raw_data!P:P,[1]raw_data!$A:$A,$B155)</f>
        <v>7.5025693730729703E-2</v>
      </c>
      <c r="U155" s="27">
        <f>SUMIFS([1]raw_data!Q:Q,[1]raw_data!$A:$A,$B155)</f>
        <v>10.510277</v>
      </c>
      <c r="V155" s="28">
        <f>SUMIFS([1]raw_data!R:R,[1]raw_data!$A:$A,$B155)</f>
        <v>7.5025693730729703E-2</v>
      </c>
      <c r="W155" s="27">
        <f>SUMIFS([1]raw_data!S:S,[1]raw_data!$A:$A,$B155)</f>
        <v>39.170879999999997</v>
      </c>
      <c r="X155" s="28">
        <f>SUMIFS([1]raw_data!T:T,[1]raw_data!$A:$A,$B155)</f>
        <v>0.14093264248704601</v>
      </c>
      <c r="Y155" s="27">
        <f>SUMIFS([1]raw_data!U:U,[1]raw_data!$A:$A,$B155)</f>
        <v>32.323729999999998</v>
      </c>
      <c r="Z155" s="28">
        <f>SUMIFS([1]raw_data!V:V,[1]raw_data!$A:$A,$B155)</f>
        <v>0.13471502590673501</v>
      </c>
      <c r="AA155">
        <f t="shared" si="2"/>
        <v>88.133007399999997</v>
      </c>
    </row>
    <row r="156" spans="1:27" x14ac:dyDescent="0.25">
      <c r="A156" s="40"/>
      <c r="B156" s="25" t="s">
        <v>319</v>
      </c>
      <c r="C156" s="25" t="s">
        <v>320</v>
      </c>
      <c r="D156" s="25" t="s">
        <v>321</v>
      </c>
      <c r="E156" s="25" t="s">
        <v>19</v>
      </c>
      <c r="F156" s="26">
        <f>IFERROR(INDEX([1]raw_data!B:B,MATCH(B156,[1]raw_data!A:A,0)),0)</f>
        <v>149</v>
      </c>
      <c r="G156" s="27">
        <f>SUMIFS([1]raw_data!C:C,[1]raw_data!$A:$A,$B156)</f>
        <v>0</v>
      </c>
      <c r="H156" s="28">
        <f>SUMIFS([1]raw_data!D:D,[1]raw_data!$A:$A,$B156)</f>
        <v>0</v>
      </c>
      <c r="I156" s="27">
        <f>SUMIFS([1]raw_data!E:E,[1]raw_data!$A:$A,$B156)</f>
        <v>0</v>
      </c>
      <c r="J156" s="28">
        <f>SUMIFS([1]raw_data!F:F,[1]raw_data!$A:$A,$B156)</f>
        <v>0</v>
      </c>
      <c r="K156" s="27">
        <f>SUMIFS([1]raw_data!G:G,[1]raw_data!$A:$A,$B156)</f>
        <v>0</v>
      </c>
      <c r="L156" s="28">
        <f>SUMIFS([1]raw_data!H:H,[1]raw_data!$A:$A,$B156)</f>
        <v>0</v>
      </c>
      <c r="M156" s="27">
        <f>SUMIFS([1]raw_data!I:I,[1]raw_data!$A:$A,$B156)</f>
        <v>0</v>
      </c>
      <c r="N156" s="28">
        <f>SUMIFS([1]raw_data!J:J,[1]raw_data!$A:$A,$B156)</f>
        <v>0</v>
      </c>
      <c r="O156" s="27">
        <f>SUMIFS([1]raw_data!K:K,[1]raw_data!$A:$A,$B156)</f>
        <v>39.033098000000003</v>
      </c>
      <c r="P156" s="28">
        <f>SUMIFS([1]raw_data!L:L,[1]raw_data!$A:$A,$B156)</f>
        <v>0.23943661971830901</v>
      </c>
      <c r="Q156" s="27">
        <f>SUMIFS([1]raw_data!M:M,[1]raw_data!$A:$A,$B156)</f>
        <v>39.033098000000003</v>
      </c>
      <c r="R156" s="28">
        <f>SUMIFS([1]raw_data!N:N,[1]raw_data!$A:$A,$B156)</f>
        <v>0.23943661971830901</v>
      </c>
      <c r="S156" s="27">
        <f>SUMIFS([1]raw_data!O:O,[1]raw_data!$A:$A,$B156)</f>
        <v>399.911858</v>
      </c>
      <c r="T156" s="28">
        <f>SUMIFS([1]raw_data!P:P,[1]raw_data!$A:$A,$B156)</f>
        <v>0.80128205128205099</v>
      </c>
      <c r="U156" s="27">
        <f>SUMIFS([1]raw_data!Q:Q,[1]raw_data!$A:$A,$B156)</f>
        <v>399.911858</v>
      </c>
      <c r="V156" s="28">
        <f>SUMIFS([1]raw_data!R:R,[1]raw_data!$A:$A,$B156)</f>
        <v>0.80128205128205099</v>
      </c>
      <c r="W156" s="27">
        <f>SUMIFS([1]raw_data!S:S,[1]raw_data!$A:$A,$B156)</f>
        <v>0</v>
      </c>
      <c r="X156" s="28">
        <f>SUMIFS([1]raw_data!T:T,[1]raw_data!$A:$A,$B156)</f>
        <v>0</v>
      </c>
      <c r="Y156" s="27">
        <f>SUMIFS([1]raw_data!U:U,[1]raw_data!$A:$A,$B156)</f>
        <v>0</v>
      </c>
      <c r="Z156" s="28">
        <f>SUMIFS([1]raw_data!V:V,[1]raw_data!$A:$A,$B156)</f>
        <v>0</v>
      </c>
      <c r="AA156">
        <f t="shared" si="2"/>
        <v>87.788991199999998</v>
      </c>
    </row>
    <row r="157" spans="1:27" x14ac:dyDescent="0.25">
      <c r="A157" s="40"/>
      <c r="B157" s="25" t="s">
        <v>335</v>
      </c>
      <c r="C157" s="25" t="s">
        <v>70</v>
      </c>
      <c r="D157" s="25" t="s">
        <v>336</v>
      </c>
      <c r="E157" s="25" t="s">
        <v>15</v>
      </c>
      <c r="F157" s="26">
        <f>IFERROR(INDEX([1]raw_data!B:B,MATCH(B157,[1]raw_data!A:A,0)),0)</f>
        <v>311.28571399999998</v>
      </c>
      <c r="G157" s="27">
        <f>SUMIFS([1]raw_data!C:C,[1]raw_data!$A:$A,$B157)</f>
        <v>24.787828999999999</v>
      </c>
      <c r="H157" s="28">
        <f>SUMIFS([1]raw_data!D:D,[1]raw_data!$A:$A,$B157)</f>
        <v>0.15432098765432001</v>
      </c>
      <c r="I157" s="27">
        <f>SUMIFS([1]raw_data!E:E,[1]raw_data!$A:$A,$B157)</f>
        <v>24.787828999999999</v>
      </c>
      <c r="J157" s="28">
        <f>SUMIFS([1]raw_data!F:F,[1]raw_data!$A:$A,$B157)</f>
        <v>0.15432098765432001</v>
      </c>
      <c r="K157" s="27">
        <f>SUMIFS([1]raw_data!G:G,[1]raw_data!$A:$A,$B157)</f>
        <v>10.878171</v>
      </c>
      <c r="L157" s="28">
        <f>SUMIFS([1]raw_data!H:H,[1]raw_data!$A:$A,$B157)</f>
        <v>9.0909090909090898E-2</v>
      </c>
      <c r="M157" s="27">
        <f>SUMIFS([1]raw_data!I:I,[1]raw_data!$A:$A,$B157)</f>
        <v>10.878171</v>
      </c>
      <c r="N157" s="28">
        <f>SUMIFS([1]raw_data!J:J,[1]raw_data!$A:$A,$B157)</f>
        <v>9.0909090909090898E-2</v>
      </c>
      <c r="O157" s="27">
        <f>SUMIFS([1]raw_data!K:K,[1]raw_data!$A:$A,$B157)</f>
        <v>65.807647000000003</v>
      </c>
      <c r="P157" s="28">
        <f>SUMIFS([1]raw_data!L:L,[1]raw_data!$A:$A,$B157)</f>
        <v>0.25</v>
      </c>
      <c r="Q157" s="27">
        <f>SUMIFS([1]raw_data!M:M,[1]raw_data!$A:$A,$B157)</f>
        <v>65.807647000000003</v>
      </c>
      <c r="R157" s="28">
        <f>SUMIFS([1]raw_data!N:N,[1]raw_data!$A:$A,$B157)</f>
        <v>0.25</v>
      </c>
      <c r="S157" s="27">
        <f>SUMIFS([1]raw_data!O:O,[1]raw_data!$A:$A,$B157)</f>
        <v>110.972025</v>
      </c>
      <c r="T157" s="28">
        <f>SUMIFS([1]raw_data!P:P,[1]raw_data!$A:$A,$B157)</f>
        <v>0.53054662379421202</v>
      </c>
      <c r="U157" s="27">
        <f>SUMIFS([1]raw_data!Q:Q,[1]raw_data!$A:$A,$B157)</f>
        <v>105.98124300000001</v>
      </c>
      <c r="V157" s="28">
        <f>SUMIFS([1]raw_data!R:R,[1]raw_data!$A:$A,$B157)</f>
        <v>0.52733118971060999</v>
      </c>
      <c r="W157" s="27">
        <f>SUMIFS([1]raw_data!S:S,[1]raw_data!$A:$A,$B157)</f>
        <v>218.07530600000001</v>
      </c>
      <c r="X157" s="28">
        <f>SUMIFS([1]raw_data!T:T,[1]raw_data!$A:$A,$B157)</f>
        <v>0.85284280936454804</v>
      </c>
      <c r="Y157" s="27">
        <f>SUMIFS([1]raw_data!U:U,[1]raw_data!$A:$A,$B157)</f>
        <v>217.24370099999999</v>
      </c>
      <c r="Z157" s="28">
        <f>SUMIFS([1]raw_data!V:V,[1]raw_data!$A:$A,$B157)</f>
        <v>0.84949832775919698</v>
      </c>
      <c r="AA157">
        <f t="shared" si="2"/>
        <v>86.104195599999997</v>
      </c>
    </row>
    <row r="158" spans="1:27" x14ac:dyDescent="0.25">
      <c r="A158" s="40"/>
      <c r="B158" s="25" t="s">
        <v>429</v>
      </c>
      <c r="C158" s="25" t="s">
        <v>430</v>
      </c>
      <c r="D158" s="25" t="s">
        <v>431</v>
      </c>
      <c r="E158" s="25" t="s">
        <v>27</v>
      </c>
      <c r="F158" s="26">
        <f>IFERROR(INDEX([1]raw_data!B:B,MATCH(B158,[1]raw_data!A:A,0)),0)</f>
        <v>616.33333300000004</v>
      </c>
      <c r="G158" s="27">
        <f>SUMIFS([1]raw_data!C:C,[1]raw_data!$A:$A,$B158)</f>
        <v>82.950125</v>
      </c>
      <c r="H158" s="28">
        <f>SUMIFS([1]raw_data!D:D,[1]raw_data!$A:$A,$B158)</f>
        <v>0.14309484193011601</v>
      </c>
      <c r="I158" s="27">
        <f>SUMIFS([1]raw_data!E:E,[1]raw_data!$A:$A,$B158)</f>
        <v>35.072220000000002</v>
      </c>
      <c r="J158" s="28">
        <f>SUMIFS([1]raw_data!F:F,[1]raw_data!$A:$A,$B158)</f>
        <v>0.114808652246256</v>
      </c>
      <c r="K158" s="27">
        <f>SUMIFS([1]raw_data!G:G,[1]raw_data!$A:$A,$B158)</f>
        <v>110.404456</v>
      </c>
      <c r="L158" s="28">
        <f>SUMIFS([1]raw_data!H:H,[1]raw_data!$A:$A,$B158)</f>
        <v>0.40199335548172699</v>
      </c>
      <c r="M158" s="27">
        <f>SUMIFS([1]raw_data!I:I,[1]raw_data!$A:$A,$B158)</f>
        <v>7.8420189999999996</v>
      </c>
      <c r="N158" s="28">
        <f>SUMIFS([1]raw_data!J:J,[1]raw_data!$A:$A,$B158)</f>
        <v>6.8106312292358806E-2</v>
      </c>
      <c r="O158" s="27">
        <f>SUMIFS([1]raw_data!K:K,[1]raw_data!$A:$A,$B158)</f>
        <v>105.857848</v>
      </c>
      <c r="P158" s="28">
        <f>SUMIFS([1]raw_data!L:L,[1]raw_data!$A:$A,$B158)</f>
        <v>0.52412645590682105</v>
      </c>
      <c r="Q158" s="27">
        <f>SUMIFS([1]raw_data!M:M,[1]raw_data!$A:$A,$B158)</f>
        <v>105.857848</v>
      </c>
      <c r="R158" s="28">
        <f>SUMIFS([1]raw_data!N:N,[1]raw_data!$A:$A,$B158)</f>
        <v>0.52412645590682105</v>
      </c>
      <c r="S158" s="27">
        <f>SUMIFS([1]raw_data!O:O,[1]raw_data!$A:$A,$B158)</f>
        <v>9.2372700000000005</v>
      </c>
      <c r="T158" s="28">
        <f>SUMIFS([1]raw_data!P:P,[1]raw_data!$A:$A,$B158)</f>
        <v>5.9900166389351001E-2</v>
      </c>
      <c r="U158" s="27">
        <f>SUMIFS([1]raw_data!Q:Q,[1]raw_data!$A:$A,$B158)</f>
        <v>4.1282019999999999</v>
      </c>
      <c r="V158" s="28">
        <f>SUMIFS([1]raw_data!R:R,[1]raw_data!$A:$A,$B158)</f>
        <v>4.8252911813643898E-2</v>
      </c>
      <c r="W158" s="27">
        <f>SUMIFS([1]raw_data!S:S,[1]raw_data!$A:$A,$B158)</f>
        <v>37.237394000000002</v>
      </c>
      <c r="X158" s="28">
        <f>SUMIFS([1]raw_data!T:T,[1]raw_data!$A:$A,$B158)</f>
        <v>0.136023916292974</v>
      </c>
      <c r="Y158" s="27">
        <f>SUMIFS([1]raw_data!U:U,[1]raw_data!$A:$A,$B158)</f>
        <v>28.879695999999999</v>
      </c>
      <c r="Z158" s="28">
        <f>SUMIFS([1]raw_data!V:V,[1]raw_data!$A:$A,$B158)</f>
        <v>0.13153961136023901</v>
      </c>
      <c r="AA158">
        <f t="shared" si="2"/>
        <v>69.137418600000004</v>
      </c>
    </row>
    <row r="159" spans="1:27" x14ac:dyDescent="0.25">
      <c r="A159" s="40"/>
      <c r="B159" s="25" t="s">
        <v>434</v>
      </c>
      <c r="C159" s="25" t="s">
        <v>254</v>
      </c>
      <c r="D159" s="25" t="s">
        <v>283</v>
      </c>
      <c r="E159" s="25" t="s">
        <v>27</v>
      </c>
      <c r="F159" s="26">
        <f>IFERROR(INDEX([1]raw_data!B:B,MATCH(B159,[1]raw_data!A:A,0)),0)</f>
        <v>1426.4</v>
      </c>
      <c r="G159" s="27">
        <f>SUMIFS([1]raw_data!C:C,[1]raw_data!$A:$A,$B159)</f>
        <v>97.906459999999996</v>
      </c>
      <c r="H159" s="28">
        <f>SUMIFS([1]raw_data!D:D,[1]raw_data!$A:$A,$B159)</f>
        <v>0.42557651991614198</v>
      </c>
      <c r="I159" s="27">
        <f>SUMIFS([1]raw_data!E:E,[1]raw_data!$A:$A,$B159)</f>
        <v>31.275193999999999</v>
      </c>
      <c r="J159" s="28">
        <f>SUMIFS([1]raw_data!F:F,[1]raw_data!$A:$A,$B159)</f>
        <v>0.38225017470300399</v>
      </c>
      <c r="K159" s="27">
        <f>SUMIFS([1]raw_data!G:G,[1]raw_data!$A:$A,$B159)</f>
        <v>54.801772999999997</v>
      </c>
      <c r="L159" s="28">
        <f>SUMIFS([1]raw_data!H:H,[1]raw_data!$A:$A,$B159)</f>
        <v>0.441958041958041</v>
      </c>
      <c r="M159" s="27">
        <f>SUMIFS([1]raw_data!I:I,[1]raw_data!$A:$A,$B159)</f>
        <v>53.595536000000003</v>
      </c>
      <c r="N159" s="28">
        <f>SUMIFS([1]raw_data!J:J,[1]raw_data!$A:$A,$B159)</f>
        <v>0.439860139860139</v>
      </c>
      <c r="O159" s="27">
        <f>SUMIFS([1]raw_data!K:K,[1]raw_data!$A:$A,$B159)</f>
        <v>18.763276000000001</v>
      </c>
      <c r="P159" s="28">
        <f>SUMIFS([1]raw_data!L:L,[1]raw_data!$A:$A,$B159)</f>
        <v>6.4290705800139694E-2</v>
      </c>
      <c r="Q159" s="27">
        <f>SUMIFS([1]raw_data!M:M,[1]raw_data!$A:$A,$B159)</f>
        <v>2.5597129999999999</v>
      </c>
      <c r="R159" s="28">
        <f>SUMIFS([1]raw_data!N:N,[1]raw_data!$A:$A,$B159)</f>
        <v>2.3060796645702299E-2</v>
      </c>
      <c r="S159" s="27">
        <f>SUMIFS([1]raw_data!O:O,[1]raw_data!$A:$A,$B159)</f>
        <v>34.704234999999997</v>
      </c>
      <c r="T159" s="28">
        <f>SUMIFS([1]raw_data!P:P,[1]raw_data!$A:$A,$B159)</f>
        <v>3.3519553072625601E-2</v>
      </c>
      <c r="U159" s="27">
        <f>SUMIFS([1]raw_data!Q:Q,[1]raw_data!$A:$A,$B159)</f>
        <v>0.75460799999999995</v>
      </c>
      <c r="V159" s="28">
        <f>SUMIFS([1]raw_data!R:R,[1]raw_data!$A:$A,$B159)</f>
        <v>1.2569832402234599E-2</v>
      </c>
      <c r="W159" s="27">
        <f>SUMIFS([1]raw_data!S:S,[1]raw_data!$A:$A,$B159)</f>
        <v>126.03992599999999</v>
      </c>
      <c r="X159" s="28">
        <f>SUMIFS([1]raw_data!T:T,[1]raw_data!$A:$A,$B159)</f>
        <v>0.12571022727272699</v>
      </c>
      <c r="Y159" s="27">
        <f>SUMIFS([1]raw_data!U:U,[1]raw_data!$A:$A,$B159)</f>
        <v>76.986954999999995</v>
      </c>
      <c r="Z159" s="28">
        <f>SUMIFS([1]raw_data!V:V,[1]raw_data!$A:$A,$B159)</f>
        <v>0.11221590909090901</v>
      </c>
      <c r="AA159">
        <f t="shared" si="2"/>
        <v>66.443134000000001</v>
      </c>
    </row>
    <row r="160" spans="1:27" x14ac:dyDescent="0.25">
      <c r="A160" s="40"/>
      <c r="B160" s="25" t="s">
        <v>390</v>
      </c>
      <c r="C160" s="25" t="s">
        <v>214</v>
      </c>
      <c r="D160" s="25" t="s">
        <v>391</v>
      </c>
      <c r="E160" s="25" t="s">
        <v>23</v>
      </c>
      <c r="F160" s="26">
        <f>IFERROR(INDEX([1]raw_data!B:B,MATCH(B160,[1]raw_data!A:A,0)),0)</f>
        <v>136</v>
      </c>
      <c r="G160" s="27">
        <f>SUMIFS([1]raw_data!C:C,[1]raw_data!$A:$A,$B160)</f>
        <v>21.548161</v>
      </c>
      <c r="H160" s="28">
        <f>SUMIFS([1]raw_data!D:D,[1]raw_data!$A:$A,$B160)</f>
        <v>0.16582914572864299</v>
      </c>
      <c r="I160" s="27">
        <f>SUMIFS([1]raw_data!E:E,[1]raw_data!$A:$A,$B160)</f>
        <v>21.548161</v>
      </c>
      <c r="J160" s="28">
        <f>SUMIFS([1]raw_data!F:F,[1]raw_data!$A:$A,$B160)</f>
        <v>0.16582914572864299</v>
      </c>
      <c r="K160" s="27">
        <f>SUMIFS([1]raw_data!G:G,[1]raw_data!$A:$A,$B160)</f>
        <v>0</v>
      </c>
      <c r="L160" s="28">
        <f>SUMIFS([1]raw_data!H:H,[1]raw_data!$A:$A,$B160)</f>
        <v>0</v>
      </c>
      <c r="M160" s="27">
        <f>SUMIFS([1]raw_data!I:I,[1]raw_data!$A:$A,$B160)</f>
        <v>0</v>
      </c>
      <c r="N160" s="28">
        <f>SUMIFS([1]raw_data!J:J,[1]raw_data!$A:$A,$B160)</f>
        <v>0</v>
      </c>
      <c r="O160" s="27">
        <f>SUMIFS([1]raw_data!K:K,[1]raw_data!$A:$A,$B160)</f>
        <v>0</v>
      </c>
      <c r="P160" s="28">
        <f>SUMIFS([1]raw_data!L:L,[1]raw_data!$A:$A,$B160)</f>
        <v>0</v>
      </c>
      <c r="Q160" s="27">
        <f>SUMIFS([1]raw_data!M:M,[1]raw_data!$A:$A,$B160)</f>
        <v>0</v>
      </c>
      <c r="R160" s="28">
        <f>SUMIFS([1]raw_data!N:N,[1]raw_data!$A:$A,$B160)</f>
        <v>0</v>
      </c>
      <c r="S160" s="27">
        <f>SUMIFS([1]raw_data!O:O,[1]raw_data!$A:$A,$B160)</f>
        <v>0</v>
      </c>
      <c r="T160" s="28">
        <f>SUMIFS([1]raw_data!P:P,[1]raw_data!$A:$A,$B160)</f>
        <v>0</v>
      </c>
      <c r="U160" s="27">
        <f>SUMIFS([1]raw_data!Q:Q,[1]raw_data!$A:$A,$B160)</f>
        <v>0</v>
      </c>
      <c r="V160" s="28">
        <f>SUMIFS([1]raw_data!R:R,[1]raw_data!$A:$A,$B160)</f>
        <v>0</v>
      </c>
      <c r="W160" s="27">
        <f>SUMIFS([1]raw_data!S:S,[1]raw_data!$A:$A,$B160)</f>
        <v>298.35981700000002</v>
      </c>
      <c r="X160" s="28">
        <f>SUMIFS([1]raw_data!T:T,[1]raw_data!$A:$A,$B160)</f>
        <v>0.87671232876712302</v>
      </c>
      <c r="Y160" s="27">
        <f>SUMIFS([1]raw_data!U:U,[1]raw_data!$A:$A,$B160)</f>
        <v>298.35981700000002</v>
      </c>
      <c r="Z160" s="28">
        <f>SUMIFS([1]raw_data!V:V,[1]raw_data!$A:$A,$B160)</f>
        <v>0.87671232876712302</v>
      </c>
      <c r="AA160">
        <f t="shared" si="2"/>
        <v>63.981595600000006</v>
      </c>
    </row>
    <row r="161" spans="1:27" x14ac:dyDescent="0.25">
      <c r="A161" s="40"/>
      <c r="B161" s="25" t="s">
        <v>399</v>
      </c>
      <c r="C161" s="25" t="s">
        <v>200</v>
      </c>
      <c r="D161" s="25" t="s">
        <v>400</v>
      </c>
      <c r="E161" s="25" t="s">
        <v>15</v>
      </c>
      <c r="F161" s="26">
        <f>IFERROR(INDEX([1]raw_data!B:B,MATCH(B161,[1]raw_data!A:A,0)),0)</f>
        <v>48.25</v>
      </c>
      <c r="G161" s="27">
        <f>SUMIFS([1]raw_data!C:C,[1]raw_data!$A:$A,$B161)</f>
        <v>0</v>
      </c>
      <c r="H161" s="28">
        <f>SUMIFS([1]raw_data!D:D,[1]raw_data!$A:$A,$B161)</f>
        <v>0</v>
      </c>
      <c r="I161" s="27">
        <f>SUMIFS([1]raw_data!E:E,[1]raw_data!$A:$A,$B161)</f>
        <v>0</v>
      </c>
      <c r="J161" s="28">
        <f>SUMIFS([1]raw_data!F:F,[1]raw_data!$A:$A,$B161)</f>
        <v>0</v>
      </c>
      <c r="K161" s="27">
        <f>SUMIFS([1]raw_data!G:G,[1]raw_data!$A:$A,$B161)</f>
        <v>53.860880000000002</v>
      </c>
      <c r="L161" s="28">
        <f>SUMIFS([1]raw_data!H:H,[1]raw_data!$A:$A,$B161)</f>
        <v>0.19148936170212699</v>
      </c>
      <c r="M161" s="27">
        <f>SUMIFS([1]raw_data!I:I,[1]raw_data!$A:$A,$B161)</f>
        <v>0</v>
      </c>
      <c r="N161" s="28">
        <f>SUMIFS([1]raw_data!J:J,[1]raw_data!$A:$A,$B161)</f>
        <v>0</v>
      </c>
      <c r="O161" s="27">
        <f>SUMIFS([1]raw_data!K:K,[1]raw_data!$A:$A,$B161)</f>
        <v>52.584443999999998</v>
      </c>
      <c r="P161" s="28">
        <f>SUMIFS([1]raw_data!L:L,[1]raw_data!$A:$A,$B161)</f>
        <v>0.97777777777777697</v>
      </c>
      <c r="Q161" s="27">
        <f>SUMIFS([1]raw_data!M:M,[1]raw_data!$A:$A,$B161)</f>
        <v>52.584443999999998</v>
      </c>
      <c r="R161" s="28">
        <f>SUMIFS([1]raw_data!N:N,[1]raw_data!$A:$A,$B161)</f>
        <v>0.97777777777777697</v>
      </c>
      <c r="S161" s="27">
        <f>SUMIFS([1]raw_data!O:O,[1]raw_data!$A:$A,$B161)</f>
        <v>209.23742100000001</v>
      </c>
      <c r="T161" s="28">
        <f>SUMIFS([1]raw_data!P:P,[1]raw_data!$A:$A,$B161)</f>
        <v>1.5471698113207499</v>
      </c>
      <c r="U161" s="27">
        <f>SUMIFS([1]raw_data!Q:Q,[1]raw_data!$A:$A,$B161)</f>
        <v>209.23742100000001</v>
      </c>
      <c r="V161" s="28">
        <f>SUMIFS([1]raw_data!R:R,[1]raw_data!$A:$A,$B161)</f>
        <v>1.5471698113207499</v>
      </c>
      <c r="W161" s="27">
        <f>SUMIFS([1]raw_data!S:S,[1]raw_data!$A:$A,$B161)</f>
        <v>1.2451380000000001</v>
      </c>
      <c r="X161" s="28">
        <f>SUMIFS([1]raw_data!T:T,[1]raw_data!$A:$A,$B161)</f>
        <v>2.0833333333333301E-2</v>
      </c>
      <c r="Y161" s="27">
        <f>SUMIFS([1]raw_data!U:U,[1]raw_data!$A:$A,$B161)</f>
        <v>1.2451380000000001</v>
      </c>
      <c r="Z161" s="28">
        <f>SUMIFS([1]raw_data!V:V,[1]raw_data!$A:$A,$B161)</f>
        <v>2.0833333333333301E-2</v>
      </c>
      <c r="AA161">
        <f t="shared" si="2"/>
        <v>63.3855766</v>
      </c>
    </row>
    <row r="162" spans="1:27" x14ac:dyDescent="0.25">
      <c r="A162" s="40"/>
      <c r="B162" s="25" t="s">
        <v>397</v>
      </c>
      <c r="C162" s="25" t="s">
        <v>214</v>
      </c>
      <c r="D162" s="25" t="s">
        <v>398</v>
      </c>
      <c r="E162" s="25" t="s">
        <v>23</v>
      </c>
      <c r="F162" s="26">
        <f>IFERROR(INDEX([1]raw_data!B:B,MATCH(B162,[1]raw_data!A:A,0)),0)</f>
        <v>174.66666599999999</v>
      </c>
      <c r="G162" s="27">
        <f>SUMIFS([1]raw_data!C:C,[1]raw_data!$A:$A,$B162)</f>
        <v>0</v>
      </c>
      <c r="H162" s="28">
        <f>SUMIFS([1]raw_data!D:D,[1]raw_data!$A:$A,$B162)</f>
        <v>0</v>
      </c>
      <c r="I162" s="27">
        <f>SUMIFS([1]raw_data!E:E,[1]raw_data!$A:$A,$B162)</f>
        <v>0</v>
      </c>
      <c r="J162" s="28">
        <f>SUMIFS([1]raw_data!F:F,[1]raw_data!$A:$A,$B162)</f>
        <v>0</v>
      </c>
      <c r="K162" s="27">
        <f>SUMIFS([1]raw_data!G:G,[1]raw_data!$A:$A,$B162)</f>
        <v>0</v>
      </c>
      <c r="L162" s="28">
        <f>SUMIFS([1]raw_data!H:H,[1]raw_data!$A:$A,$B162)</f>
        <v>0</v>
      </c>
      <c r="M162" s="27">
        <f>SUMIFS([1]raw_data!I:I,[1]raw_data!$A:$A,$B162)</f>
        <v>0</v>
      </c>
      <c r="N162" s="28">
        <f>SUMIFS([1]raw_data!J:J,[1]raw_data!$A:$A,$B162)</f>
        <v>0</v>
      </c>
      <c r="O162" s="27">
        <f>SUMIFS([1]raw_data!K:K,[1]raw_data!$A:$A,$B162)</f>
        <v>129.01828900000001</v>
      </c>
      <c r="P162" s="28">
        <f>SUMIFS([1]raw_data!L:L,[1]raw_data!$A:$A,$B162)</f>
        <v>1.01769911504424</v>
      </c>
      <c r="Q162" s="27">
        <f>SUMIFS([1]raw_data!M:M,[1]raw_data!$A:$A,$B162)</f>
        <v>129.01828900000001</v>
      </c>
      <c r="R162" s="28">
        <f>SUMIFS([1]raw_data!N:N,[1]raw_data!$A:$A,$B162)</f>
        <v>1.01769911504424</v>
      </c>
      <c r="S162" s="27">
        <f>SUMIFS([1]raw_data!O:O,[1]raw_data!$A:$A,$B162)</f>
        <v>102.919062</v>
      </c>
      <c r="T162" s="28">
        <f>SUMIFS([1]raw_data!P:P,[1]raw_data!$A:$A,$B162)</f>
        <v>1.125</v>
      </c>
      <c r="U162" s="27">
        <f>SUMIFS([1]raw_data!Q:Q,[1]raw_data!$A:$A,$B162)</f>
        <v>102.919062</v>
      </c>
      <c r="V162" s="28">
        <f>SUMIFS([1]raw_data!R:R,[1]raw_data!$A:$A,$B162)</f>
        <v>1.125</v>
      </c>
      <c r="W162" s="27">
        <f>SUMIFS([1]raw_data!S:S,[1]raw_data!$A:$A,$B162)</f>
        <v>52.696013999999998</v>
      </c>
      <c r="X162" s="28">
        <f>SUMIFS([1]raw_data!T:T,[1]raw_data!$A:$A,$B162)</f>
        <v>0.25362318840579701</v>
      </c>
      <c r="Y162" s="27">
        <f>SUMIFS([1]raw_data!U:U,[1]raw_data!$A:$A,$B162)</f>
        <v>52.696013999999998</v>
      </c>
      <c r="Z162" s="28">
        <f>SUMIFS([1]raw_data!V:V,[1]raw_data!$A:$A,$B162)</f>
        <v>0.25362318840579701</v>
      </c>
      <c r="AA162">
        <f t="shared" si="2"/>
        <v>56.926673000000008</v>
      </c>
    </row>
    <row r="163" spans="1:27" x14ac:dyDescent="0.25">
      <c r="A163" s="40"/>
      <c r="B163" s="25" t="s">
        <v>414</v>
      </c>
      <c r="C163" s="25" t="s">
        <v>277</v>
      </c>
      <c r="D163" s="25" t="s">
        <v>415</v>
      </c>
      <c r="E163" s="25" t="s">
        <v>19</v>
      </c>
      <c r="F163" s="26">
        <f>IFERROR(INDEX([1]raw_data!B:B,MATCH(B163,[1]raw_data!A:A,0)),0)</f>
        <v>2047.444444</v>
      </c>
      <c r="G163" s="27">
        <f>SUMIFS([1]raw_data!C:C,[1]raw_data!$A:$A,$B163)</f>
        <v>4.9020809999999999</v>
      </c>
      <c r="H163" s="28">
        <f>SUMIFS([1]raw_data!D:D,[1]raw_data!$A:$A,$B163)</f>
        <v>4.0507564665690499E-2</v>
      </c>
      <c r="I163" s="27">
        <f>SUMIFS([1]raw_data!E:E,[1]raw_data!$A:$A,$B163)</f>
        <v>4.9020809999999999</v>
      </c>
      <c r="J163" s="28">
        <f>SUMIFS([1]raw_data!F:F,[1]raw_data!$A:$A,$B163)</f>
        <v>4.0507564665690499E-2</v>
      </c>
      <c r="K163" s="27">
        <f>SUMIFS([1]raw_data!G:G,[1]raw_data!$A:$A,$B163)</f>
        <v>112.6602</v>
      </c>
      <c r="L163" s="28">
        <f>SUMIFS([1]raw_data!H:H,[1]raw_data!$A:$A,$B163)</f>
        <v>0.56481481481481399</v>
      </c>
      <c r="M163" s="27">
        <f>SUMIFS([1]raw_data!I:I,[1]raw_data!$A:$A,$B163)</f>
        <v>67.458219</v>
      </c>
      <c r="N163" s="28">
        <f>SUMIFS([1]raw_data!J:J,[1]raw_data!$A:$A,$B163)</f>
        <v>0.53167641325535997</v>
      </c>
      <c r="O163" s="27">
        <f>SUMIFS([1]raw_data!K:K,[1]raw_data!$A:$A,$B163)</f>
        <v>99.585459</v>
      </c>
      <c r="P163" s="28">
        <f>SUMIFS([1]raw_data!L:L,[1]raw_data!$A:$A,$B163)</f>
        <v>1.46468582562104</v>
      </c>
      <c r="Q163" s="27">
        <f>SUMIFS([1]raw_data!M:M,[1]raw_data!$A:$A,$B163)</f>
        <v>98.793926999999996</v>
      </c>
      <c r="R163" s="28">
        <f>SUMIFS([1]raw_data!N:N,[1]raw_data!$A:$A,$B163)</f>
        <v>1.4641987335606399</v>
      </c>
      <c r="S163" s="27">
        <f>SUMIFS([1]raw_data!O:O,[1]raw_data!$A:$A,$B163)</f>
        <v>9.6821269999999995</v>
      </c>
      <c r="T163" s="28">
        <f>SUMIFS([1]raw_data!P:P,[1]raw_data!$A:$A,$B163)</f>
        <v>8.4555229716520006E-2</v>
      </c>
      <c r="U163" s="27">
        <f>SUMIFS([1]raw_data!Q:Q,[1]raw_data!$A:$A,$B163)</f>
        <v>9.1766529999999999</v>
      </c>
      <c r="V163" s="28">
        <f>SUMIFS([1]raw_data!R:R,[1]raw_data!$A:$A,$B163)</f>
        <v>7.9667644183773201E-2</v>
      </c>
      <c r="W163" s="27">
        <f>SUMIFS([1]raw_data!S:S,[1]raw_data!$A:$A,$B163)</f>
        <v>39.982114000000003</v>
      </c>
      <c r="X163" s="28">
        <f>SUMIFS([1]raw_data!T:T,[1]raw_data!$A:$A,$B163)</f>
        <v>1.0961727183513199</v>
      </c>
      <c r="Y163" s="27">
        <f>SUMIFS([1]raw_data!U:U,[1]raw_data!$A:$A,$B163)</f>
        <v>39.611587999999998</v>
      </c>
      <c r="Z163" s="28">
        <f>SUMIFS([1]raw_data!V:V,[1]raw_data!$A:$A,$B163)</f>
        <v>1.09568204121687</v>
      </c>
      <c r="AA163">
        <f t="shared" si="2"/>
        <v>53.362396199999999</v>
      </c>
    </row>
    <row r="164" spans="1:27" x14ac:dyDescent="0.25">
      <c r="A164" s="40"/>
      <c r="B164" s="25" t="s">
        <v>416</v>
      </c>
      <c r="C164" s="25" t="s">
        <v>404</v>
      </c>
      <c r="D164" s="25" t="s">
        <v>417</v>
      </c>
      <c r="E164" s="25" t="s">
        <v>65</v>
      </c>
      <c r="F164" s="26">
        <f>IFERROR(INDEX([1]raw_data!B:B,MATCH(B164,[1]raw_data!A:A,0)),0)</f>
        <v>64.333332999999996</v>
      </c>
      <c r="G164" s="27">
        <f>SUMIFS([1]raw_data!C:C,[1]raw_data!$A:$A,$B164)</f>
        <v>47.739463999999998</v>
      </c>
      <c r="H164" s="28">
        <f>SUMIFS([1]raw_data!D:D,[1]raw_data!$A:$A,$B164)</f>
        <v>1.47058823529411E-2</v>
      </c>
      <c r="I164" s="27">
        <f>SUMIFS([1]raw_data!E:E,[1]raw_data!$A:$A,$B164)</f>
        <v>0</v>
      </c>
      <c r="J164" s="28">
        <f>SUMIFS([1]raw_data!F:F,[1]raw_data!$A:$A,$B164)</f>
        <v>0</v>
      </c>
      <c r="K164" s="27">
        <f>SUMIFS([1]raw_data!G:G,[1]raw_data!$A:$A,$B164)</f>
        <v>133.92506399999999</v>
      </c>
      <c r="L164" s="28">
        <f>SUMIFS([1]raw_data!H:H,[1]raw_data!$A:$A,$B164)</f>
        <v>0.97058823529411697</v>
      </c>
      <c r="M164" s="27">
        <f>SUMIFS([1]raw_data!I:I,[1]raw_data!$A:$A,$B164)</f>
        <v>133.92506399999999</v>
      </c>
      <c r="N164" s="28">
        <f>SUMIFS([1]raw_data!J:J,[1]raw_data!$A:$A,$B164)</f>
        <v>0.97058823529411697</v>
      </c>
      <c r="O164" s="27">
        <f>SUMIFS([1]raw_data!K:K,[1]raw_data!$A:$A,$B164)</f>
        <v>0</v>
      </c>
      <c r="P164" s="28">
        <f>SUMIFS([1]raw_data!L:L,[1]raw_data!$A:$A,$B164)</f>
        <v>0</v>
      </c>
      <c r="Q164" s="27">
        <f>SUMIFS([1]raw_data!M:M,[1]raw_data!$A:$A,$B164)</f>
        <v>0</v>
      </c>
      <c r="R164" s="28">
        <f>SUMIFS([1]raw_data!N:N,[1]raw_data!$A:$A,$B164)</f>
        <v>0</v>
      </c>
      <c r="S164" s="27">
        <f>SUMIFS([1]raw_data!O:O,[1]raw_data!$A:$A,$B164)</f>
        <v>84.679531999999995</v>
      </c>
      <c r="T164" s="28">
        <f>SUMIFS([1]raw_data!P:P,[1]raw_data!$A:$A,$B164)</f>
        <v>1.9298245614034999</v>
      </c>
      <c r="U164" s="27">
        <f>SUMIFS([1]raw_data!Q:Q,[1]raw_data!$A:$A,$B164)</f>
        <v>84.679531999999995</v>
      </c>
      <c r="V164" s="28">
        <f>SUMIFS([1]raw_data!R:R,[1]raw_data!$A:$A,$B164)</f>
        <v>1.9298245614034999</v>
      </c>
      <c r="W164" s="27">
        <f>SUMIFS([1]raw_data!S:S,[1]raw_data!$A:$A,$B164)</f>
        <v>0</v>
      </c>
      <c r="X164" s="28">
        <f>SUMIFS([1]raw_data!T:T,[1]raw_data!$A:$A,$B164)</f>
        <v>0</v>
      </c>
      <c r="Y164" s="27">
        <f>SUMIFS([1]raw_data!U:U,[1]raw_data!$A:$A,$B164)</f>
        <v>0</v>
      </c>
      <c r="Z164" s="28">
        <f>SUMIFS([1]raw_data!V:V,[1]raw_data!$A:$A,$B164)</f>
        <v>0</v>
      </c>
      <c r="AA164">
        <f t="shared" si="2"/>
        <v>53.268812000000004</v>
      </c>
    </row>
    <row r="165" spans="1:27" x14ac:dyDescent="0.25">
      <c r="A165" s="40"/>
      <c r="B165" s="25" t="s">
        <v>410</v>
      </c>
      <c r="C165" s="25" t="s">
        <v>214</v>
      </c>
      <c r="D165" s="25" t="s">
        <v>411</v>
      </c>
      <c r="E165" s="25" t="s">
        <v>23</v>
      </c>
      <c r="F165" s="26">
        <f>IFERROR(INDEX([1]raw_data!B:B,MATCH(B165,[1]raw_data!A:A,0)),0)</f>
        <v>132.66666599999999</v>
      </c>
      <c r="G165" s="27">
        <f>SUMIFS([1]raw_data!C:C,[1]raw_data!$A:$A,$B165)</f>
        <v>0</v>
      </c>
      <c r="H165" s="28">
        <f>SUMIFS([1]raw_data!D:D,[1]raw_data!$A:$A,$B165)</f>
        <v>0</v>
      </c>
      <c r="I165" s="27">
        <f>SUMIFS([1]raw_data!E:E,[1]raw_data!$A:$A,$B165)</f>
        <v>0</v>
      </c>
      <c r="J165" s="28">
        <f>SUMIFS([1]raw_data!F:F,[1]raw_data!$A:$A,$B165)</f>
        <v>0</v>
      </c>
      <c r="K165" s="27">
        <f>SUMIFS([1]raw_data!G:G,[1]raw_data!$A:$A,$B165)</f>
        <v>0</v>
      </c>
      <c r="L165" s="28">
        <f>SUMIFS([1]raw_data!H:H,[1]raw_data!$A:$A,$B165)</f>
        <v>0</v>
      </c>
      <c r="M165" s="27">
        <f>SUMIFS([1]raw_data!I:I,[1]raw_data!$A:$A,$B165)</f>
        <v>0</v>
      </c>
      <c r="N165" s="28">
        <f>SUMIFS([1]raw_data!J:J,[1]raw_data!$A:$A,$B165)</f>
        <v>0</v>
      </c>
      <c r="O165" s="27">
        <f>SUMIFS([1]raw_data!K:K,[1]raw_data!$A:$A,$B165)</f>
        <v>0</v>
      </c>
      <c r="P165" s="28">
        <f>SUMIFS([1]raw_data!L:L,[1]raw_data!$A:$A,$B165)</f>
        <v>0</v>
      </c>
      <c r="Q165" s="27">
        <f>SUMIFS([1]raw_data!M:M,[1]raw_data!$A:$A,$B165)</f>
        <v>0</v>
      </c>
      <c r="R165" s="28">
        <f>SUMIFS([1]raw_data!N:N,[1]raw_data!$A:$A,$B165)</f>
        <v>0</v>
      </c>
      <c r="S165" s="27">
        <f>SUMIFS([1]raw_data!O:O,[1]raw_data!$A:$A,$B165)</f>
        <v>47.838003999999998</v>
      </c>
      <c r="T165" s="28">
        <f>SUMIFS([1]raw_data!P:P,[1]raw_data!$A:$A,$B165)</f>
        <v>6.8181818181818094E-2</v>
      </c>
      <c r="U165" s="27">
        <f>SUMIFS([1]raw_data!Q:Q,[1]raw_data!$A:$A,$B165)</f>
        <v>43.054544999999997</v>
      </c>
      <c r="V165" s="28">
        <f>SUMIFS([1]raw_data!R:R,[1]raw_data!$A:$A,$B165)</f>
        <v>6.0606060606060601E-2</v>
      </c>
      <c r="W165" s="27">
        <f>SUMIFS([1]raw_data!S:S,[1]raw_data!$A:$A,$B165)</f>
        <v>186.31504899999999</v>
      </c>
      <c r="X165" s="28">
        <f>SUMIFS([1]raw_data!T:T,[1]raw_data!$A:$A,$B165)</f>
        <v>1.0597014925373101</v>
      </c>
      <c r="Y165" s="27">
        <f>SUMIFS([1]raw_data!U:U,[1]raw_data!$A:$A,$B165)</f>
        <v>186.31504899999999</v>
      </c>
      <c r="Z165" s="28">
        <f>SUMIFS([1]raw_data!V:V,[1]raw_data!$A:$A,$B165)</f>
        <v>1.0597014925373101</v>
      </c>
      <c r="AA165">
        <f t="shared" si="2"/>
        <v>46.8306106</v>
      </c>
    </row>
    <row r="166" spans="1:27" x14ac:dyDescent="0.25">
      <c r="A166" s="40"/>
      <c r="B166" s="25" t="s">
        <v>408</v>
      </c>
      <c r="C166" s="25" t="s">
        <v>46</v>
      </c>
      <c r="D166" s="25" t="s">
        <v>409</v>
      </c>
      <c r="E166" s="25" t="s">
        <v>19</v>
      </c>
      <c r="F166" s="26">
        <f>IFERROR(INDEX([1]raw_data!B:B,MATCH(B166,[1]raw_data!A:A,0)),0)</f>
        <v>170</v>
      </c>
      <c r="G166" s="27">
        <f>SUMIFS([1]raw_data!C:C,[1]raw_data!$A:$A,$B166)</f>
        <v>0</v>
      </c>
      <c r="H166" s="28">
        <f>SUMIFS([1]raw_data!D:D,[1]raw_data!$A:$A,$B166)</f>
        <v>0</v>
      </c>
      <c r="I166" s="27">
        <f>SUMIFS([1]raw_data!E:E,[1]raw_data!$A:$A,$B166)</f>
        <v>0</v>
      </c>
      <c r="J166" s="28">
        <f>SUMIFS([1]raw_data!F:F,[1]raw_data!$A:$A,$B166)</f>
        <v>0</v>
      </c>
      <c r="K166" s="27">
        <f>SUMIFS([1]raw_data!G:G,[1]raw_data!$A:$A,$B166)</f>
        <v>0</v>
      </c>
      <c r="L166" s="28">
        <f>SUMIFS([1]raw_data!H:H,[1]raw_data!$A:$A,$B166)</f>
        <v>0</v>
      </c>
      <c r="M166" s="27">
        <f>SUMIFS([1]raw_data!I:I,[1]raw_data!$A:$A,$B166)</f>
        <v>0</v>
      </c>
      <c r="N166" s="28">
        <f>SUMIFS([1]raw_data!J:J,[1]raw_data!$A:$A,$B166)</f>
        <v>0</v>
      </c>
      <c r="O166" s="27">
        <f>SUMIFS([1]raw_data!K:K,[1]raw_data!$A:$A,$B166)</f>
        <v>232.14107799999999</v>
      </c>
      <c r="P166" s="28">
        <f>SUMIFS([1]raw_data!L:L,[1]raw_data!$A:$A,$B166)</f>
        <v>1.21176470588235</v>
      </c>
      <c r="Q166" s="27">
        <f>SUMIFS([1]raw_data!M:M,[1]raw_data!$A:$A,$B166)</f>
        <v>232.14107799999999</v>
      </c>
      <c r="R166" s="28">
        <f>SUMIFS([1]raw_data!N:N,[1]raw_data!$A:$A,$B166)</f>
        <v>1.21176470588235</v>
      </c>
      <c r="S166" s="27">
        <f>SUMIFS([1]raw_data!O:O,[1]raw_data!$A:$A,$B166)</f>
        <v>0</v>
      </c>
      <c r="T166" s="28">
        <f>SUMIFS([1]raw_data!P:P,[1]raw_data!$A:$A,$B166)</f>
        <v>0</v>
      </c>
      <c r="U166" s="27">
        <f>SUMIFS([1]raw_data!Q:Q,[1]raw_data!$A:$A,$B166)</f>
        <v>0</v>
      </c>
      <c r="V166" s="28">
        <f>SUMIFS([1]raw_data!R:R,[1]raw_data!$A:$A,$B166)</f>
        <v>0</v>
      </c>
      <c r="W166" s="27">
        <f>SUMIFS([1]raw_data!S:S,[1]raw_data!$A:$A,$B166)</f>
        <v>0</v>
      </c>
      <c r="X166" s="28">
        <f>SUMIFS([1]raw_data!T:T,[1]raw_data!$A:$A,$B166)</f>
        <v>0</v>
      </c>
      <c r="Y166" s="27">
        <f>SUMIFS([1]raw_data!U:U,[1]raw_data!$A:$A,$B166)</f>
        <v>0</v>
      </c>
      <c r="Z166" s="28">
        <f>SUMIFS([1]raw_data!V:V,[1]raw_data!$A:$A,$B166)</f>
        <v>0</v>
      </c>
      <c r="AA166">
        <f t="shared" si="2"/>
        <v>46.428215600000001</v>
      </c>
    </row>
    <row r="167" spans="1:27" x14ac:dyDescent="0.25">
      <c r="A167" s="40"/>
      <c r="B167" s="25" t="s">
        <v>420</v>
      </c>
      <c r="C167" s="25" t="s">
        <v>366</v>
      </c>
      <c r="D167" s="25" t="s">
        <v>421</v>
      </c>
      <c r="E167" s="25" t="s">
        <v>19</v>
      </c>
      <c r="F167" s="26">
        <f>IFERROR(INDEX([1]raw_data!B:B,MATCH(B167,[1]raw_data!A:A,0)),0)</f>
        <v>322.16666600000002</v>
      </c>
      <c r="G167" s="27">
        <f>SUMIFS([1]raw_data!C:C,[1]raw_data!$A:$A,$B167)</f>
        <v>12.802099</v>
      </c>
      <c r="H167" s="28">
        <f>SUMIFS([1]raw_data!D:D,[1]raw_data!$A:$A,$B167)</f>
        <v>0.14705882352941099</v>
      </c>
      <c r="I167" s="27">
        <f>SUMIFS([1]raw_data!E:E,[1]raw_data!$A:$A,$B167)</f>
        <v>12.802099</v>
      </c>
      <c r="J167" s="28">
        <f>SUMIFS([1]raw_data!F:F,[1]raw_data!$A:$A,$B167)</f>
        <v>0.14705882352941099</v>
      </c>
      <c r="K167" s="27">
        <f>SUMIFS([1]raw_data!G:G,[1]raw_data!$A:$A,$B167)</f>
        <v>129.63893300000001</v>
      </c>
      <c r="L167" s="28">
        <f>SUMIFS([1]raw_data!H:H,[1]raw_data!$A:$A,$B167)</f>
        <v>0.91150442477876104</v>
      </c>
      <c r="M167" s="27">
        <f>SUMIFS([1]raw_data!I:I,[1]raw_data!$A:$A,$B167)</f>
        <v>129.63893300000001</v>
      </c>
      <c r="N167" s="28">
        <f>SUMIFS([1]raw_data!J:J,[1]raw_data!$A:$A,$B167)</f>
        <v>0.91150442477876104</v>
      </c>
      <c r="O167" s="27">
        <f>SUMIFS([1]raw_data!K:K,[1]raw_data!$A:$A,$B167)</f>
        <v>61.615825000000001</v>
      </c>
      <c r="P167" s="28">
        <f>SUMIFS([1]raw_data!L:L,[1]raw_data!$A:$A,$B167)</f>
        <v>1.21848739495798</v>
      </c>
      <c r="Q167" s="27">
        <f>SUMIFS([1]raw_data!M:M,[1]raw_data!$A:$A,$B167)</f>
        <v>50.823948999999999</v>
      </c>
      <c r="R167" s="28">
        <f>SUMIFS([1]raw_data!N:N,[1]raw_data!$A:$A,$B167)</f>
        <v>1.2156862745098</v>
      </c>
      <c r="S167" s="27">
        <f>SUMIFS([1]raw_data!O:O,[1]raw_data!$A:$A,$B167)</f>
        <v>0.29169</v>
      </c>
      <c r="T167" s="28">
        <f>SUMIFS([1]raw_data!P:P,[1]raw_data!$A:$A,$B167)</f>
        <v>2.8169014084507E-3</v>
      </c>
      <c r="U167" s="27">
        <f>SUMIFS([1]raw_data!Q:Q,[1]raw_data!$A:$A,$B167)</f>
        <v>0.29169</v>
      </c>
      <c r="V167" s="28">
        <f>SUMIFS([1]raw_data!R:R,[1]raw_data!$A:$A,$B167)</f>
        <v>2.8169014084507E-3</v>
      </c>
      <c r="W167" s="27">
        <f>SUMIFS([1]raw_data!S:S,[1]raw_data!$A:$A,$B167)</f>
        <v>19.078648000000001</v>
      </c>
      <c r="X167" s="28">
        <f>SUMIFS([1]raw_data!T:T,[1]raw_data!$A:$A,$B167)</f>
        <v>0.40540540540540498</v>
      </c>
      <c r="Y167" s="27">
        <f>SUMIFS([1]raw_data!U:U,[1]raw_data!$A:$A,$B167)</f>
        <v>19.078648000000001</v>
      </c>
      <c r="Z167" s="28">
        <f>SUMIFS([1]raw_data!V:V,[1]raw_data!$A:$A,$B167)</f>
        <v>0.40540540540540498</v>
      </c>
      <c r="AA167">
        <f t="shared" si="2"/>
        <v>44.685438999999995</v>
      </c>
    </row>
    <row r="168" spans="1:27" x14ac:dyDescent="0.25">
      <c r="A168" s="40"/>
      <c r="B168" s="25" t="s">
        <v>412</v>
      </c>
      <c r="C168" s="25" t="s">
        <v>179</v>
      </c>
      <c r="D168" s="25" t="s">
        <v>413</v>
      </c>
      <c r="E168" s="25" t="s">
        <v>23</v>
      </c>
      <c r="F168" s="26">
        <f>IFERROR(INDEX([1]raw_data!B:B,MATCH(B168,[1]raw_data!A:A,0)),0)</f>
        <v>54.333333000000003</v>
      </c>
      <c r="G168" s="27">
        <f>SUMIFS([1]raw_data!C:C,[1]raw_data!$A:$A,$B168)</f>
        <v>1.8020240000000001</v>
      </c>
      <c r="H168" s="28">
        <f>SUMIFS([1]raw_data!D:D,[1]raw_data!$A:$A,$B168)</f>
        <v>1.4925373134328301E-2</v>
      </c>
      <c r="I168" s="27">
        <f>SUMIFS([1]raw_data!E:E,[1]raw_data!$A:$A,$B168)</f>
        <v>1.8020240000000001</v>
      </c>
      <c r="J168" s="28">
        <f>SUMIFS([1]raw_data!F:F,[1]raw_data!$A:$A,$B168)</f>
        <v>1.4925373134328301E-2</v>
      </c>
      <c r="K168" s="27">
        <f>SUMIFS([1]raw_data!G:G,[1]raw_data!$A:$A,$B168)</f>
        <v>30.347342000000001</v>
      </c>
      <c r="L168" s="28">
        <f>SUMIFS([1]raw_data!H:H,[1]raw_data!$A:$A,$B168)</f>
        <v>0.15942028985507201</v>
      </c>
      <c r="M168" s="27">
        <f>SUMIFS([1]raw_data!I:I,[1]raw_data!$A:$A,$B168)</f>
        <v>30.347342000000001</v>
      </c>
      <c r="N168" s="28">
        <f>SUMIFS([1]raw_data!J:J,[1]raw_data!$A:$A,$B168)</f>
        <v>0.15942028985507201</v>
      </c>
      <c r="O168" s="27">
        <f>SUMIFS([1]raw_data!K:K,[1]raw_data!$A:$A,$B168)</f>
        <v>0</v>
      </c>
      <c r="P168" s="28">
        <f>SUMIFS([1]raw_data!L:L,[1]raw_data!$A:$A,$B168)</f>
        <v>0</v>
      </c>
      <c r="Q168" s="27">
        <f>SUMIFS([1]raw_data!M:M,[1]raw_data!$A:$A,$B168)</f>
        <v>0</v>
      </c>
      <c r="R168" s="28">
        <f>SUMIFS([1]raw_data!N:N,[1]raw_data!$A:$A,$B168)</f>
        <v>0</v>
      </c>
      <c r="S168" s="27">
        <f>SUMIFS([1]raw_data!O:O,[1]raw_data!$A:$A,$B168)</f>
        <v>0</v>
      </c>
      <c r="T168" s="28">
        <f>SUMIFS([1]raw_data!P:P,[1]raw_data!$A:$A,$B168)</f>
        <v>0</v>
      </c>
      <c r="U168" s="27">
        <f>SUMIFS([1]raw_data!Q:Q,[1]raw_data!$A:$A,$B168)</f>
        <v>0</v>
      </c>
      <c r="V168" s="28">
        <f>SUMIFS([1]raw_data!R:R,[1]raw_data!$A:$A,$B168)</f>
        <v>0</v>
      </c>
      <c r="W168" s="27">
        <f>SUMIFS([1]raw_data!S:S,[1]raw_data!$A:$A,$B168)</f>
        <v>190.981481</v>
      </c>
      <c r="X168" s="28">
        <f>SUMIFS([1]raw_data!T:T,[1]raw_data!$A:$A,$B168)</f>
        <v>0.55555555555555503</v>
      </c>
      <c r="Y168" s="27">
        <f>SUMIFS([1]raw_data!U:U,[1]raw_data!$A:$A,$B168)</f>
        <v>190.981481</v>
      </c>
      <c r="Z168" s="28">
        <f>SUMIFS([1]raw_data!V:V,[1]raw_data!$A:$A,$B168)</f>
        <v>0.55555555555555503</v>
      </c>
      <c r="AA168">
        <f t="shared" si="2"/>
        <v>44.626169400000002</v>
      </c>
    </row>
    <row r="169" spans="1:27" x14ac:dyDescent="0.25">
      <c r="A169" s="40"/>
      <c r="B169" s="25" t="s">
        <v>432</v>
      </c>
      <c r="C169" s="25" t="s">
        <v>259</v>
      </c>
      <c r="D169" s="25" t="s">
        <v>433</v>
      </c>
      <c r="E169" s="25" t="s">
        <v>19</v>
      </c>
      <c r="F169" s="26">
        <f>IFERROR(INDEX([1]raw_data!B:B,MATCH(B169,[1]raw_data!A:A,0)),0)</f>
        <v>467</v>
      </c>
      <c r="G169" s="27">
        <f>SUMIFS([1]raw_data!C:C,[1]raw_data!$A:$A,$B169)</f>
        <v>2.9705870000000001</v>
      </c>
      <c r="H169" s="28">
        <f>SUMIFS([1]raw_data!D:D,[1]raw_data!$A:$A,$B169)</f>
        <v>1.70575692963752E-2</v>
      </c>
      <c r="I169" s="27">
        <f>SUMIFS([1]raw_data!E:E,[1]raw_data!$A:$A,$B169)</f>
        <v>2.9705870000000001</v>
      </c>
      <c r="J169" s="28">
        <f>SUMIFS([1]raw_data!F:F,[1]raw_data!$A:$A,$B169)</f>
        <v>1.70575692963752E-2</v>
      </c>
      <c r="K169" s="27">
        <f>SUMIFS([1]raw_data!G:G,[1]raw_data!$A:$A,$B169)</f>
        <v>37.504210999999998</v>
      </c>
      <c r="L169" s="28">
        <f>SUMIFS([1]raw_data!H:H,[1]raw_data!$A:$A,$B169)</f>
        <v>0.44325481798715199</v>
      </c>
      <c r="M169" s="27">
        <f>SUMIFS([1]raw_data!I:I,[1]raw_data!$A:$A,$B169)</f>
        <v>37.504210999999998</v>
      </c>
      <c r="N169" s="28">
        <f>SUMIFS([1]raw_data!J:J,[1]raw_data!$A:$A,$B169)</f>
        <v>0.44325481798715199</v>
      </c>
      <c r="O169" s="27">
        <f>SUMIFS([1]raw_data!K:K,[1]raw_data!$A:$A,$B169)</f>
        <v>10.554228</v>
      </c>
      <c r="P169" s="28">
        <f>SUMIFS([1]raw_data!L:L,[1]raw_data!$A:$A,$B169)</f>
        <v>0.14498933901918901</v>
      </c>
      <c r="Q169" s="27">
        <f>SUMIFS([1]raw_data!M:M,[1]raw_data!$A:$A,$B169)</f>
        <v>8.4914349999999992</v>
      </c>
      <c r="R169" s="28">
        <f>SUMIFS([1]raw_data!N:N,[1]raw_data!$A:$A,$B169)</f>
        <v>0.14285714285714199</v>
      </c>
      <c r="S169" s="27">
        <f>SUMIFS([1]raw_data!O:O,[1]raw_data!$A:$A,$B169)</f>
        <v>118.400035</v>
      </c>
      <c r="T169" s="28">
        <f>SUMIFS([1]raw_data!P:P,[1]raw_data!$A:$A,$B169)</f>
        <v>0.24093816631129999</v>
      </c>
      <c r="U169" s="27">
        <f>SUMIFS([1]raw_data!Q:Q,[1]raw_data!$A:$A,$B169)</f>
        <v>118.400035</v>
      </c>
      <c r="V169" s="28">
        <f>SUMIFS([1]raw_data!R:R,[1]raw_data!$A:$A,$B169)</f>
        <v>0.24093816631129999</v>
      </c>
      <c r="W169" s="27">
        <f>SUMIFS([1]raw_data!S:S,[1]raw_data!$A:$A,$B169)</f>
        <v>44.081316999999999</v>
      </c>
      <c r="X169" s="28">
        <f>SUMIFS([1]raw_data!T:T,[1]raw_data!$A:$A,$B169)</f>
        <v>0.20950323974082</v>
      </c>
      <c r="Y169" s="27">
        <f>SUMIFS([1]raw_data!U:U,[1]raw_data!$A:$A,$B169)</f>
        <v>11.835457</v>
      </c>
      <c r="Z169" s="28">
        <f>SUMIFS([1]raw_data!V:V,[1]raw_data!$A:$A,$B169)</f>
        <v>0.159827213822894</v>
      </c>
      <c r="AA169">
        <f t="shared" si="2"/>
        <v>42.702075600000001</v>
      </c>
    </row>
    <row r="170" spans="1:27" x14ac:dyDescent="0.25">
      <c r="A170" s="40"/>
      <c r="B170" s="25" t="s">
        <v>425</v>
      </c>
      <c r="C170" s="25" t="s">
        <v>46</v>
      </c>
      <c r="D170" s="25" t="s">
        <v>426</v>
      </c>
      <c r="E170" s="25" t="s">
        <v>19</v>
      </c>
      <c r="F170" s="26">
        <f>IFERROR(INDEX([1]raw_data!B:B,MATCH(B170,[1]raw_data!A:A,0)),0)</f>
        <v>158</v>
      </c>
      <c r="G170" s="27">
        <f>SUMIFS([1]raw_data!C:C,[1]raw_data!$A:$A,$B170)</f>
        <v>0</v>
      </c>
      <c r="H170" s="28">
        <f>SUMIFS([1]raw_data!D:D,[1]raw_data!$A:$A,$B170)</f>
        <v>0</v>
      </c>
      <c r="I170" s="27">
        <f>SUMIFS([1]raw_data!E:E,[1]raw_data!$A:$A,$B170)</f>
        <v>0</v>
      </c>
      <c r="J170" s="28">
        <f>SUMIFS([1]raw_data!F:F,[1]raw_data!$A:$A,$B170)</f>
        <v>0</v>
      </c>
      <c r="K170" s="27">
        <f>SUMIFS([1]raw_data!G:G,[1]raw_data!$A:$A,$B170)</f>
        <v>0</v>
      </c>
      <c r="L170" s="28">
        <f>SUMIFS([1]raw_data!H:H,[1]raw_data!$A:$A,$B170)</f>
        <v>0</v>
      </c>
      <c r="M170" s="27">
        <f>SUMIFS([1]raw_data!I:I,[1]raw_data!$A:$A,$B170)</f>
        <v>0</v>
      </c>
      <c r="N170" s="28">
        <f>SUMIFS([1]raw_data!J:J,[1]raw_data!$A:$A,$B170)</f>
        <v>0</v>
      </c>
      <c r="O170" s="27">
        <f>SUMIFS([1]raw_data!K:K,[1]raw_data!$A:$A,$B170)</f>
        <v>173.09837300000001</v>
      </c>
      <c r="P170" s="28">
        <f>SUMIFS([1]raw_data!L:L,[1]raw_data!$A:$A,$B170)</f>
        <v>0.80487804878048697</v>
      </c>
      <c r="Q170" s="27">
        <f>SUMIFS([1]raw_data!M:M,[1]raw_data!$A:$A,$B170)</f>
        <v>173.09837300000001</v>
      </c>
      <c r="R170" s="28">
        <f>SUMIFS([1]raw_data!N:N,[1]raw_data!$A:$A,$B170)</f>
        <v>0.80487804878048697</v>
      </c>
      <c r="S170" s="27">
        <f>SUMIFS([1]raw_data!O:O,[1]raw_data!$A:$A,$B170)</f>
        <v>0</v>
      </c>
      <c r="T170" s="28">
        <f>SUMIFS([1]raw_data!P:P,[1]raw_data!$A:$A,$B170)</f>
        <v>0</v>
      </c>
      <c r="U170" s="27">
        <f>SUMIFS([1]raw_data!Q:Q,[1]raw_data!$A:$A,$B170)</f>
        <v>0</v>
      </c>
      <c r="V170" s="28">
        <f>SUMIFS([1]raw_data!R:R,[1]raw_data!$A:$A,$B170)</f>
        <v>0</v>
      </c>
      <c r="W170" s="27">
        <f>SUMIFS([1]raw_data!S:S,[1]raw_data!$A:$A,$B170)</f>
        <v>35.109844000000002</v>
      </c>
      <c r="X170" s="28">
        <f>SUMIFS([1]raw_data!T:T,[1]raw_data!$A:$A,$B170)</f>
        <v>8.8082901554404097E-2</v>
      </c>
      <c r="Y170" s="27">
        <f>SUMIFS([1]raw_data!U:U,[1]raw_data!$A:$A,$B170)</f>
        <v>35.109844000000002</v>
      </c>
      <c r="Z170" s="28">
        <f>SUMIFS([1]raw_data!V:V,[1]raw_data!$A:$A,$B170)</f>
        <v>8.8082901554404097E-2</v>
      </c>
      <c r="AA170">
        <f t="shared" si="2"/>
        <v>41.641643400000007</v>
      </c>
    </row>
    <row r="171" spans="1:27" x14ac:dyDescent="0.25">
      <c r="A171" s="40"/>
      <c r="B171" s="25" t="s">
        <v>449</v>
      </c>
      <c r="C171" s="25" t="s">
        <v>115</v>
      </c>
      <c r="D171" s="25" t="s">
        <v>450</v>
      </c>
      <c r="E171" s="25" t="s">
        <v>15</v>
      </c>
      <c r="F171" s="26">
        <f>IFERROR(INDEX([1]raw_data!B:B,MATCH(B171,[1]raw_data!A:A,0)),0)</f>
        <v>166</v>
      </c>
      <c r="G171" s="27">
        <f>SUMIFS([1]raw_data!C:C,[1]raw_data!$A:$A,$B171)</f>
        <v>0</v>
      </c>
      <c r="H171" s="28">
        <f>SUMIFS([1]raw_data!D:D,[1]raw_data!$A:$A,$B171)</f>
        <v>0</v>
      </c>
      <c r="I171" s="27">
        <f>SUMIFS([1]raw_data!E:E,[1]raw_data!$A:$A,$B171)</f>
        <v>0</v>
      </c>
      <c r="J171" s="28">
        <f>SUMIFS([1]raw_data!F:F,[1]raw_data!$A:$A,$B171)</f>
        <v>0</v>
      </c>
      <c r="K171" s="27">
        <f>SUMIFS([1]raw_data!G:G,[1]raw_data!$A:$A,$B171)</f>
        <v>0</v>
      </c>
      <c r="L171" s="28">
        <f>SUMIFS([1]raw_data!H:H,[1]raw_data!$A:$A,$B171)</f>
        <v>0</v>
      </c>
      <c r="M171" s="27">
        <f>SUMIFS([1]raw_data!I:I,[1]raw_data!$A:$A,$B171)</f>
        <v>0</v>
      </c>
      <c r="N171" s="28">
        <f>SUMIFS([1]raw_data!J:J,[1]raw_data!$A:$A,$B171)</f>
        <v>0</v>
      </c>
      <c r="O171" s="27">
        <f>SUMIFS([1]raw_data!K:K,[1]raw_data!$A:$A,$B171)</f>
        <v>1.3485940000000001</v>
      </c>
      <c r="P171" s="28">
        <f>SUMIFS([1]raw_data!L:L,[1]raw_data!$A:$A,$B171)</f>
        <v>6.0240963855421603E-3</v>
      </c>
      <c r="Q171" s="27">
        <f>SUMIFS([1]raw_data!M:M,[1]raw_data!$A:$A,$B171)</f>
        <v>1.3485940000000001</v>
      </c>
      <c r="R171" s="28">
        <f>SUMIFS([1]raw_data!N:N,[1]raw_data!$A:$A,$B171)</f>
        <v>6.0240963855421603E-3</v>
      </c>
      <c r="S171" s="27">
        <f>SUMIFS([1]raw_data!O:O,[1]raw_data!$A:$A,$B171)</f>
        <v>166.40662499999999</v>
      </c>
      <c r="T171" s="28">
        <f>SUMIFS([1]raw_data!P:P,[1]raw_data!$A:$A,$B171)</f>
        <v>1.99999999999999</v>
      </c>
      <c r="U171" s="27">
        <f>SUMIFS([1]raw_data!Q:Q,[1]raw_data!$A:$A,$B171)</f>
        <v>118.871987</v>
      </c>
      <c r="V171" s="28">
        <f>SUMIFS([1]raw_data!R:R,[1]raw_data!$A:$A,$B171)</f>
        <v>0.99397590361445698</v>
      </c>
      <c r="W171" s="27">
        <f>SUMIFS([1]raw_data!S:S,[1]raw_data!$A:$A,$B171)</f>
        <v>0</v>
      </c>
      <c r="X171" s="28">
        <f>SUMIFS([1]raw_data!T:T,[1]raw_data!$A:$A,$B171)</f>
        <v>0</v>
      </c>
      <c r="Y171" s="27">
        <f>SUMIFS([1]raw_data!U:U,[1]raw_data!$A:$A,$B171)</f>
        <v>0</v>
      </c>
      <c r="Z171" s="28">
        <f>SUMIFS([1]raw_data!V:V,[1]raw_data!$A:$A,$B171)</f>
        <v>0</v>
      </c>
      <c r="AA171">
        <f t="shared" si="2"/>
        <v>33.551043799999995</v>
      </c>
    </row>
    <row r="172" spans="1:27" x14ac:dyDescent="0.25">
      <c r="A172" s="40"/>
      <c r="B172" s="25" t="s">
        <v>435</v>
      </c>
      <c r="C172" s="25" t="s">
        <v>179</v>
      </c>
      <c r="D172" s="25" t="s">
        <v>436</v>
      </c>
      <c r="E172" s="25" t="s">
        <v>23</v>
      </c>
      <c r="F172" s="26">
        <f>IFERROR(INDEX([1]raw_data!B:B,MATCH(B172,[1]raw_data!A:A,0)),0)</f>
        <v>175</v>
      </c>
      <c r="G172" s="27">
        <f>SUMIFS([1]raw_data!C:C,[1]raw_data!$A:$A,$B172)</f>
        <v>0</v>
      </c>
      <c r="H172" s="28">
        <f>SUMIFS([1]raw_data!D:D,[1]raw_data!$A:$A,$B172)</f>
        <v>0</v>
      </c>
      <c r="I172" s="27">
        <f>SUMIFS([1]raw_data!E:E,[1]raw_data!$A:$A,$B172)</f>
        <v>0</v>
      </c>
      <c r="J172" s="28">
        <f>SUMIFS([1]raw_data!F:F,[1]raw_data!$A:$A,$B172)</f>
        <v>0</v>
      </c>
      <c r="K172" s="27">
        <f>SUMIFS([1]raw_data!G:G,[1]raw_data!$A:$A,$B172)</f>
        <v>0</v>
      </c>
      <c r="L172" s="28">
        <f>SUMIFS([1]raw_data!H:H,[1]raw_data!$A:$A,$B172)</f>
        <v>0</v>
      </c>
      <c r="M172" s="27">
        <f>SUMIFS([1]raw_data!I:I,[1]raw_data!$A:$A,$B172)</f>
        <v>0</v>
      </c>
      <c r="N172" s="28">
        <f>SUMIFS([1]raw_data!J:J,[1]raw_data!$A:$A,$B172)</f>
        <v>0</v>
      </c>
      <c r="O172" s="27">
        <f>SUMIFS([1]raw_data!K:K,[1]raw_data!$A:$A,$B172)</f>
        <v>0</v>
      </c>
      <c r="P172" s="28">
        <f>SUMIFS([1]raw_data!L:L,[1]raw_data!$A:$A,$B172)</f>
        <v>0</v>
      </c>
      <c r="Q172" s="27">
        <f>SUMIFS([1]raw_data!M:M,[1]raw_data!$A:$A,$B172)</f>
        <v>0</v>
      </c>
      <c r="R172" s="28">
        <f>SUMIFS([1]raw_data!N:N,[1]raw_data!$A:$A,$B172)</f>
        <v>0</v>
      </c>
      <c r="S172" s="27">
        <f>SUMIFS([1]raw_data!O:O,[1]raw_data!$A:$A,$B172)</f>
        <v>154.69257099999999</v>
      </c>
      <c r="T172" s="28">
        <f>SUMIFS([1]raw_data!P:P,[1]raw_data!$A:$A,$B172)</f>
        <v>0.78285714285714203</v>
      </c>
      <c r="U172" s="27">
        <f>SUMIFS([1]raw_data!Q:Q,[1]raw_data!$A:$A,$B172)</f>
        <v>154.69257099999999</v>
      </c>
      <c r="V172" s="28">
        <f>SUMIFS([1]raw_data!R:R,[1]raw_data!$A:$A,$B172)</f>
        <v>0.78285714285714203</v>
      </c>
      <c r="W172" s="27">
        <f>SUMIFS([1]raw_data!S:S,[1]raw_data!$A:$A,$B172)</f>
        <v>0</v>
      </c>
      <c r="X172" s="28">
        <f>SUMIFS([1]raw_data!T:T,[1]raw_data!$A:$A,$B172)</f>
        <v>0</v>
      </c>
      <c r="Y172" s="27">
        <f>SUMIFS([1]raw_data!U:U,[1]raw_data!$A:$A,$B172)</f>
        <v>0</v>
      </c>
      <c r="Z172" s="28">
        <f>SUMIFS([1]raw_data!V:V,[1]raw_data!$A:$A,$B172)</f>
        <v>0</v>
      </c>
      <c r="AA172">
        <f t="shared" si="2"/>
        <v>30.938514199999997</v>
      </c>
    </row>
    <row r="173" spans="1:27" x14ac:dyDescent="0.25">
      <c r="A173" s="40"/>
      <c r="B173" s="25" t="s">
        <v>437</v>
      </c>
      <c r="C173" s="25" t="s">
        <v>320</v>
      </c>
      <c r="D173" s="25" t="s">
        <v>438</v>
      </c>
      <c r="E173" s="25" t="s">
        <v>19</v>
      </c>
      <c r="F173" s="26">
        <f>IFERROR(INDEX([1]raw_data!B:B,MATCH(B173,[1]raw_data!A:A,0)),0)</f>
        <v>113</v>
      </c>
      <c r="G173" s="27">
        <f>SUMIFS([1]raw_data!C:C,[1]raw_data!$A:$A,$B173)</f>
        <v>0</v>
      </c>
      <c r="H173" s="28">
        <f>SUMIFS([1]raw_data!D:D,[1]raw_data!$A:$A,$B173)</f>
        <v>0</v>
      </c>
      <c r="I173" s="27">
        <f>SUMIFS([1]raw_data!E:E,[1]raw_data!$A:$A,$B173)</f>
        <v>0</v>
      </c>
      <c r="J173" s="28">
        <f>SUMIFS([1]raw_data!F:F,[1]raw_data!$A:$A,$B173)</f>
        <v>0</v>
      </c>
      <c r="K173" s="27">
        <f>SUMIFS([1]raw_data!G:G,[1]raw_data!$A:$A,$B173)</f>
        <v>0</v>
      </c>
      <c r="L173" s="28">
        <f>SUMIFS([1]raw_data!H:H,[1]raw_data!$A:$A,$B173)</f>
        <v>0</v>
      </c>
      <c r="M173" s="27">
        <f>SUMIFS([1]raw_data!I:I,[1]raw_data!$A:$A,$B173)</f>
        <v>0</v>
      </c>
      <c r="N173" s="28">
        <f>SUMIFS([1]raw_data!J:J,[1]raw_data!$A:$A,$B173)</f>
        <v>0</v>
      </c>
      <c r="O173" s="27">
        <f>SUMIFS([1]raw_data!K:K,[1]raw_data!$A:$A,$B173)</f>
        <v>0</v>
      </c>
      <c r="P173" s="28">
        <f>SUMIFS([1]raw_data!L:L,[1]raw_data!$A:$A,$B173)</f>
        <v>0</v>
      </c>
      <c r="Q173" s="27">
        <f>SUMIFS([1]raw_data!M:M,[1]raw_data!$A:$A,$B173)</f>
        <v>0</v>
      </c>
      <c r="R173" s="28">
        <f>SUMIFS([1]raw_data!N:N,[1]raw_data!$A:$A,$B173)</f>
        <v>0</v>
      </c>
      <c r="S173" s="27">
        <f>SUMIFS([1]raw_data!O:O,[1]raw_data!$A:$A,$B173)</f>
        <v>147.17374599999999</v>
      </c>
      <c r="T173" s="28">
        <f>SUMIFS([1]raw_data!P:P,[1]raw_data!$A:$A,$B173)</f>
        <v>1.0796460176991101</v>
      </c>
      <c r="U173" s="27">
        <f>SUMIFS([1]raw_data!Q:Q,[1]raw_data!$A:$A,$B173)</f>
        <v>147.17374599999999</v>
      </c>
      <c r="V173" s="28">
        <f>SUMIFS([1]raw_data!R:R,[1]raw_data!$A:$A,$B173)</f>
        <v>1.0796460176991101</v>
      </c>
      <c r="W173" s="27">
        <f>SUMIFS([1]raw_data!S:S,[1]raw_data!$A:$A,$B173)</f>
        <v>0</v>
      </c>
      <c r="X173" s="28">
        <f>SUMIFS([1]raw_data!T:T,[1]raw_data!$A:$A,$B173)</f>
        <v>0</v>
      </c>
      <c r="Y173" s="27">
        <f>SUMIFS([1]raw_data!U:U,[1]raw_data!$A:$A,$B173)</f>
        <v>0</v>
      </c>
      <c r="Z173" s="28">
        <f>SUMIFS([1]raw_data!V:V,[1]raw_data!$A:$A,$B173)</f>
        <v>0</v>
      </c>
      <c r="AA173">
        <f t="shared" si="2"/>
        <v>29.434749199999999</v>
      </c>
    </row>
    <row r="174" spans="1:27" x14ac:dyDescent="0.25">
      <c r="A174" s="40"/>
      <c r="B174" s="25" t="s">
        <v>441</v>
      </c>
      <c r="C174" s="25" t="s">
        <v>271</v>
      </c>
      <c r="D174" s="25" t="s">
        <v>442</v>
      </c>
      <c r="E174" s="25" t="s">
        <v>23</v>
      </c>
      <c r="F174" s="26">
        <f>IFERROR(INDEX([1]raw_data!B:B,MATCH(B174,[1]raw_data!A:A,0)),0)</f>
        <v>304.8</v>
      </c>
      <c r="G174" s="27">
        <f>SUMIFS([1]raw_data!C:C,[1]raw_data!$A:$A,$B174)</f>
        <v>64.492997000000003</v>
      </c>
      <c r="H174" s="28">
        <f>SUMIFS([1]raw_data!D:D,[1]raw_data!$A:$A,$B174)</f>
        <v>1.02482269503546</v>
      </c>
      <c r="I174" s="27">
        <f>SUMIFS([1]raw_data!E:E,[1]raw_data!$A:$A,$B174)</f>
        <v>64.492997000000003</v>
      </c>
      <c r="J174" s="28">
        <f>SUMIFS([1]raw_data!F:F,[1]raw_data!$A:$A,$B174)</f>
        <v>1.02482269503546</v>
      </c>
      <c r="K174" s="27">
        <f>SUMIFS([1]raw_data!G:G,[1]raw_data!$A:$A,$B174)</f>
        <v>27.100055999999999</v>
      </c>
      <c r="L174" s="28">
        <f>SUMIFS([1]raw_data!H:H,[1]raw_data!$A:$A,$B174)</f>
        <v>1.1923076923076901</v>
      </c>
      <c r="M174" s="27">
        <f>SUMIFS([1]raw_data!I:I,[1]raw_data!$A:$A,$B174)</f>
        <v>27.100055999999999</v>
      </c>
      <c r="N174" s="28">
        <f>SUMIFS([1]raw_data!J:J,[1]raw_data!$A:$A,$B174)</f>
        <v>1.1923076923076901</v>
      </c>
      <c r="O174" s="27">
        <f>SUMIFS([1]raw_data!K:K,[1]raw_data!$A:$A,$B174)</f>
        <v>12.89099</v>
      </c>
      <c r="P174" s="28">
        <f>SUMIFS([1]raw_data!L:L,[1]raw_data!$A:$A,$B174)</f>
        <v>0.31660231660231603</v>
      </c>
      <c r="Q174" s="27">
        <f>SUMIFS([1]raw_data!M:M,[1]raw_data!$A:$A,$B174)</f>
        <v>12.89099</v>
      </c>
      <c r="R174" s="28">
        <f>SUMIFS([1]raw_data!N:N,[1]raw_data!$A:$A,$B174)</f>
        <v>0.31660231660231603</v>
      </c>
      <c r="S174" s="27">
        <f>SUMIFS([1]raw_data!O:O,[1]raw_data!$A:$A,$B174)</f>
        <v>37.229610000000001</v>
      </c>
      <c r="T174" s="28">
        <f>SUMIFS([1]raw_data!P:P,[1]raw_data!$A:$A,$B174)</f>
        <v>0.30964467005076102</v>
      </c>
      <c r="U174" s="27">
        <f>SUMIFS([1]raw_data!Q:Q,[1]raw_data!$A:$A,$B174)</f>
        <v>37.229610000000001</v>
      </c>
      <c r="V174" s="28">
        <f>SUMIFS([1]raw_data!R:R,[1]raw_data!$A:$A,$B174)</f>
        <v>0.30964467005076102</v>
      </c>
      <c r="W174" s="27">
        <f>SUMIFS([1]raw_data!S:S,[1]raw_data!$A:$A,$B174)</f>
        <v>4.6981659999999996</v>
      </c>
      <c r="X174" s="28">
        <f>SUMIFS([1]raw_data!T:T,[1]raw_data!$A:$A,$B174)</f>
        <v>4.8000000000000001E-2</v>
      </c>
      <c r="Y174" s="27">
        <f>SUMIFS([1]raw_data!U:U,[1]raw_data!$A:$A,$B174)</f>
        <v>4.6981659999999996</v>
      </c>
      <c r="Z174" s="28">
        <f>SUMIFS([1]raw_data!V:V,[1]raw_data!$A:$A,$B174)</f>
        <v>4.8000000000000001E-2</v>
      </c>
      <c r="AA174">
        <f t="shared" si="2"/>
        <v>29.282363799999995</v>
      </c>
    </row>
    <row r="175" spans="1:27" x14ac:dyDescent="0.25">
      <c r="A175" s="40"/>
      <c r="B175" s="25" t="s">
        <v>443</v>
      </c>
      <c r="C175" s="25" t="s">
        <v>320</v>
      </c>
      <c r="D175" s="25" t="s">
        <v>444</v>
      </c>
      <c r="E175" s="25" t="s">
        <v>19</v>
      </c>
      <c r="F175" s="26">
        <f>IFERROR(INDEX([1]raw_data!B:B,MATCH(B175,[1]raw_data!A:A,0)),0)</f>
        <v>106</v>
      </c>
      <c r="G175" s="27">
        <f>SUMIFS([1]raw_data!C:C,[1]raw_data!$A:$A,$B175)</f>
        <v>0</v>
      </c>
      <c r="H175" s="28">
        <f>SUMIFS([1]raw_data!D:D,[1]raw_data!$A:$A,$B175)</f>
        <v>0</v>
      </c>
      <c r="I175" s="27">
        <f>SUMIFS([1]raw_data!E:E,[1]raw_data!$A:$A,$B175)</f>
        <v>0</v>
      </c>
      <c r="J175" s="28">
        <f>SUMIFS([1]raw_data!F:F,[1]raw_data!$A:$A,$B175)</f>
        <v>0</v>
      </c>
      <c r="K175" s="27">
        <f>SUMIFS([1]raw_data!G:G,[1]raw_data!$A:$A,$B175)</f>
        <v>0</v>
      </c>
      <c r="L175" s="28">
        <f>SUMIFS([1]raw_data!H:H,[1]raw_data!$A:$A,$B175)</f>
        <v>0</v>
      </c>
      <c r="M175" s="27">
        <f>SUMIFS([1]raw_data!I:I,[1]raw_data!$A:$A,$B175)</f>
        <v>0</v>
      </c>
      <c r="N175" s="28">
        <f>SUMIFS([1]raw_data!J:J,[1]raw_data!$A:$A,$B175)</f>
        <v>0</v>
      </c>
      <c r="O175" s="27">
        <f>SUMIFS([1]raw_data!K:K,[1]raw_data!$A:$A,$B175)</f>
        <v>0</v>
      </c>
      <c r="P175" s="28">
        <f>SUMIFS([1]raw_data!L:L,[1]raw_data!$A:$A,$B175)</f>
        <v>0</v>
      </c>
      <c r="Q175" s="27">
        <f>SUMIFS([1]raw_data!M:M,[1]raw_data!$A:$A,$B175)</f>
        <v>0</v>
      </c>
      <c r="R175" s="28">
        <f>SUMIFS([1]raw_data!N:N,[1]raw_data!$A:$A,$B175)</f>
        <v>0</v>
      </c>
      <c r="S175" s="27">
        <f>SUMIFS([1]raw_data!O:O,[1]raw_data!$A:$A,$B175)</f>
        <v>136.58333300000001</v>
      </c>
      <c r="T175" s="28">
        <f>SUMIFS([1]raw_data!P:P,[1]raw_data!$A:$A,$B175)</f>
        <v>1</v>
      </c>
      <c r="U175" s="27">
        <f>SUMIFS([1]raw_data!Q:Q,[1]raw_data!$A:$A,$B175)</f>
        <v>136.58333300000001</v>
      </c>
      <c r="V175" s="28">
        <f>SUMIFS([1]raw_data!R:R,[1]raw_data!$A:$A,$B175)</f>
        <v>1</v>
      </c>
      <c r="W175" s="27">
        <f>SUMIFS([1]raw_data!S:S,[1]raw_data!$A:$A,$B175)</f>
        <v>0</v>
      </c>
      <c r="X175" s="28">
        <f>SUMIFS([1]raw_data!T:T,[1]raw_data!$A:$A,$B175)</f>
        <v>0</v>
      </c>
      <c r="Y175" s="27">
        <f>SUMIFS([1]raw_data!U:U,[1]raw_data!$A:$A,$B175)</f>
        <v>0</v>
      </c>
      <c r="Z175" s="28">
        <f>SUMIFS([1]raw_data!V:V,[1]raw_data!$A:$A,$B175)</f>
        <v>0</v>
      </c>
      <c r="AA175">
        <f t="shared" si="2"/>
        <v>27.316666600000001</v>
      </c>
    </row>
    <row r="176" spans="1:27" x14ac:dyDescent="0.25">
      <c r="A176" s="40"/>
      <c r="B176" s="25" t="s">
        <v>445</v>
      </c>
      <c r="C176" s="25" t="s">
        <v>320</v>
      </c>
      <c r="D176" s="25" t="s">
        <v>446</v>
      </c>
      <c r="E176" s="25" t="s">
        <v>19</v>
      </c>
      <c r="F176" s="26">
        <f>IFERROR(INDEX([1]raw_data!B:B,MATCH(B176,[1]raw_data!A:A,0)),0)</f>
        <v>339</v>
      </c>
      <c r="G176" s="27">
        <f>SUMIFS([1]raw_data!C:C,[1]raw_data!$A:$A,$B176)</f>
        <v>0</v>
      </c>
      <c r="H176" s="28">
        <f>SUMIFS([1]raw_data!D:D,[1]raw_data!$A:$A,$B176)</f>
        <v>0</v>
      </c>
      <c r="I176" s="27">
        <f>SUMIFS([1]raw_data!E:E,[1]raw_data!$A:$A,$B176)</f>
        <v>0</v>
      </c>
      <c r="J176" s="28">
        <f>SUMIFS([1]raw_data!F:F,[1]raw_data!$A:$A,$B176)</f>
        <v>0</v>
      </c>
      <c r="K176" s="27">
        <f>SUMIFS([1]raw_data!G:G,[1]raw_data!$A:$A,$B176)</f>
        <v>0</v>
      </c>
      <c r="L176" s="28">
        <f>SUMIFS([1]raw_data!H:H,[1]raw_data!$A:$A,$B176)</f>
        <v>0</v>
      </c>
      <c r="M176" s="27">
        <f>SUMIFS([1]raw_data!I:I,[1]raw_data!$A:$A,$B176)</f>
        <v>0</v>
      </c>
      <c r="N176" s="28">
        <f>SUMIFS([1]raw_data!J:J,[1]raw_data!$A:$A,$B176)</f>
        <v>0</v>
      </c>
      <c r="O176" s="27">
        <f>SUMIFS([1]raw_data!K:K,[1]raw_data!$A:$A,$B176)</f>
        <v>0</v>
      </c>
      <c r="P176" s="28">
        <f>SUMIFS([1]raw_data!L:L,[1]raw_data!$A:$A,$B176)</f>
        <v>0</v>
      </c>
      <c r="Q176" s="27">
        <f>SUMIFS([1]raw_data!M:M,[1]raw_data!$A:$A,$B176)</f>
        <v>0</v>
      </c>
      <c r="R176" s="28">
        <f>SUMIFS([1]raw_data!N:N,[1]raw_data!$A:$A,$B176)</f>
        <v>0</v>
      </c>
      <c r="S176" s="27">
        <f>SUMIFS([1]raw_data!O:O,[1]raw_data!$A:$A,$B176)</f>
        <v>136.379842</v>
      </c>
      <c r="T176" s="28">
        <f>SUMIFS([1]raw_data!P:P,[1]raw_data!$A:$A,$B176)</f>
        <v>0.99705014749262499</v>
      </c>
      <c r="U176" s="27">
        <f>SUMIFS([1]raw_data!Q:Q,[1]raw_data!$A:$A,$B176)</f>
        <v>136.379842</v>
      </c>
      <c r="V176" s="28">
        <f>SUMIFS([1]raw_data!R:R,[1]raw_data!$A:$A,$B176)</f>
        <v>0.99705014749262499</v>
      </c>
      <c r="W176" s="27">
        <f>SUMIFS([1]raw_data!S:S,[1]raw_data!$A:$A,$B176)</f>
        <v>0</v>
      </c>
      <c r="X176" s="28">
        <f>SUMIFS([1]raw_data!T:T,[1]raw_data!$A:$A,$B176)</f>
        <v>0</v>
      </c>
      <c r="Y176" s="27">
        <f>SUMIFS([1]raw_data!U:U,[1]raw_data!$A:$A,$B176)</f>
        <v>0</v>
      </c>
      <c r="Z176" s="28">
        <f>SUMIFS([1]raw_data!V:V,[1]raw_data!$A:$A,$B176)</f>
        <v>0</v>
      </c>
      <c r="AA176">
        <f t="shared" si="2"/>
        <v>27.2759684</v>
      </c>
    </row>
    <row r="177" spans="1:27" x14ac:dyDescent="0.25">
      <c r="A177" s="40"/>
      <c r="B177" s="25" t="s">
        <v>447</v>
      </c>
      <c r="C177" s="25" t="s">
        <v>320</v>
      </c>
      <c r="D177" s="25" t="s">
        <v>448</v>
      </c>
      <c r="E177" s="25" t="s">
        <v>19</v>
      </c>
      <c r="F177" s="26">
        <f>IFERROR(INDEX([1]raw_data!B:B,MATCH(B177,[1]raw_data!A:A,0)),0)</f>
        <v>115</v>
      </c>
      <c r="G177" s="27">
        <f>SUMIFS([1]raw_data!C:C,[1]raw_data!$A:$A,$B177)</f>
        <v>0</v>
      </c>
      <c r="H177" s="28">
        <f>SUMIFS([1]raw_data!D:D,[1]raw_data!$A:$A,$B177)</f>
        <v>0</v>
      </c>
      <c r="I177" s="27">
        <f>SUMIFS([1]raw_data!E:E,[1]raw_data!$A:$A,$B177)</f>
        <v>0</v>
      </c>
      <c r="J177" s="28">
        <f>SUMIFS([1]raw_data!F:F,[1]raw_data!$A:$A,$B177)</f>
        <v>0</v>
      </c>
      <c r="K177" s="27">
        <f>SUMIFS([1]raw_data!G:G,[1]raw_data!$A:$A,$B177)</f>
        <v>0</v>
      </c>
      <c r="L177" s="28">
        <f>SUMIFS([1]raw_data!H:H,[1]raw_data!$A:$A,$B177)</f>
        <v>0</v>
      </c>
      <c r="M177" s="27">
        <f>SUMIFS([1]raw_data!I:I,[1]raw_data!$A:$A,$B177)</f>
        <v>0</v>
      </c>
      <c r="N177" s="28">
        <f>SUMIFS([1]raw_data!J:J,[1]raw_data!$A:$A,$B177)</f>
        <v>0</v>
      </c>
      <c r="O177" s="27">
        <f>SUMIFS([1]raw_data!K:K,[1]raw_data!$A:$A,$B177)</f>
        <v>0</v>
      </c>
      <c r="P177" s="28">
        <f>SUMIFS([1]raw_data!L:L,[1]raw_data!$A:$A,$B177)</f>
        <v>0</v>
      </c>
      <c r="Q177" s="27">
        <f>SUMIFS([1]raw_data!M:M,[1]raw_data!$A:$A,$B177)</f>
        <v>0</v>
      </c>
      <c r="R177" s="28">
        <f>SUMIFS([1]raw_data!N:N,[1]raw_data!$A:$A,$B177)</f>
        <v>0</v>
      </c>
      <c r="S177" s="27">
        <f>SUMIFS([1]raw_data!O:O,[1]raw_data!$A:$A,$B177)</f>
        <v>136.25</v>
      </c>
      <c r="T177" s="28">
        <f>SUMIFS([1]raw_data!P:P,[1]raw_data!$A:$A,$B177)</f>
        <v>1</v>
      </c>
      <c r="U177" s="27">
        <f>SUMIFS([1]raw_data!Q:Q,[1]raw_data!$A:$A,$B177)</f>
        <v>136.25</v>
      </c>
      <c r="V177" s="28">
        <f>SUMIFS([1]raw_data!R:R,[1]raw_data!$A:$A,$B177)</f>
        <v>1</v>
      </c>
      <c r="W177" s="27">
        <f>SUMIFS([1]raw_data!S:S,[1]raw_data!$A:$A,$B177)</f>
        <v>0</v>
      </c>
      <c r="X177" s="28">
        <f>SUMIFS([1]raw_data!T:T,[1]raw_data!$A:$A,$B177)</f>
        <v>0</v>
      </c>
      <c r="Y177" s="27">
        <f>SUMIFS([1]raw_data!U:U,[1]raw_data!$A:$A,$B177)</f>
        <v>0</v>
      </c>
      <c r="Z177" s="28">
        <f>SUMIFS([1]raw_data!V:V,[1]raw_data!$A:$A,$B177)</f>
        <v>0</v>
      </c>
      <c r="AA177">
        <f t="shared" si="2"/>
        <v>27.25</v>
      </c>
    </row>
    <row r="178" spans="1:27" x14ac:dyDescent="0.25">
      <c r="A178" s="40"/>
      <c r="B178" s="25" t="s">
        <v>453</v>
      </c>
      <c r="C178" s="25" t="s">
        <v>454</v>
      </c>
      <c r="D178" s="25" t="s">
        <v>455</v>
      </c>
      <c r="E178" s="25" t="s">
        <v>65</v>
      </c>
      <c r="F178" s="26">
        <f>IFERROR(INDEX([1]raw_data!B:B,MATCH(B178,[1]raw_data!A:A,0)),0)</f>
        <v>44</v>
      </c>
      <c r="G178" s="27">
        <f>SUMIFS([1]raw_data!C:C,[1]raw_data!$A:$A,$B178)</f>
        <v>0</v>
      </c>
      <c r="H178" s="28">
        <f>SUMIFS([1]raw_data!D:D,[1]raw_data!$A:$A,$B178)</f>
        <v>0</v>
      </c>
      <c r="I178" s="27">
        <f>SUMIFS([1]raw_data!E:E,[1]raw_data!$A:$A,$B178)</f>
        <v>0</v>
      </c>
      <c r="J178" s="28">
        <f>SUMIFS([1]raw_data!F:F,[1]raw_data!$A:$A,$B178)</f>
        <v>0</v>
      </c>
      <c r="K178" s="27">
        <f>SUMIFS([1]raw_data!G:G,[1]raw_data!$A:$A,$B178)</f>
        <v>72.115131000000005</v>
      </c>
      <c r="L178" s="28">
        <f>SUMIFS([1]raw_data!H:H,[1]raw_data!$A:$A,$B178)</f>
        <v>0.45454545454545398</v>
      </c>
      <c r="M178" s="27">
        <f>SUMIFS([1]raw_data!I:I,[1]raw_data!$A:$A,$B178)</f>
        <v>27.801397000000001</v>
      </c>
      <c r="N178" s="28">
        <f>SUMIFS([1]raw_data!J:J,[1]raw_data!$A:$A,$B178)</f>
        <v>0.22727272727272699</v>
      </c>
      <c r="O178" s="27">
        <f>SUMIFS([1]raw_data!K:K,[1]raw_data!$A:$A,$B178)</f>
        <v>42.930680000000002</v>
      </c>
      <c r="P178" s="28">
        <f>SUMIFS([1]raw_data!L:L,[1]raw_data!$A:$A,$B178)</f>
        <v>0.36363636363636298</v>
      </c>
      <c r="Q178" s="27">
        <f>SUMIFS([1]raw_data!M:M,[1]raw_data!$A:$A,$B178)</f>
        <v>37.339393000000001</v>
      </c>
      <c r="R178" s="28">
        <f>SUMIFS([1]raw_data!N:N,[1]raw_data!$A:$A,$B178)</f>
        <v>0.29545454545454503</v>
      </c>
      <c r="S178" s="27">
        <f>SUMIFS([1]raw_data!O:O,[1]raw_data!$A:$A,$B178)</f>
        <v>0</v>
      </c>
      <c r="T178" s="28">
        <f>SUMIFS([1]raw_data!P:P,[1]raw_data!$A:$A,$B178)</f>
        <v>0</v>
      </c>
      <c r="U178" s="27">
        <f>SUMIFS([1]raw_data!Q:Q,[1]raw_data!$A:$A,$B178)</f>
        <v>0</v>
      </c>
      <c r="V178" s="28">
        <f>SUMIFS([1]raw_data!R:R,[1]raw_data!$A:$A,$B178)</f>
        <v>0</v>
      </c>
      <c r="W178" s="27">
        <f>SUMIFS([1]raw_data!S:S,[1]raw_data!$A:$A,$B178)</f>
        <v>0</v>
      </c>
      <c r="X178" s="28">
        <f>SUMIFS([1]raw_data!T:T,[1]raw_data!$A:$A,$B178)</f>
        <v>0</v>
      </c>
      <c r="Y178" s="27">
        <f>SUMIFS([1]raw_data!U:U,[1]raw_data!$A:$A,$B178)</f>
        <v>0</v>
      </c>
      <c r="Z178" s="28">
        <f>SUMIFS([1]raw_data!V:V,[1]raw_data!$A:$A,$B178)</f>
        <v>0</v>
      </c>
      <c r="AA178">
        <f t="shared" si="2"/>
        <v>23.009162200000002</v>
      </c>
    </row>
    <row r="179" spans="1:27" x14ac:dyDescent="0.25">
      <c r="A179" s="40"/>
      <c r="B179" s="25" t="s">
        <v>466</v>
      </c>
      <c r="C179" s="25" t="s">
        <v>467</v>
      </c>
      <c r="D179" s="25" t="s">
        <v>468</v>
      </c>
      <c r="E179" s="25" t="s">
        <v>19</v>
      </c>
      <c r="F179" s="26">
        <f>IFERROR(INDEX([1]raw_data!B:B,MATCH(B179,[1]raw_data!A:A,0)),0)</f>
        <v>292</v>
      </c>
      <c r="G179" s="27">
        <f>SUMIFS([1]raw_data!C:C,[1]raw_data!$A:$A,$B179)</f>
        <v>0</v>
      </c>
      <c r="H179" s="28">
        <f>SUMIFS([1]raw_data!D:D,[1]raw_data!$A:$A,$B179)</f>
        <v>0</v>
      </c>
      <c r="I179" s="27">
        <f>SUMIFS([1]raw_data!E:E,[1]raw_data!$A:$A,$B179)</f>
        <v>0</v>
      </c>
      <c r="J179" s="28">
        <f>SUMIFS([1]raw_data!F:F,[1]raw_data!$A:$A,$B179)</f>
        <v>0</v>
      </c>
      <c r="K179" s="27">
        <f>SUMIFS([1]raw_data!G:G,[1]raw_data!$A:$A,$B179)</f>
        <v>92.036906000000002</v>
      </c>
      <c r="L179" s="28">
        <f>SUMIFS([1]raw_data!H:H,[1]raw_data!$A:$A,$B179)</f>
        <v>4.0712468193384199E-2</v>
      </c>
      <c r="M179" s="27">
        <f>SUMIFS([1]raw_data!I:I,[1]raw_data!$A:$A,$B179)</f>
        <v>0</v>
      </c>
      <c r="N179" s="28">
        <f>SUMIFS([1]raw_data!J:J,[1]raw_data!$A:$A,$B179)</f>
        <v>0</v>
      </c>
      <c r="O179" s="27">
        <f>SUMIFS([1]raw_data!K:K,[1]raw_data!$A:$A,$B179)</f>
        <v>0</v>
      </c>
      <c r="P179" s="28">
        <f>SUMIFS([1]raw_data!L:L,[1]raw_data!$A:$A,$B179)</f>
        <v>0</v>
      </c>
      <c r="Q179" s="27">
        <f>SUMIFS([1]raw_data!M:M,[1]raw_data!$A:$A,$B179)</f>
        <v>0</v>
      </c>
      <c r="R179" s="28">
        <f>SUMIFS([1]raw_data!N:N,[1]raw_data!$A:$A,$B179)</f>
        <v>0</v>
      </c>
      <c r="S179" s="27">
        <f>SUMIFS([1]raw_data!O:O,[1]raw_data!$A:$A,$B179)</f>
        <v>9.1760029999999997</v>
      </c>
      <c r="T179" s="28">
        <f>SUMIFS([1]raw_data!P:P,[1]raw_data!$A:$A,$B179)</f>
        <v>0.15706806282722499</v>
      </c>
      <c r="U179" s="27">
        <f>SUMIFS([1]raw_data!Q:Q,[1]raw_data!$A:$A,$B179)</f>
        <v>9.1760029999999997</v>
      </c>
      <c r="V179" s="28">
        <f>SUMIFS([1]raw_data!R:R,[1]raw_data!$A:$A,$B179)</f>
        <v>0.15706806282722499</v>
      </c>
      <c r="W179" s="27">
        <f>SUMIFS([1]raw_data!S:S,[1]raw_data!$A:$A,$B179)</f>
        <v>0</v>
      </c>
      <c r="X179" s="28">
        <f>SUMIFS([1]raw_data!T:T,[1]raw_data!$A:$A,$B179)</f>
        <v>0</v>
      </c>
      <c r="Y179" s="27">
        <f>SUMIFS([1]raw_data!U:U,[1]raw_data!$A:$A,$B179)</f>
        <v>0</v>
      </c>
      <c r="Z179" s="28">
        <f>SUMIFS([1]raw_data!V:V,[1]raw_data!$A:$A,$B179)</f>
        <v>0</v>
      </c>
      <c r="AA179">
        <f t="shared" si="2"/>
        <v>20.2425818</v>
      </c>
    </row>
    <row r="180" spans="1:27" x14ac:dyDescent="0.25">
      <c r="A180" s="40"/>
      <c r="B180" s="25" t="s">
        <v>451</v>
      </c>
      <c r="C180" s="25" t="s">
        <v>46</v>
      </c>
      <c r="D180" s="25" t="s">
        <v>452</v>
      </c>
      <c r="E180" s="25" t="s">
        <v>19</v>
      </c>
      <c r="F180" s="26">
        <f>IFERROR(INDEX([1]raw_data!B:B,MATCH(B180,[1]raw_data!A:A,0)),0)</f>
        <v>194.33333300000001</v>
      </c>
      <c r="G180" s="27">
        <f>SUMIFS([1]raw_data!C:C,[1]raw_data!$A:$A,$B180)</f>
        <v>1.6048690000000001</v>
      </c>
      <c r="H180" s="28">
        <f>SUMIFS([1]raw_data!D:D,[1]raw_data!$A:$A,$B180)</f>
        <v>7.1942446043165402E-3</v>
      </c>
      <c r="I180" s="27">
        <f>SUMIFS([1]raw_data!E:E,[1]raw_data!$A:$A,$B180)</f>
        <v>1.6048690000000001</v>
      </c>
      <c r="J180" s="28">
        <f>SUMIFS([1]raw_data!F:F,[1]raw_data!$A:$A,$B180)</f>
        <v>7.1942446043165402E-3</v>
      </c>
      <c r="K180" s="27">
        <f>SUMIFS([1]raw_data!G:G,[1]raw_data!$A:$A,$B180)</f>
        <v>22.528642999999999</v>
      </c>
      <c r="L180" s="28">
        <f>SUMIFS([1]raw_data!H:H,[1]raw_data!$A:$A,$B180)</f>
        <v>4.7337278106508798E-2</v>
      </c>
      <c r="M180" s="27">
        <f>SUMIFS([1]raw_data!I:I,[1]raw_data!$A:$A,$B180)</f>
        <v>14.304747000000001</v>
      </c>
      <c r="N180" s="28">
        <f>SUMIFS([1]raw_data!J:J,[1]raw_data!$A:$A,$B180)</f>
        <v>4.14201183431952E-2</v>
      </c>
      <c r="O180" s="27">
        <f>SUMIFS([1]raw_data!K:K,[1]raw_data!$A:$A,$B180)</f>
        <v>1.940828</v>
      </c>
      <c r="P180" s="28">
        <f>SUMIFS([1]raw_data!L:L,[1]raw_data!$A:$A,$B180)</f>
        <v>5.9171597633135998E-3</v>
      </c>
      <c r="Q180" s="27">
        <f>SUMIFS([1]raw_data!M:M,[1]raw_data!$A:$A,$B180)</f>
        <v>1.940828</v>
      </c>
      <c r="R180" s="28">
        <f>SUMIFS([1]raw_data!N:N,[1]raw_data!$A:$A,$B180)</f>
        <v>5.9171597633135998E-3</v>
      </c>
      <c r="S180" s="27">
        <f>SUMIFS([1]raw_data!O:O,[1]raw_data!$A:$A,$B180)</f>
        <v>59.023978</v>
      </c>
      <c r="T180" s="28">
        <f>SUMIFS([1]raw_data!P:P,[1]raw_data!$A:$A,$B180)</f>
        <v>0.22134387351778601</v>
      </c>
      <c r="U180" s="27">
        <f>SUMIFS([1]raw_data!Q:Q,[1]raw_data!$A:$A,$B180)</f>
        <v>59.023978</v>
      </c>
      <c r="V180" s="28">
        <f>SUMIFS([1]raw_data!R:R,[1]raw_data!$A:$A,$B180)</f>
        <v>0.22134387351778601</v>
      </c>
      <c r="W180" s="27">
        <f>SUMIFS([1]raw_data!S:S,[1]raw_data!$A:$A,$B180)</f>
        <v>0.89631700000000003</v>
      </c>
      <c r="X180" s="28">
        <f>SUMIFS([1]raw_data!T:T,[1]raw_data!$A:$A,$B180)</f>
        <v>3.7453183520599199E-3</v>
      </c>
      <c r="Y180" s="27">
        <f>SUMIFS([1]raw_data!U:U,[1]raw_data!$A:$A,$B180)</f>
        <v>0</v>
      </c>
      <c r="Z180" s="28">
        <f>SUMIFS([1]raw_data!V:V,[1]raw_data!$A:$A,$B180)</f>
        <v>0</v>
      </c>
      <c r="AA180">
        <f t="shared" si="2"/>
        <v>17.198927000000001</v>
      </c>
    </row>
    <row r="181" spans="1:27" x14ac:dyDescent="0.25">
      <c r="A181" s="40"/>
      <c r="B181" s="25" t="s">
        <v>456</v>
      </c>
      <c r="C181" s="25" t="s">
        <v>320</v>
      </c>
      <c r="D181" s="25" t="s">
        <v>457</v>
      </c>
      <c r="E181" s="25" t="s">
        <v>19</v>
      </c>
      <c r="F181" s="26">
        <f>IFERROR(INDEX([1]raw_data!B:B,MATCH(B181,[1]raw_data!A:A,0)),0)</f>
        <v>15</v>
      </c>
      <c r="G181" s="27">
        <f>SUMIFS([1]raw_data!C:C,[1]raw_data!$A:$A,$B181)</f>
        <v>0</v>
      </c>
      <c r="H181" s="28">
        <f>SUMIFS([1]raw_data!D:D,[1]raw_data!$A:$A,$B181)</f>
        <v>0</v>
      </c>
      <c r="I181" s="27">
        <f>SUMIFS([1]raw_data!E:E,[1]raw_data!$A:$A,$B181)</f>
        <v>0</v>
      </c>
      <c r="J181" s="28">
        <f>SUMIFS([1]raw_data!F:F,[1]raw_data!$A:$A,$B181)</f>
        <v>0</v>
      </c>
      <c r="K181" s="27">
        <f>SUMIFS([1]raw_data!G:G,[1]raw_data!$A:$A,$B181)</f>
        <v>0</v>
      </c>
      <c r="L181" s="28">
        <f>SUMIFS([1]raw_data!H:H,[1]raw_data!$A:$A,$B181)</f>
        <v>0</v>
      </c>
      <c r="M181" s="27">
        <f>SUMIFS([1]raw_data!I:I,[1]raw_data!$A:$A,$B181)</f>
        <v>0</v>
      </c>
      <c r="N181" s="28">
        <f>SUMIFS([1]raw_data!J:J,[1]raw_data!$A:$A,$B181)</f>
        <v>0</v>
      </c>
      <c r="O181" s="27">
        <f>SUMIFS([1]raw_data!K:K,[1]raw_data!$A:$A,$B181)</f>
        <v>8.4937500000000004</v>
      </c>
      <c r="P181" s="28">
        <f>SUMIFS([1]raw_data!L:L,[1]raw_data!$A:$A,$B181)</f>
        <v>6.25E-2</v>
      </c>
      <c r="Q181" s="27">
        <f>SUMIFS([1]raw_data!M:M,[1]raw_data!$A:$A,$B181)</f>
        <v>8.4937500000000004</v>
      </c>
      <c r="R181" s="28">
        <f>SUMIFS([1]raw_data!N:N,[1]raw_data!$A:$A,$B181)</f>
        <v>6.25E-2</v>
      </c>
      <c r="S181" s="27">
        <f>SUMIFS([1]raw_data!O:O,[1]raw_data!$A:$A,$B181)</f>
        <v>34.084522999999997</v>
      </c>
      <c r="T181" s="28">
        <f>SUMIFS([1]raw_data!P:P,[1]raw_data!$A:$A,$B181)</f>
        <v>7.1428571428571397E-2</v>
      </c>
      <c r="U181" s="27">
        <f>SUMIFS([1]raw_data!Q:Q,[1]raw_data!$A:$A,$B181)</f>
        <v>34.084522999999997</v>
      </c>
      <c r="V181" s="28">
        <f>SUMIFS([1]raw_data!R:R,[1]raw_data!$A:$A,$B181)</f>
        <v>7.1428571428571397E-2</v>
      </c>
      <c r="W181" s="27">
        <f>SUMIFS([1]raw_data!S:S,[1]raw_data!$A:$A,$B181)</f>
        <v>0</v>
      </c>
      <c r="X181" s="28">
        <f>SUMIFS([1]raw_data!T:T,[1]raw_data!$A:$A,$B181)</f>
        <v>0</v>
      </c>
      <c r="Y181" s="27">
        <f>SUMIFS([1]raw_data!U:U,[1]raw_data!$A:$A,$B181)</f>
        <v>0</v>
      </c>
      <c r="Z181" s="28">
        <f>SUMIFS([1]raw_data!V:V,[1]raw_data!$A:$A,$B181)</f>
        <v>0</v>
      </c>
      <c r="AA181">
        <f t="shared" si="2"/>
        <v>8.5156545999999995</v>
      </c>
    </row>
    <row r="182" spans="1:27" x14ac:dyDescent="0.25">
      <c r="A182" s="40"/>
      <c r="B182" s="25" t="s">
        <v>458</v>
      </c>
      <c r="C182" s="25" t="s">
        <v>179</v>
      </c>
      <c r="D182" s="25" t="s">
        <v>459</v>
      </c>
      <c r="E182" s="25" t="s">
        <v>23</v>
      </c>
      <c r="F182" s="26">
        <f>IFERROR(INDEX([1]raw_data!B:B,MATCH(B182,[1]raw_data!A:A,0)),0)</f>
        <v>81</v>
      </c>
      <c r="G182" s="27">
        <f>SUMIFS([1]raw_data!C:C,[1]raw_data!$A:$A,$B182)</f>
        <v>0</v>
      </c>
      <c r="H182" s="28">
        <f>SUMIFS([1]raw_data!D:D,[1]raw_data!$A:$A,$B182)</f>
        <v>0</v>
      </c>
      <c r="I182" s="27">
        <f>SUMIFS([1]raw_data!E:E,[1]raw_data!$A:$A,$B182)</f>
        <v>0</v>
      </c>
      <c r="J182" s="28">
        <f>SUMIFS([1]raw_data!F:F,[1]raw_data!$A:$A,$B182)</f>
        <v>0</v>
      </c>
      <c r="K182" s="27">
        <f>SUMIFS([1]raw_data!G:G,[1]raw_data!$A:$A,$B182)</f>
        <v>0</v>
      </c>
      <c r="L182" s="28">
        <f>SUMIFS([1]raw_data!H:H,[1]raw_data!$A:$A,$B182)</f>
        <v>0</v>
      </c>
      <c r="M182" s="27">
        <f>SUMIFS([1]raw_data!I:I,[1]raw_data!$A:$A,$B182)</f>
        <v>0</v>
      </c>
      <c r="N182" s="28">
        <f>SUMIFS([1]raw_data!J:J,[1]raw_data!$A:$A,$B182)</f>
        <v>0</v>
      </c>
      <c r="O182" s="27">
        <f>SUMIFS([1]raw_data!K:K,[1]raw_data!$A:$A,$B182)</f>
        <v>0</v>
      </c>
      <c r="P182" s="28">
        <f>SUMIFS([1]raw_data!L:L,[1]raw_data!$A:$A,$B182)</f>
        <v>0</v>
      </c>
      <c r="Q182" s="27">
        <f>SUMIFS([1]raw_data!M:M,[1]raw_data!$A:$A,$B182)</f>
        <v>0</v>
      </c>
      <c r="R182" s="28">
        <f>SUMIFS([1]raw_data!N:N,[1]raw_data!$A:$A,$B182)</f>
        <v>0</v>
      </c>
      <c r="S182" s="27">
        <f>SUMIFS([1]raw_data!O:O,[1]raw_data!$A:$A,$B182)</f>
        <v>31.880246</v>
      </c>
      <c r="T182" s="28">
        <f>SUMIFS([1]raw_data!P:P,[1]raw_data!$A:$A,$B182)</f>
        <v>0.172839506172839</v>
      </c>
      <c r="U182" s="27">
        <f>SUMIFS([1]raw_data!Q:Q,[1]raw_data!$A:$A,$B182)</f>
        <v>31.880246</v>
      </c>
      <c r="V182" s="28">
        <f>SUMIFS([1]raw_data!R:R,[1]raw_data!$A:$A,$B182)</f>
        <v>0.172839506172839</v>
      </c>
      <c r="W182" s="27">
        <f>SUMIFS([1]raw_data!S:S,[1]raw_data!$A:$A,$B182)</f>
        <v>0</v>
      </c>
      <c r="X182" s="28">
        <f>SUMIFS([1]raw_data!T:T,[1]raw_data!$A:$A,$B182)</f>
        <v>0</v>
      </c>
      <c r="Y182" s="27">
        <f>SUMIFS([1]raw_data!U:U,[1]raw_data!$A:$A,$B182)</f>
        <v>0</v>
      </c>
      <c r="Z182" s="28">
        <f>SUMIFS([1]raw_data!V:V,[1]raw_data!$A:$A,$B182)</f>
        <v>0</v>
      </c>
      <c r="AA182">
        <f t="shared" si="2"/>
        <v>6.3760491999999998</v>
      </c>
    </row>
    <row r="183" spans="1:27" x14ac:dyDescent="0.25">
      <c r="A183" s="40"/>
      <c r="B183" s="25" t="s">
        <v>464</v>
      </c>
      <c r="C183" s="25" t="s">
        <v>366</v>
      </c>
      <c r="D183" s="25" t="s">
        <v>465</v>
      </c>
      <c r="E183" s="25" t="s">
        <v>19</v>
      </c>
      <c r="F183" s="26">
        <f>IFERROR(INDEX([1]raw_data!B:B,MATCH(B183,[1]raw_data!A:A,0)),0)</f>
        <v>22</v>
      </c>
      <c r="G183" s="27">
        <f>SUMIFS([1]raw_data!C:C,[1]raw_data!$A:$A,$B183)</f>
        <v>0</v>
      </c>
      <c r="H183" s="28">
        <f>SUMIFS([1]raw_data!D:D,[1]raw_data!$A:$A,$B183)</f>
        <v>0</v>
      </c>
      <c r="I183" s="27">
        <f>SUMIFS([1]raw_data!E:E,[1]raw_data!$A:$A,$B183)</f>
        <v>0</v>
      </c>
      <c r="J183" s="28">
        <f>SUMIFS([1]raw_data!F:F,[1]raw_data!$A:$A,$B183)</f>
        <v>0</v>
      </c>
      <c r="K183" s="27">
        <f>SUMIFS([1]raw_data!G:G,[1]raw_data!$A:$A,$B183)</f>
        <v>12.865925000000001</v>
      </c>
      <c r="L183" s="28">
        <f>SUMIFS([1]raw_data!H:H,[1]raw_data!$A:$A,$B183)</f>
        <v>4.54545454545454E-2</v>
      </c>
      <c r="M183" s="27">
        <f>SUMIFS([1]raw_data!I:I,[1]raw_data!$A:$A,$B183)</f>
        <v>12.865925000000001</v>
      </c>
      <c r="N183" s="28">
        <f>SUMIFS([1]raw_data!J:J,[1]raw_data!$A:$A,$B183)</f>
        <v>4.54545454545454E-2</v>
      </c>
      <c r="O183" s="27">
        <f>SUMIFS([1]raw_data!K:K,[1]raw_data!$A:$A,$B183)</f>
        <v>0</v>
      </c>
      <c r="P183" s="28">
        <f>SUMIFS([1]raw_data!L:L,[1]raw_data!$A:$A,$B183)</f>
        <v>0</v>
      </c>
      <c r="Q183" s="27">
        <f>SUMIFS([1]raw_data!M:M,[1]raw_data!$A:$A,$B183)</f>
        <v>0</v>
      </c>
      <c r="R183" s="28">
        <f>SUMIFS([1]raw_data!N:N,[1]raw_data!$A:$A,$B183)</f>
        <v>0</v>
      </c>
      <c r="S183" s="27">
        <f>SUMIFS([1]raw_data!O:O,[1]raw_data!$A:$A,$B183)</f>
        <v>0</v>
      </c>
      <c r="T183" s="28">
        <f>SUMIFS([1]raw_data!P:P,[1]raw_data!$A:$A,$B183)</f>
        <v>0</v>
      </c>
      <c r="U183" s="27">
        <f>SUMIFS([1]raw_data!Q:Q,[1]raw_data!$A:$A,$B183)</f>
        <v>0</v>
      </c>
      <c r="V183" s="28">
        <f>SUMIFS([1]raw_data!R:R,[1]raw_data!$A:$A,$B183)</f>
        <v>0</v>
      </c>
      <c r="W183" s="27">
        <f>SUMIFS([1]raw_data!S:S,[1]raw_data!$A:$A,$B183)</f>
        <v>0</v>
      </c>
      <c r="X183" s="28">
        <f>SUMIFS([1]raw_data!T:T,[1]raw_data!$A:$A,$B183)</f>
        <v>0</v>
      </c>
      <c r="Y183" s="27">
        <f>SUMIFS([1]raw_data!U:U,[1]raw_data!$A:$A,$B183)</f>
        <v>0</v>
      </c>
      <c r="Z183" s="28">
        <f>SUMIFS([1]raw_data!V:V,[1]raw_data!$A:$A,$B183)</f>
        <v>0</v>
      </c>
      <c r="AA183">
        <f t="shared" si="2"/>
        <v>2.5731850000000001</v>
      </c>
    </row>
    <row r="184" spans="1:27" x14ac:dyDescent="0.25">
      <c r="A184" s="40"/>
      <c r="B184" s="25" t="s">
        <v>478</v>
      </c>
      <c r="C184" s="25" t="s">
        <v>214</v>
      </c>
      <c r="D184" s="25" t="s">
        <v>479</v>
      </c>
      <c r="E184" s="25" t="s">
        <v>23</v>
      </c>
      <c r="F184" s="26">
        <f>IFERROR(INDEX([1]raw_data!B:B,MATCH(B184,[1]raw_data!A:A,0)),0)</f>
        <v>42</v>
      </c>
      <c r="G184" s="27">
        <f>SUMIFS([1]raw_data!C:C,[1]raw_data!$A:$A,$B184)</f>
        <v>0</v>
      </c>
      <c r="H184" s="28">
        <f>SUMIFS([1]raw_data!D:D,[1]raw_data!$A:$A,$B184)</f>
        <v>0</v>
      </c>
      <c r="I184" s="27">
        <f>SUMIFS([1]raw_data!E:E,[1]raw_data!$A:$A,$B184)</f>
        <v>0</v>
      </c>
      <c r="J184" s="28">
        <f>SUMIFS([1]raw_data!F:F,[1]raw_data!$A:$A,$B184)</f>
        <v>0</v>
      </c>
      <c r="K184" s="27">
        <f>SUMIFS([1]raw_data!G:G,[1]raw_data!$A:$A,$B184)</f>
        <v>0</v>
      </c>
      <c r="L184" s="28">
        <f>SUMIFS([1]raw_data!H:H,[1]raw_data!$A:$A,$B184)</f>
        <v>0</v>
      </c>
      <c r="M184" s="27">
        <f>SUMIFS([1]raw_data!I:I,[1]raw_data!$A:$A,$B184)</f>
        <v>0</v>
      </c>
      <c r="N184" s="28">
        <f>SUMIFS([1]raw_data!J:J,[1]raw_data!$A:$A,$B184)</f>
        <v>0</v>
      </c>
      <c r="O184" s="27">
        <f>SUMIFS([1]raw_data!K:K,[1]raw_data!$A:$A,$B184)</f>
        <v>3.8753959999999998</v>
      </c>
      <c r="P184" s="28">
        <f>SUMIFS([1]raw_data!L:L,[1]raw_data!$A:$A,$B184)</f>
        <v>2.3809523809523801E-2</v>
      </c>
      <c r="Q184" s="27">
        <f>SUMIFS([1]raw_data!M:M,[1]raw_data!$A:$A,$B184)</f>
        <v>0</v>
      </c>
      <c r="R184" s="28">
        <f>SUMIFS([1]raw_data!N:N,[1]raw_data!$A:$A,$B184)</f>
        <v>0</v>
      </c>
      <c r="S184" s="27">
        <f>SUMIFS([1]raw_data!O:O,[1]raw_data!$A:$A,$B184)</f>
        <v>0</v>
      </c>
      <c r="T184" s="28">
        <f>SUMIFS([1]raw_data!P:P,[1]raw_data!$A:$A,$B184)</f>
        <v>0</v>
      </c>
      <c r="U184" s="27">
        <f>SUMIFS([1]raw_data!Q:Q,[1]raw_data!$A:$A,$B184)</f>
        <v>0</v>
      </c>
      <c r="V184" s="28">
        <f>SUMIFS([1]raw_data!R:R,[1]raw_data!$A:$A,$B184)</f>
        <v>0</v>
      </c>
      <c r="W184" s="27">
        <f>SUMIFS([1]raw_data!S:S,[1]raw_data!$A:$A,$B184)</f>
        <v>0</v>
      </c>
      <c r="X184" s="28">
        <f>SUMIFS([1]raw_data!T:T,[1]raw_data!$A:$A,$B184)</f>
        <v>0</v>
      </c>
      <c r="Y184" s="27">
        <f>SUMIFS([1]raw_data!U:U,[1]raw_data!$A:$A,$B184)</f>
        <v>0</v>
      </c>
      <c r="Z184" s="28">
        <f>SUMIFS([1]raw_data!V:V,[1]raw_data!$A:$A,$B184)</f>
        <v>0</v>
      </c>
      <c r="AA184">
        <f t="shared" si="2"/>
        <v>0.77507919999999997</v>
      </c>
    </row>
    <row r="185" spans="1:27" x14ac:dyDescent="0.25">
      <c r="A185" s="40"/>
      <c r="B185" s="25" t="s">
        <v>469</v>
      </c>
      <c r="C185" s="25" t="s">
        <v>320</v>
      </c>
      <c r="D185" s="25" t="s">
        <v>461</v>
      </c>
      <c r="E185" s="25" t="s">
        <v>19</v>
      </c>
      <c r="F185" s="26">
        <f>IFERROR(INDEX([1]raw_data!B:B,MATCH(B185,[1]raw_data!A:A,0)),0)</f>
        <v>0</v>
      </c>
      <c r="G185" s="27">
        <f>SUMIFS([1]raw_data!C:C,[1]raw_data!$A:$A,$B185)</f>
        <v>0</v>
      </c>
      <c r="H185" s="28">
        <f>SUMIFS([1]raw_data!D:D,[1]raw_data!$A:$A,$B185)</f>
        <v>0</v>
      </c>
      <c r="I185" s="27">
        <f>SUMIFS([1]raw_data!E:E,[1]raw_data!$A:$A,$B185)</f>
        <v>0</v>
      </c>
      <c r="J185" s="28">
        <f>SUMIFS([1]raw_data!F:F,[1]raw_data!$A:$A,$B185)</f>
        <v>0</v>
      </c>
      <c r="K185" s="27">
        <f>SUMIFS([1]raw_data!G:G,[1]raw_data!$A:$A,$B185)</f>
        <v>0</v>
      </c>
      <c r="L185" s="28">
        <f>SUMIFS([1]raw_data!H:H,[1]raw_data!$A:$A,$B185)</f>
        <v>0</v>
      </c>
      <c r="M185" s="27">
        <f>SUMIFS([1]raw_data!I:I,[1]raw_data!$A:$A,$B185)</f>
        <v>0</v>
      </c>
      <c r="N185" s="28">
        <f>SUMIFS([1]raw_data!J:J,[1]raw_data!$A:$A,$B185)</f>
        <v>0</v>
      </c>
      <c r="O185" s="27">
        <f>SUMIFS([1]raw_data!K:K,[1]raw_data!$A:$A,$B185)</f>
        <v>0</v>
      </c>
      <c r="P185" s="28">
        <f>SUMIFS([1]raw_data!L:L,[1]raw_data!$A:$A,$B185)</f>
        <v>0</v>
      </c>
      <c r="Q185" s="27">
        <f>SUMIFS([1]raw_data!M:M,[1]raw_data!$A:$A,$B185)</f>
        <v>0</v>
      </c>
      <c r="R185" s="28">
        <f>SUMIFS([1]raw_data!N:N,[1]raw_data!$A:$A,$B185)</f>
        <v>0</v>
      </c>
      <c r="S185" s="27">
        <f>SUMIFS([1]raw_data!O:O,[1]raw_data!$A:$A,$B185)</f>
        <v>0</v>
      </c>
      <c r="T185" s="28">
        <f>SUMIFS([1]raw_data!P:P,[1]raw_data!$A:$A,$B185)</f>
        <v>0</v>
      </c>
      <c r="U185" s="27">
        <f>SUMIFS([1]raw_data!Q:Q,[1]raw_data!$A:$A,$B185)</f>
        <v>0</v>
      </c>
      <c r="V185" s="28">
        <f>SUMIFS([1]raw_data!R:R,[1]raw_data!$A:$A,$B185)</f>
        <v>0</v>
      </c>
      <c r="W185" s="27">
        <f>SUMIFS([1]raw_data!S:S,[1]raw_data!$A:$A,$B185)</f>
        <v>0</v>
      </c>
      <c r="X185" s="28">
        <f>SUMIFS([1]raw_data!T:T,[1]raw_data!$A:$A,$B185)</f>
        <v>0</v>
      </c>
      <c r="Y185" s="27">
        <f>SUMIFS([1]raw_data!U:U,[1]raw_data!$A:$A,$B185)</f>
        <v>0</v>
      </c>
      <c r="Z185" s="28">
        <f>SUMIFS([1]raw_data!V:V,[1]raw_data!$A:$A,$B185)</f>
        <v>0</v>
      </c>
      <c r="AA185">
        <f t="shared" si="2"/>
        <v>0</v>
      </c>
    </row>
    <row r="186" spans="1:27" x14ac:dyDescent="0.25">
      <c r="A186" s="40"/>
      <c r="B186" s="25" t="s">
        <v>470</v>
      </c>
      <c r="C186" s="25" t="s">
        <v>320</v>
      </c>
      <c r="D186" s="25" t="s">
        <v>471</v>
      </c>
      <c r="E186" s="25" t="s">
        <v>19</v>
      </c>
      <c r="F186" s="26">
        <f>IFERROR(INDEX([1]raw_data!B:B,MATCH(B186,[1]raw_data!A:A,0)),0)</f>
        <v>0</v>
      </c>
      <c r="G186" s="27">
        <f>SUMIFS([1]raw_data!C:C,[1]raw_data!$A:$A,$B186)</f>
        <v>0</v>
      </c>
      <c r="H186" s="28">
        <f>SUMIFS([1]raw_data!D:D,[1]raw_data!$A:$A,$B186)</f>
        <v>0</v>
      </c>
      <c r="I186" s="27">
        <f>SUMIFS([1]raw_data!E:E,[1]raw_data!$A:$A,$B186)</f>
        <v>0</v>
      </c>
      <c r="J186" s="28">
        <f>SUMIFS([1]raw_data!F:F,[1]raw_data!$A:$A,$B186)</f>
        <v>0</v>
      </c>
      <c r="K186" s="27">
        <f>SUMIFS([1]raw_data!G:G,[1]raw_data!$A:$A,$B186)</f>
        <v>0</v>
      </c>
      <c r="L186" s="28">
        <f>SUMIFS([1]raw_data!H:H,[1]raw_data!$A:$A,$B186)</f>
        <v>0</v>
      </c>
      <c r="M186" s="27">
        <f>SUMIFS([1]raw_data!I:I,[1]raw_data!$A:$A,$B186)</f>
        <v>0</v>
      </c>
      <c r="N186" s="28">
        <f>SUMIFS([1]raw_data!J:J,[1]raw_data!$A:$A,$B186)</f>
        <v>0</v>
      </c>
      <c r="O186" s="27">
        <f>SUMIFS([1]raw_data!K:K,[1]raw_data!$A:$A,$B186)</f>
        <v>0</v>
      </c>
      <c r="P186" s="28">
        <f>SUMIFS([1]raw_data!L:L,[1]raw_data!$A:$A,$B186)</f>
        <v>0</v>
      </c>
      <c r="Q186" s="27">
        <f>SUMIFS([1]raw_data!M:M,[1]raw_data!$A:$A,$B186)</f>
        <v>0</v>
      </c>
      <c r="R186" s="28">
        <f>SUMIFS([1]raw_data!N:N,[1]raw_data!$A:$A,$B186)</f>
        <v>0</v>
      </c>
      <c r="S186" s="27">
        <f>SUMIFS([1]raw_data!O:O,[1]raw_data!$A:$A,$B186)</f>
        <v>0</v>
      </c>
      <c r="T186" s="28">
        <f>SUMIFS([1]raw_data!P:P,[1]raw_data!$A:$A,$B186)</f>
        <v>0</v>
      </c>
      <c r="U186" s="27">
        <f>SUMIFS([1]raw_data!Q:Q,[1]raw_data!$A:$A,$B186)</f>
        <v>0</v>
      </c>
      <c r="V186" s="28">
        <f>SUMIFS([1]raw_data!R:R,[1]raw_data!$A:$A,$B186)</f>
        <v>0</v>
      </c>
      <c r="W186" s="27">
        <f>SUMIFS([1]raw_data!S:S,[1]raw_data!$A:$A,$B186)</f>
        <v>0</v>
      </c>
      <c r="X186" s="28">
        <f>SUMIFS([1]raw_data!T:T,[1]raw_data!$A:$A,$B186)</f>
        <v>0</v>
      </c>
      <c r="Y186" s="27">
        <f>SUMIFS([1]raw_data!U:U,[1]raw_data!$A:$A,$B186)</f>
        <v>0</v>
      </c>
      <c r="Z186" s="28">
        <f>SUMIFS([1]raw_data!V:V,[1]raw_data!$A:$A,$B186)</f>
        <v>0</v>
      </c>
      <c r="AA186">
        <f t="shared" si="2"/>
        <v>0</v>
      </c>
    </row>
    <row r="187" spans="1:27" x14ac:dyDescent="0.25">
      <c r="A187" s="40"/>
      <c r="B187" s="25" t="s">
        <v>472</v>
      </c>
      <c r="C187" s="25" t="s">
        <v>320</v>
      </c>
      <c r="D187" s="25" t="s">
        <v>473</v>
      </c>
      <c r="E187" s="25" t="s">
        <v>19</v>
      </c>
      <c r="F187" s="26">
        <f>IFERROR(INDEX([1]raw_data!B:B,MATCH(B187,[1]raw_data!A:A,0)),0)</f>
        <v>0</v>
      </c>
      <c r="G187" s="27">
        <f>SUMIFS([1]raw_data!C:C,[1]raw_data!$A:$A,$B187)</f>
        <v>0</v>
      </c>
      <c r="H187" s="28">
        <f>SUMIFS([1]raw_data!D:D,[1]raw_data!$A:$A,$B187)</f>
        <v>0</v>
      </c>
      <c r="I187" s="27">
        <f>SUMIFS([1]raw_data!E:E,[1]raw_data!$A:$A,$B187)</f>
        <v>0</v>
      </c>
      <c r="J187" s="28">
        <f>SUMIFS([1]raw_data!F:F,[1]raw_data!$A:$A,$B187)</f>
        <v>0</v>
      </c>
      <c r="K187" s="27">
        <f>SUMIFS([1]raw_data!G:G,[1]raw_data!$A:$A,$B187)</f>
        <v>0</v>
      </c>
      <c r="L187" s="28">
        <f>SUMIFS([1]raw_data!H:H,[1]raw_data!$A:$A,$B187)</f>
        <v>0</v>
      </c>
      <c r="M187" s="27">
        <f>SUMIFS([1]raw_data!I:I,[1]raw_data!$A:$A,$B187)</f>
        <v>0</v>
      </c>
      <c r="N187" s="28">
        <f>SUMIFS([1]raw_data!J:J,[1]raw_data!$A:$A,$B187)</f>
        <v>0</v>
      </c>
      <c r="O187" s="27">
        <f>SUMIFS([1]raw_data!K:K,[1]raw_data!$A:$A,$B187)</f>
        <v>0</v>
      </c>
      <c r="P187" s="28">
        <f>SUMIFS([1]raw_data!L:L,[1]raw_data!$A:$A,$B187)</f>
        <v>0</v>
      </c>
      <c r="Q187" s="27">
        <f>SUMIFS([1]raw_data!M:M,[1]raw_data!$A:$A,$B187)</f>
        <v>0</v>
      </c>
      <c r="R187" s="28">
        <f>SUMIFS([1]raw_data!N:N,[1]raw_data!$A:$A,$B187)</f>
        <v>0</v>
      </c>
      <c r="S187" s="27">
        <f>SUMIFS([1]raw_data!O:O,[1]raw_data!$A:$A,$B187)</f>
        <v>0</v>
      </c>
      <c r="T187" s="28">
        <f>SUMIFS([1]raw_data!P:P,[1]raw_data!$A:$A,$B187)</f>
        <v>0</v>
      </c>
      <c r="U187" s="27">
        <f>SUMIFS([1]raw_data!Q:Q,[1]raw_data!$A:$A,$B187)</f>
        <v>0</v>
      </c>
      <c r="V187" s="28">
        <f>SUMIFS([1]raw_data!R:R,[1]raw_data!$A:$A,$B187)</f>
        <v>0</v>
      </c>
      <c r="W187" s="27">
        <f>SUMIFS([1]raw_data!S:S,[1]raw_data!$A:$A,$B187)</f>
        <v>0</v>
      </c>
      <c r="X187" s="28">
        <f>SUMIFS([1]raw_data!T:T,[1]raw_data!$A:$A,$B187)</f>
        <v>0</v>
      </c>
      <c r="Y187" s="27">
        <f>SUMIFS([1]raw_data!U:U,[1]raw_data!$A:$A,$B187)</f>
        <v>0</v>
      </c>
      <c r="Z187" s="28">
        <f>SUMIFS([1]raw_data!V:V,[1]raw_data!$A:$A,$B187)</f>
        <v>0</v>
      </c>
      <c r="AA187">
        <f t="shared" si="2"/>
        <v>0</v>
      </c>
    </row>
    <row r="188" spans="1:27" x14ac:dyDescent="0.25">
      <c r="A188" s="40"/>
      <c r="B188" s="25" t="s">
        <v>474</v>
      </c>
      <c r="C188" s="25" t="s">
        <v>320</v>
      </c>
      <c r="D188" s="25" t="s">
        <v>475</v>
      </c>
      <c r="E188" s="25" t="s">
        <v>19</v>
      </c>
      <c r="F188" s="26">
        <f>IFERROR(INDEX([1]raw_data!B:B,MATCH(B188,[1]raw_data!A:A,0)),0)</f>
        <v>0</v>
      </c>
      <c r="G188" s="27">
        <f>SUMIFS([1]raw_data!C:C,[1]raw_data!$A:$A,$B188)</f>
        <v>0</v>
      </c>
      <c r="H188" s="28">
        <f>SUMIFS([1]raw_data!D:D,[1]raw_data!$A:$A,$B188)</f>
        <v>0</v>
      </c>
      <c r="I188" s="27">
        <f>SUMIFS([1]raw_data!E:E,[1]raw_data!$A:$A,$B188)</f>
        <v>0</v>
      </c>
      <c r="J188" s="28">
        <f>SUMIFS([1]raw_data!F:F,[1]raw_data!$A:$A,$B188)</f>
        <v>0</v>
      </c>
      <c r="K188" s="27">
        <f>SUMIFS([1]raw_data!G:G,[1]raw_data!$A:$A,$B188)</f>
        <v>0</v>
      </c>
      <c r="L188" s="28">
        <f>SUMIFS([1]raw_data!H:H,[1]raw_data!$A:$A,$B188)</f>
        <v>0</v>
      </c>
      <c r="M188" s="27">
        <f>SUMIFS([1]raw_data!I:I,[1]raw_data!$A:$A,$B188)</f>
        <v>0</v>
      </c>
      <c r="N188" s="28">
        <f>SUMIFS([1]raw_data!J:J,[1]raw_data!$A:$A,$B188)</f>
        <v>0</v>
      </c>
      <c r="O188" s="27">
        <f>SUMIFS([1]raw_data!K:K,[1]raw_data!$A:$A,$B188)</f>
        <v>0</v>
      </c>
      <c r="P188" s="28">
        <f>SUMIFS([1]raw_data!L:L,[1]raw_data!$A:$A,$B188)</f>
        <v>0</v>
      </c>
      <c r="Q188" s="27">
        <f>SUMIFS([1]raw_data!M:M,[1]raw_data!$A:$A,$B188)</f>
        <v>0</v>
      </c>
      <c r="R188" s="28">
        <f>SUMIFS([1]raw_data!N:N,[1]raw_data!$A:$A,$B188)</f>
        <v>0</v>
      </c>
      <c r="S188" s="27">
        <f>SUMIFS([1]raw_data!O:O,[1]raw_data!$A:$A,$B188)</f>
        <v>0</v>
      </c>
      <c r="T188" s="28">
        <f>SUMIFS([1]raw_data!P:P,[1]raw_data!$A:$A,$B188)</f>
        <v>0</v>
      </c>
      <c r="U188" s="27">
        <f>SUMIFS([1]raw_data!Q:Q,[1]raw_data!$A:$A,$B188)</f>
        <v>0</v>
      </c>
      <c r="V188" s="28">
        <f>SUMIFS([1]raw_data!R:R,[1]raw_data!$A:$A,$B188)</f>
        <v>0</v>
      </c>
      <c r="W188" s="27">
        <f>SUMIFS([1]raw_data!S:S,[1]raw_data!$A:$A,$B188)</f>
        <v>0</v>
      </c>
      <c r="X188" s="28">
        <f>SUMIFS([1]raw_data!T:T,[1]raw_data!$A:$A,$B188)</f>
        <v>0</v>
      </c>
      <c r="Y188" s="27">
        <f>SUMIFS([1]raw_data!U:U,[1]raw_data!$A:$A,$B188)</f>
        <v>0</v>
      </c>
      <c r="Z188" s="28">
        <f>SUMIFS([1]raw_data!V:V,[1]raw_data!$A:$A,$B188)</f>
        <v>0</v>
      </c>
      <c r="AA188">
        <f t="shared" si="2"/>
        <v>0</v>
      </c>
    </row>
    <row r="189" spans="1:27" x14ac:dyDescent="0.25">
      <c r="A189" s="40"/>
      <c r="B189" s="25" t="s">
        <v>476</v>
      </c>
      <c r="C189" s="25" t="s">
        <v>320</v>
      </c>
      <c r="D189" s="25" t="s">
        <v>477</v>
      </c>
      <c r="E189" s="25" t="s">
        <v>19</v>
      </c>
      <c r="F189" s="26">
        <f>IFERROR(INDEX([1]raw_data!B:B,MATCH(B189,[1]raw_data!A:A,0)),0)</f>
        <v>0</v>
      </c>
      <c r="G189" s="27">
        <f>SUMIFS([1]raw_data!C:C,[1]raw_data!$A:$A,$B189)</f>
        <v>0</v>
      </c>
      <c r="H189" s="28">
        <f>SUMIFS([1]raw_data!D:D,[1]raw_data!$A:$A,$B189)</f>
        <v>0</v>
      </c>
      <c r="I189" s="27">
        <f>SUMIFS([1]raw_data!E:E,[1]raw_data!$A:$A,$B189)</f>
        <v>0</v>
      </c>
      <c r="J189" s="28">
        <f>SUMIFS([1]raw_data!F:F,[1]raw_data!$A:$A,$B189)</f>
        <v>0</v>
      </c>
      <c r="K189" s="27">
        <f>SUMIFS([1]raw_data!G:G,[1]raw_data!$A:$A,$B189)</f>
        <v>0</v>
      </c>
      <c r="L189" s="28">
        <f>SUMIFS([1]raw_data!H:H,[1]raw_data!$A:$A,$B189)</f>
        <v>0</v>
      </c>
      <c r="M189" s="27">
        <f>SUMIFS([1]raw_data!I:I,[1]raw_data!$A:$A,$B189)</f>
        <v>0</v>
      </c>
      <c r="N189" s="28">
        <f>SUMIFS([1]raw_data!J:J,[1]raw_data!$A:$A,$B189)</f>
        <v>0</v>
      </c>
      <c r="O189" s="27">
        <f>SUMIFS([1]raw_data!K:K,[1]raw_data!$A:$A,$B189)</f>
        <v>0</v>
      </c>
      <c r="P189" s="28">
        <f>SUMIFS([1]raw_data!L:L,[1]raw_data!$A:$A,$B189)</f>
        <v>0</v>
      </c>
      <c r="Q189" s="27">
        <f>SUMIFS([1]raw_data!M:M,[1]raw_data!$A:$A,$B189)</f>
        <v>0</v>
      </c>
      <c r="R189" s="28">
        <f>SUMIFS([1]raw_data!N:N,[1]raw_data!$A:$A,$B189)</f>
        <v>0</v>
      </c>
      <c r="S189" s="27">
        <f>SUMIFS([1]raw_data!O:O,[1]raw_data!$A:$A,$B189)</f>
        <v>0</v>
      </c>
      <c r="T189" s="28">
        <f>SUMIFS([1]raw_data!P:P,[1]raw_data!$A:$A,$B189)</f>
        <v>0</v>
      </c>
      <c r="U189" s="27">
        <f>SUMIFS([1]raw_data!Q:Q,[1]raw_data!$A:$A,$B189)</f>
        <v>0</v>
      </c>
      <c r="V189" s="28">
        <f>SUMIFS([1]raw_data!R:R,[1]raw_data!$A:$A,$B189)</f>
        <v>0</v>
      </c>
      <c r="W189" s="27">
        <f>SUMIFS([1]raw_data!S:S,[1]raw_data!$A:$A,$B189)</f>
        <v>0</v>
      </c>
      <c r="X189" s="28">
        <f>SUMIFS([1]raw_data!T:T,[1]raw_data!$A:$A,$B189)</f>
        <v>0</v>
      </c>
      <c r="Y189" s="27">
        <f>SUMIFS([1]raw_data!U:U,[1]raw_data!$A:$A,$B189)</f>
        <v>0</v>
      </c>
      <c r="Z189" s="28">
        <f>SUMIFS([1]raw_data!V:V,[1]raw_data!$A:$A,$B189)</f>
        <v>0</v>
      </c>
      <c r="AA189">
        <f t="shared" si="2"/>
        <v>0</v>
      </c>
    </row>
    <row r="190" spans="1:27" x14ac:dyDescent="0.25">
      <c r="A190" s="40"/>
      <c r="B190" s="25" t="s">
        <v>480</v>
      </c>
      <c r="C190" s="25" t="s">
        <v>467</v>
      </c>
      <c r="D190" s="25" t="s">
        <v>481</v>
      </c>
      <c r="E190" s="25" t="s">
        <v>19</v>
      </c>
      <c r="F190" s="26">
        <f>IFERROR(INDEX([1]raw_data!B:B,MATCH(B190,[1]raw_data!A:A,0)),0)</f>
        <v>0</v>
      </c>
      <c r="G190" s="27">
        <f>SUMIFS([1]raw_data!C:C,[1]raw_data!$A:$A,$B190)</f>
        <v>0</v>
      </c>
      <c r="H190" s="28">
        <f>SUMIFS([1]raw_data!D:D,[1]raw_data!$A:$A,$B190)</f>
        <v>0</v>
      </c>
      <c r="I190" s="27">
        <f>SUMIFS([1]raw_data!E:E,[1]raw_data!$A:$A,$B190)</f>
        <v>0</v>
      </c>
      <c r="J190" s="28">
        <f>SUMIFS([1]raw_data!F:F,[1]raw_data!$A:$A,$B190)</f>
        <v>0</v>
      </c>
      <c r="K190" s="27">
        <f>SUMIFS([1]raw_data!G:G,[1]raw_data!$A:$A,$B190)</f>
        <v>0</v>
      </c>
      <c r="L190" s="28">
        <f>SUMIFS([1]raw_data!H:H,[1]raw_data!$A:$A,$B190)</f>
        <v>0</v>
      </c>
      <c r="M190" s="27">
        <f>SUMIFS([1]raw_data!I:I,[1]raw_data!$A:$A,$B190)</f>
        <v>0</v>
      </c>
      <c r="N190" s="28">
        <f>SUMIFS([1]raw_data!J:J,[1]raw_data!$A:$A,$B190)</f>
        <v>0</v>
      </c>
      <c r="O190" s="27">
        <f>SUMIFS([1]raw_data!K:K,[1]raw_data!$A:$A,$B190)</f>
        <v>0</v>
      </c>
      <c r="P190" s="28">
        <f>SUMIFS([1]raw_data!L:L,[1]raw_data!$A:$A,$B190)</f>
        <v>0</v>
      </c>
      <c r="Q190" s="27">
        <f>SUMIFS([1]raw_data!M:M,[1]raw_data!$A:$A,$B190)</f>
        <v>0</v>
      </c>
      <c r="R190" s="28">
        <f>SUMIFS([1]raw_data!N:N,[1]raw_data!$A:$A,$B190)</f>
        <v>0</v>
      </c>
      <c r="S190" s="27">
        <f>SUMIFS([1]raw_data!O:O,[1]raw_data!$A:$A,$B190)</f>
        <v>0</v>
      </c>
      <c r="T190" s="28">
        <f>SUMIFS([1]raw_data!P:P,[1]raw_data!$A:$A,$B190)</f>
        <v>0</v>
      </c>
      <c r="U190" s="27">
        <f>SUMIFS([1]raw_data!Q:Q,[1]raw_data!$A:$A,$B190)</f>
        <v>0</v>
      </c>
      <c r="V190" s="28">
        <f>SUMIFS([1]raw_data!R:R,[1]raw_data!$A:$A,$B190)</f>
        <v>0</v>
      </c>
      <c r="W190" s="27">
        <f>SUMIFS([1]raw_data!S:S,[1]raw_data!$A:$A,$B190)</f>
        <v>0</v>
      </c>
      <c r="X190" s="28">
        <f>SUMIFS([1]raw_data!T:T,[1]raw_data!$A:$A,$B190)</f>
        <v>0</v>
      </c>
      <c r="Y190" s="27">
        <f>SUMIFS([1]raw_data!U:U,[1]raw_data!$A:$A,$B190)</f>
        <v>0</v>
      </c>
      <c r="Z190" s="28">
        <f>SUMIFS([1]raw_data!V:V,[1]raw_data!$A:$A,$B190)</f>
        <v>0</v>
      </c>
      <c r="AA190">
        <f t="shared" si="2"/>
        <v>0</v>
      </c>
    </row>
    <row r="191" spans="1:27" x14ac:dyDescent="0.25">
      <c r="A191" s="40"/>
      <c r="B191" s="25" t="s">
        <v>482</v>
      </c>
      <c r="C191" s="25" t="s">
        <v>467</v>
      </c>
      <c r="D191" s="25" t="s">
        <v>483</v>
      </c>
      <c r="E191" s="25" t="s">
        <v>19</v>
      </c>
      <c r="F191" s="26">
        <f>IFERROR(INDEX([1]raw_data!B:B,MATCH(B191,[1]raw_data!A:A,0)),0)</f>
        <v>0</v>
      </c>
      <c r="G191" s="27">
        <f>SUMIFS([1]raw_data!C:C,[1]raw_data!$A:$A,$B191)</f>
        <v>0</v>
      </c>
      <c r="H191" s="28">
        <f>SUMIFS([1]raw_data!D:D,[1]raw_data!$A:$A,$B191)</f>
        <v>0</v>
      </c>
      <c r="I191" s="27">
        <f>SUMIFS([1]raw_data!E:E,[1]raw_data!$A:$A,$B191)</f>
        <v>0</v>
      </c>
      <c r="J191" s="28">
        <f>SUMIFS([1]raw_data!F:F,[1]raw_data!$A:$A,$B191)</f>
        <v>0</v>
      </c>
      <c r="K191" s="27">
        <f>SUMIFS([1]raw_data!G:G,[1]raw_data!$A:$A,$B191)</f>
        <v>0</v>
      </c>
      <c r="L191" s="28">
        <f>SUMIFS([1]raw_data!H:H,[1]raw_data!$A:$A,$B191)</f>
        <v>0</v>
      </c>
      <c r="M191" s="27">
        <f>SUMIFS([1]raw_data!I:I,[1]raw_data!$A:$A,$B191)</f>
        <v>0</v>
      </c>
      <c r="N191" s="28">
        <f>SUMIFS([1]raw_data!J:J,[1]raw_data!$A:$A,$B191)</f>
        <v>0</v>
      </c>
      <c r="O191" s="27">
        <f>SUMIFS([1]raw_data!K:K,[1]raw_data!$A:$A,$B191)</f>
        <v>0</v>
      </c>
      <c r="P191" s="28">
        <f>SUMIFS([1]raw_data!L:L,[1]raw_data!$A:$A,$B191)</f>
        <v>0</v>
      </c>
      <c r="Q191" s="27">
        <f>SUMIFS([1]raw_data!M:M,[1]raw_data!$A:$A,$B191)</f>
        <v>0</v>
      </c>
      <c r="R191" s="28">
        <f>SUMIFS([1]raw_data!N:N,[1]raw_data!$A:$A,$B191)</f>
        <v>0</v>
      </c>
      <c r="S191" s="27">
        <f>SUMIFS([1]raw_data!O:O,[1]raw_data!$A:$A,$B191)</f>
        <v>0</v>
      </c>
      <c r="T191" s="28">
        <f>SUMIFS([1]raw_data!P:P,[1]raw_data!$A:$A,$B191)</f>
        <v>0</v>
      </c>
      <c r="U191" s="27">
        <f>SUMIFS([1]raw_data!Q:Q,[1]raw_data!$A:$A,$B191)</f>
        <v>0</v>
      </c>
      <c r="V191" s="28">
        <f>SUMIFS([1]raw_data!R:R,[1]raw_data!$A:$A,$B191)</f>
        <v>0</v>
      </c>
      <c r="W191" s="27">
        <f>SUMIFS([1]raw_data!S:S,[1]raw_data!$A:$A,$B191)</f>
        <v>0</v>
      </c>
      <c r="X191" s="28">
        <f>SUMIFS([1]raw_data!T:T,[1]raw_data!$A:$A,$B191)</f>
        <v>0</v>
      </c>
      <c r="Y191" s="27">
        <f>SUMIFS([1]raw_data!U:U,[1]raw_data!$A:$A,$B191)</f>
        <v>0</v>
      </c>
      <c r="Z191" s="28">
        <f>SUMIFS([1]raw_data!V:V,[1]raw_data!$A:$A,$B191)</f>
        <v>0</v>
      </c>
      <c r="AA191">
        <f t="shared" si="2"/>
        <v>0</v>
      </c>
    </row>
    <row r="192" spans="1:27" x14ac:dyDescent="0.25">
      <c r="A192" s="40"/>
      <c r="B192" s="25" t="s">
        <v>484</v>
      </c>
      <c r="C192" s="25" t="s">
        <v>467</v>
      </c>
      <c r="D192" s="25" t="s">
        <v>485</v>
      </c>
      <c r="E192" s="25" t="s">
        <v>19</v>
      </c>
      <c r="F192" s="26">
        <f>IFERROR(INDEX([1]raw_data!B:B,MATCH(B192,[1]raw_data!A:A,0)),0)</f>
        <v>0</v>
      </c>
      <c r="G192" s="27">
        <f>SUMIFS([1]raw_data!C:C,[1]raw_data!$A:$A,$B192)</f>
        <v>0</v>
      </c>
      <c r="H192" s="28">
        <f>SUMIFS([1]raw_data!D:D,[1]raw_data!$A:$A,$B192)</f>
        <v>0</v>
      </c>
      <c r="I192" s="27">
        <f>SUMIFS([1]raw_data!E:E,[1]raw_data!$A:$A,$B192)</f>
        <v>0</v>
      </c>
      <c r="J192" s="28">
        <f>SUMIFS([1]raw_data!F:F,[1]raw_data!$A:$A,$B192)</f>
        <v>0</v>
      </c>
      <c r="K192" s="27">
        <f>SUMIFS([1]raw_data!G:G,[1]raw_data!$A:$A,$B192)</f>
        <v>0</v>
      </c>
      <c r="L192" s="28">
        <f>SUMIFS([1]raw_data!H:H,[1]raw_data!$A:$A,$B192)</f>
        <v>0</v>
      </c>
      <c r="M192" s="27">
        <f>SUMIFS([1]raw_data!I:I,[1]raw_data!$A:$A,$B192)</f>
        <v>0</v>
      </c>
      <c r="N192" s="28">
        <f>SUMIFS([1]raw_data!J:J,[1]raw_data!$A:$A,$B192)</f>
        <v>0</v>
      </c>
      <c r="O192" s="27">
        <f>SUMIFS([1]raw_data!K:K,[1]raw_data!$A:$A,$B192)</f>
        <v>0</v>
      </c>
      <c r="P192" s="28">
        <f>SUMIFS([1]raw_data!L:L,[1]raw_data!$A:$A,$B192)</f>
        <v>0</v>
      </c>
      <c r="Q192" s="27">
        <f>SUMIFS([1]raw_data!M:M,[1]raw_data!$A:$A,$B192)</f>
        <v>0</v>
      </c>
      <c r="R192" s="28">
        <f>SUMIFS([1]raw_data!N:N,[1]raw_data!$A:$A,$B192)</f>
        <v>0</v>
      </c>
      <c r="S192" s="27">
        <f>SUMIFS([1]raw_data!O:O,[1]raw_data!$A:$A,$B192)</f>
        <v>0</v>
      </c>
      <c r="T192" s="28">
        <f>SUMIFS([1]raw_data!P:P,[1]raw_data!$A:$A,$B192)</f>
        <v>0</v>
      </c>
      <c r="U192" s="27">
        <f>SUMIFS([1]raw_data!Q:Q,[1]raw_data!$A:$A,$B192)</f>
        <v>0</v>
      </c>
      <c r="V192" s="28">
        <f>SUMIFS([1]raw_data!R:R,[1]raw_data!$A:$A,$B192)</f>
        <v>0</v>
      </c>
      <c r="W192" s="27">
        <f>SUMIFS([1]raw_data!S:S,[1]raw_data!$A:$A,$B192)</f>
        <v>0</v>
      </c>
      <c r="X192" s="28">
        <f>SUMIFS([1]raw_data!T:T,[1]raw_data!$A:$A,$B192)</f>
        <v>0</v>
      </c>
      <c r="Y192" s="27">
        <f>SUMIFS([1]raw_data!U:U,[1]raw_data!$A:$A,$B192)</f>
        <v>0</v>
      </c>
      <c r="Z192" s="28">
        <f>SUMIFS([1]raw_data!V:V,[1]raw_data!$A:$A,$B192)</f>
        <v>0</v>
      </c>
      <c r="AA192">
        <f t="shared" si="2"/>
        <v>0</v>
      </c>
    </row>
    <row r="193" spans="1:27" x14ac:dyDescent="0.25">
      <c r="A193" s="40"/>
      <c r="B193" s="25" t="s">
        <v>486</v>
      </c>
      <c r="C193" s="25" t="s">
        <v>46</v>
      </c>
      <c r="D193" s="25" t="s">
        <v>487</v>
      </c>
      <c r="E193" s="25" t="s">
        <v>19</v>
      </c>
      <c r="F193" s="26">
        <f>IFERROR(INDEX([1]raw_data!B:B,MATCH(B193,[1]raw_data!A:A,0)),0)</f>
        <v>0</v>
      </c>
      <c r="G193" s="27">
        <f>SUMIFS([1]raw_data!C:C,[1]raw_data!$A:$A,$B193)</f>
        <v>0</v>
      </c>
      <c r="H193" s="28">
        <f>SUMIFS([1]raw_data!D:D,[1]raw_data!$A:$A,$B193)</f>
        <v>0</v>
      </c>
      <c r="I193" s="27">
        <f>SUMIFS([1]raw_data!E:E,[1]raw_data!$A:$A,$B193)</f>
        <v>0</v>
      </c>
      <c r="J193" s="28">
        <f>SUMIFS([1]raw_data!F:F,[1]raw_data!$A:$A,$B193)</f>
        <v>0</v>
      </c>
      <c r="K193" s="27">
        <f>SUMIFS([1]raw_data!G:G,[1]raw_data!$A:$A,$B193)</f>
        <v>0</v>
      </c>
      <c r="L193" s="28">
        <f>SUMIFS([1]raw_data!H:H,[1]raw_data!$A:$A,$B193)</f>
        <v>0</v>
      </c>
      <c r="M193" s="27">
        <f>SUMIFS([1]raw_data!I:I,[1]raw_data!$A:$A,$B193)</f>
        <v>0</v>
      </c>
      <c r="N193" s="28">
        <f>SUMIFS([1]raw_data!J:J,[1]raw_data!$A:$A,$B193)</f>
        <v>0</v>
      </c>
      <c r="O193" s="27">
        <f>SUMIFS([1]raw_data!K:K,[1]raw_data!$A:$A,$B193)</f>
        <v>0</v>
      </c>
      <c r="P193" s="28">
        <f>SUMIFS([1]raw_data!L:L,[1]raw_data!$A:$A,$B193)</f>
        <v>0</v>
      </c>
      <c r="Q193" s="27">
        <f>SUMIFS([1]raw_data!M:M,[1]raw_data!$A:$A,$B193)</f>
        <v>0</v>
      </c>
      <c r="R193" s="28">
        <f>SUMIFS([1]raw_data!N:N,[1]raw_data!$A:$A,$B193)</f>
        <v>0</v>
      </c>
      <c r="S193" s="27">
        <f>SUMIFS([1]raw_data!O:O,[1]raw_data!$A:$A,$B193)</f>
        <v>0</v>
      </c>
      <c r="T193" s="28">
        <f>SUMIFS([1]raw_data!P:P,[1]raw_data!$A:$A,$B193)</f>
        <v>0</v>
      </c>
      <c r="U193" s="27">
        <f>SUMIFS([1]raw_data!Q:Q,[1]raw_data!$A:$A,$B193)</f>
        <v>0</v>
      </c>
      <c r="V193" s="28">
        <f>SUMIFS([1]raw_data!R:R,[1]raw_data!$A:$A,$B193)</f>
        <v>0</v>
      </c>
      <c r="W193" s="27">
        <f>SUMIFS([1]raw_data!S:S,[1]raw_data!$A:$A,$B193)</f>
        <v>0</v>
      </c>
      <c r="X193" s="28">
        <f>SUMIFS([1]raw_data!T:T,[1]raw_data!$A:$A,$B193)</f>
        <v>0</v>
      </c>
      <c r="Y193" s="27">
        <f>SUMIFS([1]raw_data!U:U,[1]raw_data!$A:$A,$B193)</f>
        <v>0</v>
      </c>
      <c r="Z193" s="28">
        <f>SUMIFS([1]raw_data!V:V,[1]raw_data!$A:$A,$B193)</f>
        <v>0</v>
      </c>
      <c r="AA193">
        <f t="shared" si="2"/>
        <v>0</v>
      </c>
    </row>
  </sheetData>
  <autoFilter ref="A1:AA193" xr:uid="{F8B333DE-E5C9-4564-976D-812E1128BE3D}">
    <filterColumn colId="6" showButton="0"/>
    <filterColumn colId="7" showButton="0"/>
    <filterColumn colId="8" showButton="0"/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2" showButton="0"/>
    <filterColumn colId="23" showButton="0"/>
    <filterColumn colId="24" showButton="0"/>
    <sortState xmlns:xlrd2="http://schemas.microsoft.com/office/spreadsheetml/2017/richdata2" ref="A56:AA193">
      <sortCondition descending="1" ref="AA1:AA193"/>
    </sortState>
  </autoFilter>
  <mergeCells count="25">
    <mergeCell ref="A56:A98"/>
    <mergeCell ref="A99:A132"/>
    <mergeCell ref="A133:A193"/>
    <mergeCell ref="Q2:R2"/>
    <mergeCell ref="S2:T2"/>
    <mergeCell ref="C1:C3"/>
    <mergeCell ref="D1:D3"/>
    <mergeCell ref="E1:E3"/>
    <mergeCell ref="F1:F3"/>
    <mergeCell ref="U2:V2"/>
    <mergeCell ref="W2:X2"/>
    <mergeCell ref="Y2:Z2"/>
    <mergeCell ref="A4:A54"/>
    <mergeCell ref="G1:J1"/>
    <mergeCell ref="K1:N1"/>
    <mergeCell ref="O1:R1"/>
    <mergeCell ref="S1:V1"/>
    <mergeCell ref="W1:Z1"/>
    <mergeCell ref="G2:H2"/>
    <mergeCell ref="I2:J2"/>
    <mergeCell ref="K2:L2"/>
    <mergeCell ref="M2:N2"/>
    <mergeCell ref="O2:P2"/>
    <mergeCell ref="A1:A3"/>
    <mergeCell ref="B1:B3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SC_x0020_Event_x0020_Date xmlns="a433be04-1063-452b-9ab8-ba06373cb7cb" xsi:nil="true"/>
    <i0f84bba906045b4af568ee102a52dcb xmlns="ebb956b5-8513-46c9-ad54-9e482b3eec45">
      <Terms xmlns="http://schemas.microsoft.com/office/infopath/2007/PartnerControls">
        <TermInfo xmlns="http://schemas.microsoft.com/office/infopath/2007/PartnerControls">
          <TermName xmlns="http://schemas.microsoft.com/office/infopath/2007/PartnerControls">LEG-111 Commission Reports and Rate Cases</TermName>
          <TermId xmlns="http://schemas.microsoft.com/office/infopath/2007/PartnerControls">998772b3-c445-483c-9f09-01b94c960e52</TermId>
        </TermInfo>
      </Terms>
    </i0f84bba906045b4af568ee102a52dcb>
    <lcf76f155ced4ddcb4097134ff3c332f xmlns="4306c5e1-983c-41bd-8f58-c6bc80c748e7">
      <Terms xmlns="http://schemas.microsoft.com/office/infopath/2007/PartnerControls"/>
    </lcf76f155ced4ddcb4097134ff3c332f>
    <IconOverlay xmlns="http://schemas.microsoft.com/sharepoint/v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F0510777E76340A6CF5198C60F5416" ma:contentTypeVersion="22" ma:contentTypeDescription="Create a new document." ma:contentTypeScope="" ma:versionID="c06f6f360cf305d39fe4b1acc5c90d9b">
  <xsd:schema xmlns:xsd="http://www.w3.org/2001/XMLSchema" xmlns:xs="http://www.w3.org/2001/XMLSchema" xmlns:p="http://schemas.microsoft.com/office/2006/metadata/properties" xmlns:ns1="http://schemas.microsoft.com/sharepoint/v3" xmlns:ns2="a433be04-1063-452b-9ab8-ba06373cb7cb" xmlns:ns3="4306c5e1-983c-41bd-8f58-c6bc80c748e7" xmlns:ns4="http://schemas.microsoft.com/sharepoint/v4" xmlns:ns5="ebb956b5-8513-46c9-ad54-9e482b3eec45" targetNamespace="http://schemas.microsoft.com/office/2006/metadata/properties" ma:root="true" ma:fieldsID="79ce99fd2ab8cfe27fab0761b5b9c177" ns1:_="" ns2:_="" ns3:_="" ns4:_="" ns5:_="">
    <xsd:import namespace="http://schemas.microsoft.com/sharepoint/v3"/>
    <xsd:import namespace="a433be04-1063-452b-9ab8-ba06373cb7cb"/>
    <xsd:import namespace="4306c5e1-983c-41bd-8f58-c6bc80c748e7"/>
    <xsd:import namespace="http://schemas.microsoft.com/sharepoint/v4"/>
    <xsd:import namespace="ebb956b5-8513-46c9-ad54-9e482b3eec45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IconOverlay" minOccurs="0"/>
                <xsd:element ref="ns3:MediaServiceOCR" minOccurs="0"/>
                <xsd:element ref="ns3:MediaServiceLocation" minOccurs="0"/>
                <xsd:element ref="ns5:SharedWithUsers" minOccurs="0"/>
                <xsd:element ref="ns5:SharedWithDetails" minOccurs="0"/>
                <xsd:element ref="ns3:lcf76f155ced4ddcb4097134ff3c332f" minOccurs="0"/>
                <xsd:element ref="ns5:i0f84bba906045b4af568ee102a52dcb" minOccurs="0"/>
                <xsd:element ref="ns1:_vti_ItemDeclaredRecord" minOccurs="0"/>
                <xsd:element ref="ns1:_vti_ItemHoldRecordStatus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5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6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06c5e1-983c-41bd-8f58-c6bc80c748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eb413d7-29a7-49c8-b3b9-887ddee13f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6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956b5-8513-46c9-ad54-9e482b3eec4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i0f84bba906045b4af568ee102a52dcb" ma:index="24" nillable="true" ma:taxonomy="true" ma:internalName="i0f84bba906045b4af568ee102a52dcb" ma:taxonomyFieldName="RevIMBCS" ma:displayName="Record Series Code" ma:indexed="true" ma:default="18;#LEG-111 Commission Reports and Rate Cases|998772b3-c445-483c-9f09-01b94c960e52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eeb413d7-29a7-49c8-b3b9-887ddee13f64" ContentTypeId="0x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EEE3AF-1FDD-47F0-A383-A86AF30F095B}">
  <ds:schemaRefs>
    <ds:schemaRef ds:uri="http://www.w3.org/XML/1998/namespace"/>
    <ds:schemaRef ds:uri="http://schemas.microsoft.com/office/2006/documentManagement/types"/>
    <ds:schemaRef ds:uri="4f498d86-cf05-4a11-9185-035e71bccb4a"/>
    <ds:schemaRef ds:uri="http://schemas.microsoft.com/office/infopath/2007/PartnerControls"/>
    <ds:schemaRef ds:uri="http://purl.org/dc/terms/"/>
    <ds:schemaRef ds:uri="http://purl.org/dc/elements/1.1/"/>
    <ds:schemaRef ds:uri="http://schemas.microsoft.com/office/2006/metadata/properties"/>
    <ds:schemaRef ds:uri="c7399858-f709-47a4-9356-cd65dfba68df"/>
    <ds:schemaRef ds:uri="http://schemas.openxmlformats.org/package/2006/metadata/core-properties"/>
    <ds:schemaRef ds:uri="a433be04-1063-452b-9ab8-ba06373cb7cb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E7F72DE-0685-4E4B-90F0-D03D0AFA2D85}"/>
</file>

<file path=customXml/itemProps3.xml><?xml version="1.0" encoding="utf-8"?>
<ds:datastoreItem xmlns:ds="http://schemas.openxmlformats.org/officeDocument/2006/customXml" ds:itemID="{38639DF7-0DFC-47ED-BEB3-EA394F245634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F2C3EB24-BC27-4F99-9F18-88E9BD08DA6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SAIDI excl MEDs sort (5-yr avg)</vt:lpstr>
      <vt:lpstr>SAIDI incl MEDs sort (5-yr avg)</vt:lpstr>
    </vt:vector>
  </TitlesOfParts>
  <Company>CMS Energy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U22070-UCC-CE-0872_Duke_ATT_1.xlsx</dc:title>
  <dc:creator>Douglas F Chapel</dc:creator>
  <cp:lastModifiedBy>Emily M Duke</cp:lastModifiedBy>
  <dcterms:created xsi:type="dcterms:W3CDTF">2026-09-08T14:02:28Z</dcterms:created>
  <dcterms:modified xsi:type="dcterms:W3CDTF">2026-09-11T19:55:17Z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0x01010004F0510777E76340A6CF5198C60F5416</vt:lpwstr>
  </property>
  <property fmtid="{D5CDD505-2E9C-101B-9397-08002B2CF9AE}" pid="3" name="MediaServiceImageTags">
    <vt:lpwstr/>
  </property>
  <property fmtid="{D5CDD505-2E9C-101B-9397-08002B2CF9AE}" pid="4" name="RevIMBCS">
    <vt:lpwstr>18;#LEG-111 Commission Reports and Rate Cases|998772b3-c445-483c-9f09-01b94c960e52</vt:lpwstr>
  </property>
  <property fmtid="{D5CDD505-2E9C-101B-9397-08002B2CF9AE}" pid="5" name="iae2bd6779b34f2984268cd02e48d610">
    <vt:lpwstr>Internal|9cb37ccf-31bf-4b53-baa0-1d2dac2de42a</vt:lpwstr>
  </property>
  <property fmtid="{D5CDD505-2E9C-101B-9397-08002B2CF9AE}" pid="6" name="TaxCatchAll">
    <vt:lpwstr>1;#Internal|9cb37ccf-31bf-4b53-baa0-1d2dac2de42a;#18;#LEG-111 Commission Reports and Rate Cases|998772b3-c445-483c-9f09-01b94c960e52</vt:lpwstr>
  </property>
  <property fmtid="{D5CDD505-2E9C-101B-9397-08002B2CF9AE}" pid="7" name="BusinessCapabilityFunction">
    <vt:lpwstr/>
  </property>
  <property fmtid="{D5CDD505-2E9C-101B-9397-08002B2CF9AE}" pid="8" name="SecurityClassification">
    <vt:lpwstr>1;#Internal|9cb37ccf-31bf-4b53-baa0-1d2dac2de42a</vt:lpwstr>
  </property>
  <property fmtid="{D5CDD505-2E9C-101B-9397-08002B2CF9AE}" pid="9" name="i0f8e3f220f14f439905cc9ec02f45bb">
    <vt:lpwstr/>
  </property>
</Properties>
</file>