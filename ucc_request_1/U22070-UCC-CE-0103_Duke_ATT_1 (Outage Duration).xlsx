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response" sheetId="1" r:id="rId4"/>
    <sheet state="visible" name="Reformatted" sheetId="2" r:id="rId5"/>
  </sheets>
  <definedNames/>
  <calcPr/>
  <extLst>
    <ext uri="GoogleSheetsCustomDataVersion2">
      <go:sheetsCustomData xmlns:go="http://customooxmlschemas.google.com/" r:id="rId6" roundtripDataChecksum="+WAf2YNloelHcMCzXreRth9Hh5vfwacbNBWOTZqgCeA="/>
    </ext>
  </extLst>
</workbook>
</file>

<file path=xl/sharedStrings.xml><?xml version="1.0" encoding="utf-8"?>
<sst xmlns="http://schemas.openxmlformats.org/spreadsheetml/2006/main" count="13" uniqueCount="8">
  <si>
    <t>22070-UCC-CE-0103</t>
  </si>
  <si>
    <t>Attachment 1</t>
  </si>
  <si>
    <t>CURRENT_YR</t>
  </si>
  <si>
    <t>CURRENT_MTH</t>
  </si>
  <si>
    <t>CUSTOMER_DURATION_HRS</t>
  </si>
  <si>
    <t>ANNUAL TOTALS</t>
  </si>
  <si>
    <t>YEAR</t>
  </si>
  <si>
    <t>OUTAGE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</si>
</sst>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1" fillId="2" fontId="2" numFmtId="0" xfId="0" applyBorder="1" applyFill="1" applyFont="1"/>
    <xf borderId="1" fillId="2" fontId="2" numFmtId="3" xfId="0" applyBorder="1" applyFont="1" applyNumberForma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CE Electric Outage Duration (Hrs) By Month, 2019-2026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Reformatted!$C$4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Reformatted!$B$5:$B$94</c:f>
            </c:strRef>
          </c:cat>
          <c:val>
            <c:numRef>
              <c:f>Reformatted!$C$5:$C$94</c:f>
              <c:numCache/>
            </c:numRef>
          </c:val>
          <c:smooth val="0"/>
        </c:ser>
        <c:axId val="952352147"/>
        <c:axId val="189130597"/>
      </c:lineChart>
      <c:catAx>
        <c:axId val="952352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CURRENT_MTH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30597"/>
      </c:catAx>
      <c:valAx>
        <c:axId val="189130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CUSTOMER_DURATION_HRS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352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 Residential Electric Outage Duration By Year, 2019-2026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Reformatted!$I$24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Reformatted!$H$25:$H$32</c:f>
            </c:strRef>
          </c:cat>
          <c:val>
            <c:numRef>
              <c:f>Reformatted!$I$25:$I$32</c:f>
              <c:numCache/>
            </c:numRef>
          </c:val>
          <c:smooth val="0"/>
        </c:ser>
        <c:axId val="991849269"/>
        <c:axId val="1211831750"/>
      </c:lineChart>
      <c:catAx>
        <c:axId val="991849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831750"/>
      </c:catAx>
      <c:valAx>
        <c:axId val="1211831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OUTAGE 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849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3</xdr:row>
      <xdr:rowOff>171450</xdr:rowOff>
    </xdr:from>
    <xdr:ext cx="8134350" cy="3533775"/>
    <xdr:graphicFrame>
      <xdr:nvGraphicFramePr>
        <xdr:cNvPr id="107874555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47625</xdr:colOff>
      <xdr:row>33</xdr:row>
      <xdr:rowOff>123825</xdr:rowOff>
    </xdr:from>
    <xdr:ext cx="10515600" cy="3533775"/>
    <xdr:graphicFrame>
      <xdr:nvGraphicFramePr>
        <xdr:cNvPr id="142678775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4.0"/>
    <col customWidth="1" min="3" max="3" width="25.63"/>
    <col customWidth="1" min="4" max="26" width="8.63"/>
  </cols>
  <sheetData>
    <row r="1">
      <c r="A1" s="1" t="s">
        <v>0</v>
      </c>
      <c r="C1" s="2"/>
    </row>
    <row r="2">
      <c r="A2" s="1" t="s">
        <v>1</v>
      </c>
      <c r="C2" s="2"/>
    </row>
    <row r="3">
      <c r="C3" s="2"/>
    </row>
    <row r="4">
      <c r="A4" s="3" t="s">
        <v>2</v>
      </c>
      <c r="B4" s="3" t="s">
        <v>3</v>
      </c>
      <c r="C4" s="4" t="s">
        <v>4</v>
      </c>
    </row>
    <row r="5">
      <c r="A5" s="1">
        <v>2019.0</v>
      </c>
      <c r="B5" s="1">
        <v>1.0</v>
      </c>
      <c r="C5" s="2">
        <v>300361.892464702</v>
      </c>
    </row>
    <row r="6">
      <c r="A6" s="1">
        <v>2019.0</v>
      </c>
      <c r="B6" s="1">
        <v>2.0</v>
      </c>
      <c r="C6" s="2">
        <v>6721587.45144814</v>
      </c>
    </row>
    <row r="7">
      <c r="A7" s="1">
        <v>2019.0</v>
      </c>
      <c r="B7" s="1">
        <v>3.0</v>
      </c>
      <c r="C7" s="2">
        <v>447906.042444801</v>
      </c>
    </row>
    <row r="8">
      <c r="A8" s="1">
        <v>2019.0</v>
      </c>
      <c r="B8" s="1">
        <v>4.0</v>
      </c>
      <c r="C8" s="2">
        <v>550400.59714883</v>
      </c>
    </row>
    <row r="9">
      <c r="A9" s="1">
        <v>2019.0</v>
      </c>
      <c r="B9" s="1">
        <v>5.0</v>
      </c>
      <c r="C9" s="2">
        <v>537639.35049552</v>
      </c>
    </row>
    <row r="10">
      <c r="A10" s="1">
        <v>2019.0</v>
      </c>
      <c r="B10" s="1">
        <v>6.0</v>
      </c>
      <c r="C10" s="2">
        <v>761807.106043286</v>
      </c>
    </row>
    <row r="11">
      <c r="A11" s="1">
        <v>2019.0</v>
      </c>
      <c r="B11" s="1">
        <v>7.0</v>
      </c>
      <c r="C11" s="2">
        <v>4921819.31396943</v>
      </c>
    </row>
    <row r="12">
      <c r="A12" s="1">
        <v>2019.0</v>
      </c>
      <c r="B12" s="1">
        <v>8.0</v>
      </c>
      <c r="C12" s="2">
        <v>525153.076877865</v>
      </c>
    </row>
    <row r="13">
      <c r="A13" s="1">
        <v>2019.0</v>
      </c>
      <c r="B13" s="1">
        <v>9.0</v>
      </c>
      <c r="C13" s="2">
        <v>990142.464913556</v>
      </c>
    </row>
    <row r="14">
      <c r="A14" s="1">
        <v>2019.0</v>
      </c>
      <c r="B14" s="1">
        <v>10.0</v>
      </c>
      <c r="C14" s="2">
        <v>893073.743786161</v>
      </c>
    </row>
    <row r="15">
      <c r="A15" s="1">
        <v>2019.0</v>
      </c>
      <c r="B15" s="1">
        <v>11.0</v>
      </c>
      <c r="C15" s="2">
        <v>886291.616320707</v>
      </c>
    </row>
    <row r="16">
      <c r="A16" s="1">
        <v>2019.0</v>
      </c>
      <c r="B16" s="1">
        <v>12.0</v>
      </c>
      <c r="C16" s="2">
        <v>1249827.03186914</v>
      </c>
    </row>
    <row r="17">
      <c r="A17" s="1">
        <v>2020.0</v>
      </c>
      <c r="B17" s="1">
        <v>1.0</v>
      </c>
      <c r="C17" s="2">
        <v>240843.053576771</v>
      </c>
    </row>
    <row r="18">
      <c r="A18" s="1">
        <v>2020.0</v>
      </c>
      <c r="B18" s="1">
        <v>2.0</v>
      </c>
      <c r="C18" s="2">
        <v>90556.8255391471</v>
      </c>
    </row>
    <row r="19">
      <c r="A19" s="1">
        <v>2020.0</v>
      </c>
      <c r="B19" s="1">
        <v>3.0</v>
      </c>
      <c r="C19" s="2">
        <v>286662.93829635</v>
      </c>
    </row>
    <row r="20">
      <c r="A20" s="1">
        <v>2020.0</v>
      </c>
      <c r="B20" s="1">
        <v>4.0</v>
      </c>
      <c r="C20" s="2">
        <v>387393.263003055</v>
      </c>
    </row>
    <row r="21" ht="15.75" customHeight="1">
      <c r="A21" s="1">
        <v>2020.0</v>
      </c>
      <c r="B21" s="1">
        <v>5.0</v>
      </c>
      <c r="C21" s="2">
        <v>452704.457169825</v>
      </c>
    </row>
    <row r="22" ht="15.75" customHeight="1">
      <c r="A22" s="1">
        <v>2020.0</v>
      </c>
      <c r="B22" s="1">
        <v>6.0</v>
      </c>
      <c r="C22" s="2">
        <v>6682429.86449941</v>
      </c>
    </row>
    <row r="23" ht="15.75" customHeight="1">
      <c r="A23" s="1">
        <v>2020.0</v>
      </c>
      <c r="B23" s="1">
        <v>7.0</v>
      </c>
      <c r="C23" s="2">
        <v>1437989.62933332</v>
      </c>
    </row>
    <row r="24" ht="15.75" customHeight="1">
      <c r="A24" s="1">
        <v>2020.0</v>
      </c>
      <c r="B24" s="1">
        <v>8.0</v>
      </c>
      <c r="C24" s="2">
        <v>935983.285745302</v>
      </c>
    </row>
    <row r="25" ht="15.75" customHeight="1">
      <c r="A25" s="1">
        <v>2020.0</v>
      </c>
      <c r="B25" s="1">
        <v>9.0</v>
      </c>
      <c r="C25" s="2">
        <v>469448.759372298</v>
      </c>
    </row>
    <row r="26" ht="15.75" customHeight="1">
      <c r="A26" s="1">
        <v>2020.0</v>
      </c>
      <c r="B26" s="1">
        <v>10.0</v>
      </c>
      <c r="C26" s="2">
        <v>429494.138270644</v>
      </c>
    </row>
    <row r="27" ht="15.75" customHeight="1">
      <c r="A27" s="1">
        <v>2020.0</v>
      </c>
      <c r="B27" s="1">
        <v>11.0</v>
      </c>
      <c r="C27" s="2">
        <v>1563935.31601119</v>
      </c>
    </row>
    <row r="28" ht="15.75" customHeight="1">
      <c r="A28" s="1">
        <v>2020.0</v>
      </c>
      <c r="B28" s="1">
        <v>12.0</v>
      </c>
      <c r="C28" s="2">
        <v>874701.285502473</v>
      </c>
    </row>
    <row r="29" ht="15.75" customHeight="1">
      <c r="A29" s="1">
        <v>2021.0</v>
      </c>
      <c r="B29" s="1">
        <v>1.0</v>
      </c>
      <c r="C29" s="2">
        <v>174497.89108728</v>
      </c>
    </row>
    <row r="30" ht="15.75" customHeight="1">
      <c r="A30" s="1">
        <v>2021.0</v>
      </c>
      <c r="B30" s="1">
        <v>2.0</v>
      </c>
      <c r="C30" s="2">
        <v>147637.611089276</v>
      </c>
    </row>
    <row r="31" ht="15.75" customHeight="1">
      <c r="A31" s="1">
        <v>2021.0</v>
      </c>
      <c r="B31" s="1">
        <v>3.0</v>
      </c>
      <c r="C31" s="2">
        <v>418607.700501853</v>
      </c>
    </row>
    <row r="32" ht="15.75" customHeight="1">
      <c r="A32" s="1">
        <v>2021.0</v>
      </c>
      <c r="B32" s="1">
        <v>4.0</v>
      </c>
      <c r="C32" s="2">
        <v>323136.106356284</v>
      </c>
    </row>
    <row r="33" ht="15.75" customHeight="1">
      <c r="A33" s="1">
        <v>2021.0</v>
      </c>
      <c r="B33" s="1">
        <v>5.0</v>
      </c>
      <c r="C33" s="2">
        <v>348674.806344668</v>
      </c>
    </row>
    <row r="34" ht="15.75" customHeight="1">
      <c r="A34" s="1">
        <v>2021.0</v>
      </c>
      <c r="B34" s="1">
        <v>6.0</v>
      </c>
      <c r="C34" s="2">
        <v>1243250.27488428</v>
      </c>
    </row>
    <row r="35" ht="15.75" customHeight="1">
      <c r="A35" s="1">
        <v>2021.0</v>
      </c>
      <c r="B35" s="1">
        <v>7.0</v>
      </c>
      <c r="C35" s="2">
        <v>631370.404368939</v>
      </c>
    </row>
    <row r="36" ht="15.75" customHeight="1">
      <c r="A36" s="1">
        <v>2021.0</v>
      </c>
      <c r="B36" s="1">
        <v>8.0</v>
      </c>
      <c r="C36" s="2">
        <v>1.20795497194378E7</v>
      </c>
    </row>
    <row r="37" ht="15.75" customHeight="1">
      <c r="A37" s="1">
        <v>2021.0</v>
      </c>
      <c r="B37" s="1">
        <v>9.0</v>
      </c>
      <c r="C37" s="2">
        <v>1646481.96544762</v>
      </c>
    </row>
    <row r="38" ht="15.75" customHeight="1">
      <c r="A38" s="1">
        <v>2021.0</v>
      </c>
      <c r="B38" s="1">
        <v>10.0</v>
      </c>
      <c r="C38" s="2">
        <v>504562.795480501</v>
      </c>
    </row>
    <row r="39" ht="15.75" customHeight="1">
      <c r="A39" s="1">
        <v>2021.0</v>
      </c>
      <c r="B39" s="1">
        <v>11.0</v>
      </c>
      <c r="C39" s="2">
        <v>614773.833544069</v>
      </c>
    </row>
    <row r="40" ht="15.75" customHeight="1">
      <c r="A40" s="1">
        <v>2021.0</v>
      </c>
      <c r="B40" s="1">
        <v>12.0</v>
      </c>
      <c r="C40" s="2">
        <v>6352444.5764399</v>
      </c>
    </row>
    <row r="41" ht="15.75" customHeight="1">
      <c r="A41" s="1">
        <v>2022.0</v>
      </c>
      <c r="B41" s="1">
        <v>1.0</v>
      </c>
      <c r="C41" s="2">
        <v>125261.298869027</v>
      </c>
    </row>
    <row r="42" ht="15.75" customHeight="1">
      <c r="A42" s="1">
        <v>2022.0</v>
      </c>
      <c r="B42" s="1">
        <v>2.0</v>
      </c>
      <c r="C42" s="2">
        <v>274104.235516343</v>
      </c>
    </row>
    <row r="43" ht="15.75" customHeight="1">
      <c r="A43" s="1">
        <v>2022.0</v>
      </c>
      <c r="B43" s="1">
        <v>3.0</v>
      </c>
      <c r="C43" s="2">
        <v>630931.651034499</v>
      </c>
    </row>
    <row r="44" ht="15.75" customHeight="1">
      <c r="A44" s="1">
        <v>2022.0</v>
      </c>
      <c r="B44" s="1">
        <v>4.0</v>
      </c>
      <c r="C44" s="2">
        <v>510302.834640449</v>
      </c>
    </row>
    <row r="45" ht="15.75" customHeight="1">
      <c r="A45" s="1">
        <v>2022.0</v>
      </c>
      <c r="B45" s="1">
        <v>5.0</v>
      </c>
      <c r="C45" s="2">
        <v>439260.304933237</v>
      </c>
    </row>
    <row r="46" ht="15.75" customHeight="1">
      <c r="A46" s="1">
        <v>2022.0</v>
      </c>
      <c r="B46" s="1">
        <v>6.0</v>
      </c>
      <c r="C46" s="2">
        <v>942926.764144331</v>
      </c>
    </row>
    <row r="47" ht="15.75" customHeight="1">
      <c r="A47" s="1">
        <v>2022.0</v>
      </c>
      <c r="B47" s="1">
        <v>7.0</v>
      </c>
      <c r="C47" s="2">
        <v>1353740.83333515</v>
      </c>
    </row>
    <row r="48" ht="15.75" customHeight="1">
      <c r="A48" s="1">
        <v>2022.0</v>
      </c>
      <c r="B48" s="1">
        <v>8.0</v>
      </c>
      <c r="C48" s="2">
        <v>4493618.37539066</v>
      </c>
    </row>
    <row r="49" ht="15.75" customHeight="1">
      <c r="A49" s="1">
        <v>2022.0</v>
      </c>
      <c r="B49" s="1">
        <v>9.0</v>
      </c>
      <c r="C49" s="2">
        <v>341633.73850554</v>
      </c>
    </row>
    <row r="50" ht="15.75" customHeight="1">
      <c r="A50" s="1">
        <v>2022.0</v>
      </c>
      <c r="B50" s="1">
        <v>10.0</v>
      </c>
      <c r="C50" s="2">
        <v>643541.585386409</v>
      </c>
    </row>
    <row r="51" ht="15.75" customHeight="1">
      <c r="A51" s="1">
        <v>2022.0</v>
      </c>
      <c r="B51" s="1">
        <v>11.0</v>
      </c>
      <c r="C51" s="2">
        <v>2761680.89721553</v>
      </c>
    </row>
    <row r="52" ht="15.75" customHeight="1">
      <c r="A52" s="1">
        <v>2022.0</v>
      </c>
      <c r="B52" s="1">
        <v>12.0</v>
      </c>
      <c r="C52" s="2">
        <v>468917.400538184</v>
      </c>
    </row>
    <row r="53" ht="15.75" customHeight="1">
      <c r="A53" s="1">
        <v>2023.0</v>
      </c>
      <c r="B53" s="1">
        <v>1.0</v>
      </c>
      <c r="C53" s="2">
        <v>195869.127241764</v>
      </c>
    </row>
    <row r="54" ht="15.75" customHeight="1">
      <c r="A54" s="1">
        <v>2023.0</v>
      </c>
      <c r="B54" s="1">
        <v>2.0</v>
      </c>
      <c r="C54" s="2">
        <v>1.25941915877174E7</v>
      </c>
    </row>
    <row r="55" ht="15.75" customHeight="1">
      <c r="A55" s="1">
        <v>2023.0</v>
      </c>
      <c r="B55" s="1">
        <v>3.0</v>
      </c>
      <c r="C55" s="2">
        <v>635524.227332342</v>
      </c>
    </row>
    <row r="56" ht="15.75" customHeight="1">
      <c r="A56" s="1">
        <v>2023.0</v>
      </c>
      <c r="B56" s="1">
        <v>4.0</v>
      </c>
      <c r="C56" s="2">
        <v>445764.804152764</v>
      </c>
    </row>
    <row r="57" ht="15.75" customHeight="1">
      <c r="A57" s="1">
        <v>2023.0</v>
      </c>
      <c r="B57" s="1">
        <v>5.0</v>
      </c>
      <c r="C57" s="2">
        <v>268706.622761354</v>
      </c>
    </row>
    <row r="58" ht="15.75" customHeight="1">
      <c r="A58" s="1">
        <v>2023.0</v>
      </c>
      <c r="B58" s="1">
        <v>6.0</v>
      </c>
      <c r="C58" s="2">
        <v>774253.170326934</v>
      </c>
    </row>
    <row r="59" ht="15.75" customHeight="1">
      <c r="A59" s="1">
        <v>2023.0</v>
      </c>
      <c r="B59" s="1">
        <v>7.0</v>
      </c>
      <c r="C59" s="2">
        <v>1307866.02114537</v>
      </c>
    </row>
    <row r="60" ht="15.75" customHeight="1">
      <c r="A60" s="1">
        <v>2023.0</v>
      </c>
      <c r="B60" s="1">
        <v>8.0</v>
      </c>
      <c r="C60" s="2">
        <v>7172915.0063062</v>
      </c>
    </row>
    <row r="61" ht="15.75" customHeight="1">
      <c r="A61" s="1">
        <v>2023.0</v>
      </c>
      <c r="B61" s="1">
        <v>9.0</v>
      </c>
      <c r="C61" s="2">
        <v>418458.752090128</v>
      </c>
    </row>
    <row r="62" ht="15.75" customHeight="1">
      <c r="A62" s="1">
        <v>2023.0</v>
      </c>
      <c r="B62" s="1">
        <v>10.0</v>
      </c>
      <c r="C62" s="2">
        <v>1131489.86416607</v>
      </c>
    </row>
    <row r="63" ht="15.75" customHeight="1">
      <c r="A63" s="1">
        <v>2023.0</v>
      </c>
      <c r="B63" s="1">
        <v>11.0</v>
      </c>
      <c r="C63" s="2">
        <v>323180.034370279</v>
      </c>
    </row>
    <row r="64" ht="15.75" customHeight="1">
      <c r="A64" s="1">
        <v>2023.0</v>
      </c>
      <c r="B64" s="1">
        <v>12.0</v>
      </c>
      <c r="C64" s="2">
        <v>501435.989809495</v>
      </c>
    </row>
    <row r="65" ht="15.75" customHeight="1">
      <c r="A65" s="1">
        <v>2024.0</v>
      </c>
      <c r="B65" s="1">
        <v>1.0</v>
      </c>
      <c r="C65" s="2">
        <v>2476628.04005266</v>
      </c>
    </row>
    <row r="66" ht="15.75" customHeight="1">
      <c r="A66" s="1">
        <v>2024.0</v>
      </c>
      <c r="B66" s="1">
        <v>2.0</v>
      </c>
      <c r="C66" s="2">
        <v>364250.544999658</v>
      </c>
    </row>
    <row r="67" ht="15.75" customHeight="1">
      <c r="A67" s="1">
        <v>2024.0</v>
      </c>
      <c r="B67" s="1">
        <v>3.0</v>
      </c>
      <c r="C67" s="2">
        <v>217811.392473377</v>
      </c>
    </row>
    <row r="68" ht="15.75" customHeight="1">
      <c r="A68" s="1">
        <v>2024.0</v>
      </c>
      <c r="B68" s="1">
        <v>4.0</v>
      </c>
      <c r="C68" s="2">
        <v>1158194.51346692</v>
      </c>
    </row>
    <row r="69" ht="15.75" customHeight="1">
      <c r="A69" s="1">
        <v>2024.0</v>
      </c>
      <c r="B69" s="1">
        <v>5.0</v>
      </c>
      <c r="C69" s="2">
        <v>909857.913335306</v>
      </c>
    </row>
    <row r="70" ht="15.75" customHeight="1">
      <c r="A70" s="1">
        <v>2024.0</v>
      </c>
      <c r="B70" s="1">
        <v>6.0</v>
      </c>
      <c r="C70" s="2">
        <v>3666646.57453028</v>
      </c>
    </row>
    <row r="71" ht="15.75" customHeight="1">
      <c r="A71" s="1">
        <v>2024.0</v>
      </c>
      <c r="B71" s="1">
        <v>7.0</v>
      </c>
      <c r="C71" s="2">
        <v>810038.47409866</v>
      </c>
    </row>
    <row r="72" ht="15.75" customHeight="1">
      <c r="A72" s="1">
        <v>2024.0</v>
      </c>
      <c r="B72" s="1">
        <v>8.0</v>
      </c>
      <c r="C72" s="2">
        <v>3752023.96404227</v>
      </c>
    </row>
    <row r="73" ht="15.75" customHeight="1">
      <c r="A73" s="1">
        <v>2024.0</v>
      </c>
      <c r="B73" s="1">
        <v>9.0</v>
      </c>
      <c r="C73" s="2">
        <v>264477.196727815</v>
      </c>
    </row>
    <row r="74" ht="15.75" customHeight="1">
      <c r="A74" s="1">
        <v>2024.0</v>
      </c>
      <c r="B74" s="1">
        <v>10.0</v>
      </c>
      <c r="C74" s="2">
        <v>437290.874088721</v>
      </c>
    </row>
    <row r="75" ht="15.75" customHeight="1">
      <c r="A75" s="1">
        <v>2024.0</v>
      </c>
      <c r="B75" s="1">
        <v>11.0</v>
      </c>
      <c r="C75" s="2">
        <v>256739.564578598</v>
      </c>
    </row>
    <row r="76" ht="15.75" customHeight="1">
      <c r="A76" s="1">
        <v>2024.0</v>
      </c>
      <c r="B76" s="1">
        <v>12.0</v>
      </c>
      <c r="C76" s="2">
        <v>350401.728565046</v>
      </c>
    </row>
    <row r="77" ht="15.75" customHeight="1">
      <c r="A77" s="1">
        <v>2025.0</v>
      </c>
      <c r="B77" s="1">
        <v>1.0</v>
      </c>
      <c r="C77" s="2">
        <v>136642.980315705</v>
      </c>
    </row>
    <row r="78" ht="15.75" customHeight="1">
      <c r="A78" s="1">
        <v>2025.0</v>
      </c>
      <c r="B78" s="1">
        <v>2.0</v>
      </c>
      <c r="C78" s="2">
        <v>243034.685739593</v>
      </c>
    </row>
    <row r="79" ht="15.75" customHeight="1">
      <c r="A79" s="1">
        <v>2025.0</v>
      </c>
      <c r="B79" s="1">
        <v>3.0</v>
      </c>
      <c r="C79" s="2">
        <v>8253964.58538724</v>
      </c>
    </row>
    <row r="80" ht="15.75" customHeight="1">
      <c r="A80" s="1">
        <v>2025.0</v>
      </c>
      <c r="B80" s="1">
        <v>4.0</v>
      </c>
      <c r="C80" s="2">
        <v>1243105.98577359</v>
      </c>
    </row>
    <row r="81" ht="15.75" customHeight="1">
      <c r="A81" s="1">
        <v>2025.0</v>
      </c>
      <c r="B81" s="1">
        <v>5.0</v>
      </c>
      <c r="C81" s="2">
        <v>7529995.45929111</v>
      </c>
    </row>
    <row r="82" ht="15.75" customHeight="1">
      <c r="A82" s="1">
        <v>2025.0</v>
      </c>
      <c r="B82" s="1">
        <v>6.0</v>
      </c>
      <c r="C82" s="2">
        <v>847038.479000457</v>
      </c>
    </row>
    <row r="83" ht="15.75" customHeight="1">
      <c r="A83" s="1">
        <v>2025.0</v>
      </c>
      <c r="B83" s="1">
        <v>7.0</v>
      </c>
      <c r="C83" s="2">
        <v>1017379.54523392</v>
      </c>
    </row>
    <row r="84" ht="15.75" customHeight="1">
      <c r="A84" s="1">
        <v>2025.0</v>
      </c>
      <c r="B84" s="1">
        <v>8.0</v>
      </c>
      <c r="C84" s="2">
        <v>473735.379189142</v>
      </c>
    </row>
    <row r="85" ht="15.75" customHeight="1">
      <c r="A85" s="1">
        <v>2025.0</v>
      </c>
      <c r="B85" s="1">
        <v>9.0</v>
      </c>
      <c r="C85" s="2">
        <v>316689.831236841</v>
      </c>
    </row>
    <row r="86" ht="15.75" customHeight="1">
      <c r="A86" s="1">
        <v>2025.0</v>
      </c>
      <c r="B86" s="1">
        <v>10.0</v>
      </c>
      <c r="C86" s="2">
        <v>312241.239820315</v>
      </c>
    </row>
    <row r="87" ht="15.75" customHeight="1">
      <c r="A87" s="1">
        <v>2025.0</v>
      </c>
      <c r="B87" s="1">
        <v>11.0</v>
      </c>
      <c r="C87" s="2">
        <v>486242.603743407</v>
      </c>
    </row>
    <row r="88" ht="15.75" customHeight="1">
      <c r="A88" s="1">
        <v>2025.0</v>
      </c>
      <c r="B88" s="1">
        <v>12.0</v>
      </c>
      <c r="C88" s="2">
        <v>2469930.06828194</v>
      </c>
    </row>
    <row r="89" ht="15.75" customHeight="1">
      <c r="A89" s="1">
        <v>2026.0</v>
      </c>
      <c r="B89" s="1">
        <v>1.0</v>
      </c>
      <c r="C89" s="2">
        <v>261165.178449354</v>
      </c>
    </row>
    <row r="90" ht="15.75" customHeight="1">
      <c r="A90" s="1">
        <v>2026.0</v>
      </c>
      <c r="B90" s="1">
        <v>2.0</v>
      </c>
      <c r="C90" s="2">
        <v>185711.330504995</v>
      </c>
    </row>
    <row r="91" ht="15.75" customHeight="1">
      <c r="A91" s="1">
        <v>2026.0</v>
      </c>
      <c r="B91" s="1">
        <v>3.0</v>
      </c>
      <c r="C91" s="2">
        <v>5405259.2902768</v>
      </c>
    </row>
    <row r="92" ht="15.75" customHeight="1">
      <c r="A92" s="1">
        <v>2026.0</v>
      </c>
      <c r="B92" s="1">
        <v>4.0</v>
      </c>
      <c r="C92" s="2">
        <v>2276181.12786822</v>
      </c>
    </row>
    <row r="93" ht="15.75" customHeight="1">
      <c r="A93" s="1">
        <v>2026.0</v>
      </c>
      <c r="B93" s="1">
        <v>5.0</v>
      </c>
      <c r="C93" s="2">
        <v>994833.508606069</v>
      </c>
    </row>
    <row r="94" ht="15.75" customHeight="1">
      <c r="A94" s="1">
        <v>2026.0</v>
      </c>
      <c r="B94" s="1">
        <v>6.0</v>
      </c>
      <c r="C94" s="2">
        <v>2183216.92494321</v>
      </c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4.0"/>
    <col customWidth="1" min="3" max="3" width="25.63"/>
    <col customWidth="1" min="4" max="4" width="10.38"/>
    <col customWidth="1" hidden="1" min="5" max="5" width="8.63"/>
    <col customWidth="1" min="6" max="26" width="8.63"/>
  </cols>
  <sheetData>
    <row r="1">
      <c r="A1" s="1" t="s">
        <v>0</v>
      </c>
      <c r="C1" s="2"/>
    </row>
    <row r="2">
      <c r="A2" s="1" t="s">
        <v>1</v>
      </c>
      <c r="C2" s="2"/>
    </row>
    <row r="3">
      <c r="C3" s="2"/>
    </row>
    <row r="4">
      <c r="A4" s="3" t="s">
        <v>2</v>
      </c>
      <c r="B4" s="3" t="s">
        <v>3</v>
      </c>
      <c r="C4" s="4" t="s">
        <v>4</v>
      </c>
      <c r="D4" s="5" t="s">
        <v>5</v>
      </c>
    </row>
    <row r="5">
      <c r="A5" s="1">
        <v>2019.0</v>
      </c>
      <c r="B5" s="6">
        <v>43466.0</v>
      </c>
      <c r="C5" s="2">
        <v>300361.892464702</v>
      </c>
    </row>
    <row r="6">
      <c r="A6" s="1">
        <v>2019.0</v>
      </c>
      <c r="B6" s="6">
        <v>43497.0</v>
      </c>
      <c r="C6" s="2">
        <v>6721587.45144814</v>
      </c>
    </row>
    <row r="7">
      <c r="A7" s="1">
        <v>2019.0</v>
      </c>
      <c r="B7" s="6">
        <v>43525.0</v>
      </c>
      <c r="C7" s="2">
        <v>447906.042444801</v>
      </c>
    </row>
    <row r="8">
      <c r="A8" s="1">
        <v>2019.0</v>
      </c>
      <c r="B8" s="6">
        <v>43556.0</v>
      </c>
      <c r="C8" s="2">
        <v>550400.59714883</v>
      </c>
    </row>
    <row r="9">
      <c r="A9" s="1">
        <v>2019.0</v>
      </c>
      <c r="B9" s="6">
        <v>43586.0</v>
      </c>
      <c r="C9" s="2">
        <v>537639.35049552</v>
      </c>
    </row>
    <row r="10">
      <c r="A10" s="1">
        <v>2019.0</v>
      </c>
      <c r="B10" s="6">
        <v>43617.0</v>
      </c>
      <c r="C10" s="2">
        <v>761807.106043286</v>
      </c>
    </row>
    <row r="11">
      <c r="A11" s="1">
        <v>2019.0</v>
      </c>
      <c r="B11" s="6">
        <v>43647.0</v>
      </c>
      <c r="C11" s="2">
        <v>4921819.31396943</v>
      </c>
    </row>
    <row r="12">
      <c r="A12" s="1">
        <v>2019.0</v>
      </c>
      <c r="B12" s="6">
        <v>43678.0</v>
      </c>
      <c r="C12" s="2">
        <v>525153.076877865</v>
      </c>
    </row>
    <row r="13">
      <c r="A13" s="1">
        <v>2019.0</v>
      </c>
      <c r="B13" s="6">
        <v>43709.0</v>
      </c>
      <c r="C13" s="2">
        <v>990142.464913556</v>
      </c>
    </row>
    <row r="14">
      <c r="A14" s="1">
        <v>2019.0</v>
      </c>
      <c r="B14" s="6">
        <v>43739.0</v>
      </c>
      <c r="C14" s="2">
        <v>893073.743786161</v>
      </c>
    </row>
    <row r="15">
      <c r="A15" s="1">
        <v>2019.0</v>
      </c>
      <c r="B15" s="6">
        <v>43770.0</v>
      </c>
      <c r="C15" s="2">
        <v>886291.616320707</v>
      </c>
      <c r="D15" s="5">
        <f>A15</f>
        <v>2019</v>
      </c>
      <c r="E15" s="7">
        <f>D16</f>
        <v>18786009.69</v>
      </c>
    </row>
    <row r="16">
      <c r="A16" s="1">
        <v>2019.0</v>
      </c>
      <c r="B16" s="6">
        <v>43800.0</v>
      </c>
      <c r="C16" s="2">
        <v>1249827.03186914</v>
      </c>
      <c r="D16" s="7">
        <f>SUM(C5:C16)</f>
        <v>18786009.69</v>
      </c>
    </row>
    <row r="17">
      <c r="A17" s="1">
        <v>2020.0</v>
      </c>
      <c r="B17" s="6">
        <v>43831.0</v>
      </c>
      <c r="C17" s="2">
        <v>240843.053576771</v>
      </c>
    </row>
    <row r="18">
      <c r="A18" s="1">
        <v>2020.0</v>
      </c>
      <c r="B18" s="6">
        <v>43862.0</v>
      </c>
      <c r="C18" s="2">
        <v>90556.8255391471</v>
      </c>
    </row>
    <row r="19">
      <c r="A19" s="1">
        <v>2020.0</v>
      </c>
      <c r="B19" s="6">
        <v>43891.0</v>
      </c>
      <c r="C19" s="2">
        <v>286662.93829635</v>
      </c>
    </row>
    <row r="20">
      <c r="A20" s="1">
        <v>2020.0</v>
      </c>
      <c r="B20" s="6">
        <v>43922.0</v>
      </c>
      <c r="C20" s="2">
        <v>387393.263003055</v>
      </c>
    </row>
    <row r="21" ht="15.75" customHeight="1">
      <c r="A21" s="1">
        <v>2020.0</v>
      </c>
      <c r="B21" s="6">
        <v>43952.0</v>
      </c>
      <c r="C21" s="2">
        <v>452704.457169825</v>
      </c>
    </row>
    <row r="22" ht="15.75" customHeight="1">
      <c r="A22" s="1">
        <v>2020.0</v>
      </c>
      <c r="B22" s="6">
        <v>43983.0</v>
      </c>
      <c r="C22" s="2">
        <v>6682429.86449941</v>
      </c>
    </row>
    <row r="23" ht="15.75" customHeight="1">
      <c r="A23" s="1">
        <v>2020.0</v>
      </c>
      <c r="B23" s="6">
        <v>44013.0</v>
      </c>
      <c r="C23" s="2">
        <v>1437989.62933332</v>
      </c>
    </row>
    <row r="24" ht="15.75" customHeight="1">
      <c r="A24" s="1">
        <v>2020.0</v>
      </c>
      <c r="B24" s="6">
        <v>44044.0</v>
      </c>
      <c r="C24" s="2">
        <v>935983.285745302</v>
      </c>
      <c r="H24" s="5" t="s">
        <v>6</v>
      </c>
      <c r="I24" s="5" t="s">
        <v>7</v>
      </c>
    </row>
    <row r="25" ht="15.75" customHeight="1">
      <c r="A25" s="1">
        <v>2020.0</v>
      </c>
      <c r="B25" s="6">
        <v>44075.0</v>
      </c>
      <c r="C25" s="2">
        <v>469448.759372298</v>
      </c>
      <c r="H25" s="1">
        <f t="shared" ref="H25:I25" si="1">D15</f>
        <v>2019</v>
      </c>
      <c r="I25" s="7">
        <f t="shared" si="1"/>
        <v>18786009.69</v>
      </c>
    </row>
    <row r="26" ht="15.75" customHeight="1">
      <c r="A26" s="1">
        <v>2020.0</v>
      </c>
      <c r="B26" s="6">
        <v>44105.0</v>
      </c>
      <c r="C26" s="2">
        <v>429494.138270644</v>
      </c>
      <c r="G26" s="7"/>
      <c r="H26" s="1">
        <f t="shared" ref="H26:I26" si="2">D27</f>
        <v>2020</v>
      </c>
      <c r="I26" s="7">
        <f t="shared" si="2"/>
        <v>13852142.82</v>
      </c>
    </row>
    <row r="27" ht="15.75" customHeight="1">
      <c r="A27" s="1">
        <v>2020.0</v>
      </c>
      <c r="B27" s="6">
        <v>44136.0</v>
      </c>
      <c r="C27" s="2">
        <v>1563935.31601119</v>
      </c>
      <c r="D27" s="5">
        <f>A27</f>
        <v>2020</v>
      </c>
      <c r="E27" s="7">
        <f>D28</f>
        <v>13852142.82</v>
      </c>
      <c r="H27" s="1">
        <f t="shared" ref="H27:I27" si="3">D39</f>
        <v>2021</v>
      </c>
      <c r="I27" s="7">
        <f t="shared" si="3"/>
        <v>24484987.68</v>
      </c>
    </row>
    <row r="28" ht="15.75" customHeight="1">
      <c r="A28" s="1">
        <v>2020.0</v>
      </c>
      <c r="B28" s="6">
        <v>44166.0</v>
      </c>
      <c r="C28" s="2">
        <v>874701.285502473</v>
      </c>
      <c r="D28" s="7">
        <f>SUM(C17:C28)</f>
        <v>13852142.82</v>
      </c>
      <c r="H28" s="1">
        <f t="shared" ref="H28:I28" si="4">D51</f>
        <v>2022</v>
      </c>
      <c r="I28" s="7">
        <f t="shared" si="4"/>
        <v>12985919.92</v>
      </c>
    </row>
    <row r="29" ht="15.75" customHeight="1">
      <c r="A29" s="1">
        <v>2021.0</v>
      </c>
      <c r="B29" s="6">
        <v>44197.0</v>
      </c>
      <c r="C29" s="2">
        <v>174497.89108728</v>
      </c>
      <c r="H29" s="1">
        <f t="shared" ref="H29:I29" si="5">D63</f>
        <v>2023</v>
      </c>
      <c r="I29" s="7">
        <f t="shared" si="5"/>
        <v>25769655.21</v>
      </c>
    </row>
    <row r="30" ht="15.75" customHeight="1">
      <c r="A30" s="1">
        <v>2021.0</v>
      </c>
      <c r="B30" s="6">
        <v>44228.0</v>
      </c>
      <c r="C30" s="2">
        <v>147637.611089276</v>
      </c>
      <c r="H30" s="1">
        <f t="shared" ref="H30:I30" si="6">D75</f>
        <v>2024</v>
      </c>
      <c r="I30" s="7">
        <f t="shared" si="6"/>
        <v>14664360.78</v>
      </c>
    </row>
    <row r="31" ht="15.75" customHeight="1">
      <c r="A31" s="1">
        <v>2021.0</v>
      </c>
      <c r="B31" s="6">
        <v>44256.0</v>
      </c>
      <c r="C31" s="2">
        <v>418607.700501853</v>
      </c>
      <c r="H31" s="1">
        <f t="shared" ref="H31:I31" si="7">D87</f>
        <v>2025</v>
      </c>
      <c r="I31" s="7">
        <f t="shared" si="7"/>
        <v>23330000.84</v>
      </c>
    </row>
    <row r="32" ht="15.75" customHeight="1">
      <c r="A32" s="1">
        <v>2021.0</v>
      </c>
      <c r="B32" s="6">
        <v>44287.0</v>
      </c>
      <c r="C32" s="2">
        <v>323136.106356284</v>
      </c>
      <c r="H32" s="1">
        <f t="shared" ref="H32:I32" si="8">D93</f>
        <v>2026</v>
      </c>
      <c r="I32" s="7">
        <f t="shared" si="8"/>
        <v>22612734.72</v>
      </c>
    </row>
    <row r="33" ht="15.75" customHeight="1">
      <c r="A33" s="1">
        <v>2021.0</v>
      </c>
      <c r="B33" s="6">
        <v>44317.0</v>
      </c>
      <c r="C33" s="2">
        <v>348674.806344668</v>
      </c>
    </row>
    <row r="34" ht="15.75" customHeight="1">
      <c r="A34" s="1">
        <v>2021.0</v>
      </c>
      <c r="B34" s="6">
        <v>44348.0</v>
      </c>
      <c r="C34" s="2">
        <v>1243250.27488428</v>
      </c>
    </row>
    <row r="35" ht="15.75" customHeight="1">
      <c r="A35" s="1">
        <v>2021.0</v>
      </c>
      <c r="B35" s="6">
        <v>44378.0</v>
      </c>
      <c r="C35" s="2">
        <v>631370.404368939</v>
      </c>
    </row>
    <row r="36" ht="15.75" customHeight="1">
      <c r="A36" s="1">
        <v>2021.0</v>
      </c>
      <c r="B36" s="6">
        <v>44409.0</v>
      </c>
      <c r="C36" s="2">
        <v>1.20795497194378E7</v>
      </c>
    </row>
    <row r="37" ht="15.75" customHeight="1">
      <c r="A37" s="1">
        <v>2021.0</v>
      </c>
      <c r="B37" s="6">
        <v>44440.0</v>
      </c>
      <c r="C37" s="2">
        <v>1646481.96544762</v>
      </c>
    </row>
    <row r="38" ht="15.75" customHeight="1">
      <c r="A38" s="1">
        <v>2021.0</v>
      </c>
      <c r="B38" s="6">
        <v>44470.0</v>
      </c>
      <c r="C38" s="2">
        <v>504562.795480501</v>
      </c>
    </row>
    <row r="39" ht="15.75" customHeight="1">
      <c r="A39" s="1">
        <v>2021.0</v>
      </c>
      <c r="B39" s="6">
        <v>44501.0</v>
      </c>
      <c r="C39" s="2">
        <v>614773.833544069</v>
      </c>
      <c r="D39" s="5">
        <f>A39</f>
        <v>2021</v>
      </c>
      <c r="E39" s="7">
        <f>D40</f>
        <v>24484987.68</v>
      </c>
    </row>
    <row r="40" ht="15.75" customHeight="1">
      <c r="A40" s="1">
        <v>2021.0</v>
      </c>
      <c r="B40" s="6">
        <v>44531.0</v>
      </c>
      <c r="C40" s="2">
        <v>6352444.5764399</v>
      </c>
      <c r="D40" s="7">
        <f>SUM(C29:C40)</f>
        <v>24484987.68</v>
      </c>
    </row>
    <row r="41" ht="15.75" customHeight="1">
      <c r="A41" s="1">
        <v>2022.0</v>
      </c>
      <c r="B41" s="6">
        <v>44562.0</v>
      </c>
      <c r="C41" s="2">
        <v>125261.298869027</v>
      </c>
    </row>
    <row r="42" ht="15.75" customHeight="1">
      <c r="A42" s="1">
        <v>2022.0</v>
      </c>
      <c r="B42" s="6">
        <v>44593.0</v>
      </c>
      <c r="C42" s="2">
        <v>274104.235516343</v>
      </c>
    </row>
    <row r="43" ht="15.75" customHeight="1">
      <c r="A43" s="1">
        <v>2022.0</v>
      </c>
      <c r="B43" s="6">
        <v>44621.0</v>
      </c>
      <c r="C43" s="2">
        <v>630931.651034499</v>
      </c>
    </row>
    <row r="44" ht="15.75" customHeight="1">
      <c r="A44" s="1">
        <v>2022.0</v>
      </c>
      <c r="B44" s="6">
        <v>44652.0</v>
      </c>
      <c r="C44" s="2">
        <v>510302.834640449</v>
      </c>
    </row>
    <row r="45" ht="15.75" customHeight="1">
      <c r="A45" s="1">
        <v>2022.0</v>
      </c>
      <c r="B45" s="6">
        <v>44682.0</v>
      </c>
      <c r="C45" s="2">
        <v>439260.304933237</v>
      </c>
    </row>
    <row r="46" ht="15.75" customHeight="1">
      <c r="A46" s="1">
        <v>2022.0</v>
      </c>
      <c r="B46" s="6">
        <v>44713.0</v>
      </c>
      <c r="C46" s="2">
        <v>942926.764144331</v>
      </c>
    </row>
    <row r="47" ht="15.75" customHeight="1">
      <c r="A47" s="1">
        <v>2022.0</v>
      </c>
      <c r="B47" s="6">
        <v>44743.0</v>
      </c>
      <c r="C47" s="2">
        <v>1353740.83333515</v>
      </c>
    </row>
    <row r="48" ht="15.75" customHeight="1">
      <c r="A48" s="1">
        <v>2022.0</v>
      </c>
      <c r="B48" s="6">
        <v>44774.0</v>
      </c>
      <c r="C48" s="2">
        <v>4493618.37539066</v>
      </c>
    </row>
    <row r="49" ht="15.75" customHeight="1">
      <c r="A49" s="1">
        <v>2022.0</v>
      </c>
      <c r="B49" s="6">
        <v>44805.0</v>
      </c>
      <c r="C49" s="2">
        <v>341633.73850554</v>
      </c>
    </row>
    <row r="50" ht="15.75" customHeight="1">
      <c r="A50" s="1">
        <v>2022.0</v>
      </c>
      <c r="B50" s="6">
        <v>44835.0</v>
      </c>
      <c r="C50" s="2">
        <v>643541.585386409</v>
      </c>
    </row>
    <row r="51" ht="15.75" customHeight="1">
      <c r="A51" s="1">
        <v>2022.0</v>
      </c>
      <c r="B51" s="6">
        <v>44866.0</v>
      </c>
      <c r="C51" s="2">
        <v>2761680.89721553</v>
      </c>
      <c r="D51" s="5">
        <f>A51</f>
        <v>2022</v>
      </c>
      <c r="E51" s="7">
        <f>D52</f>
        <v>12985919.92</v>
      </c>
    </row>
    <row r="52" ht="15.75" customHeight="1">
      <c r="A52" s="1">
        <v>2022.0</v>
      </c>
      <c r="B52" s="6">
        <v>44896.0</v>
      </c>
      <c r="C52" s="2">
        <v>468917.400538184</v>
      </c>
      <c r="D52" s="7">
        <f>SUM(C41:C52)</f>
        <v>12985919.92</v>
      </c>
    </row>
    <row r="53" ht="15.75" customHeight="1">
      <c r="A53" s="1">
        <v>2023.0</v>
      </c>
      <c r="B53" s="6">
        <v>44927.0</v>
      </c>
      <c r="C53" s="2">
        <v>195869.127241764</v>
      </c>
    </row>
    <row r="54" ht="15.75" customHeight="1">
      <c r="A54" s="1">
        <v>2023.0</v>
      </c>
      <c r="B54" s="6">
        <v>44958.0</v>
      </c>
      <c r="C54" s="2">
        <v>1.25941915877174E7</v>
      </c>
    </row>
    <row r="55" ht="15.75" customHeight="1">
      <c r="A55" s="1">
        <v>2023.0</v>
      </c>
      <c r="B55" s="6">
        <v>44986.0</v>
      </c>
      <c r="C55" s="2">
        <v>635524.227332342</v>
      </c>
    </row>
    <row r="56" ht="15.75" customHeight="1">
      <c r="A56" s="1">
        <v>2023.0</v>
      </c>
      <c r="B56" s="6">
        <v>45017.0</v>
      </c>
      <c r="C56" s="2">
        <v>445764.804152764</v>
      </c>
    </row>
    <row r="57" ht="15.75" customHeight="1">
      <c r="A57" s="1">
        <v>2023.0</v>
      </c>
      <c r="B57" s="6">
        <v>45047.0</v>
      </c>
      <c r="C57" s="2">
        <v>268706.622761354</v>
      </c>
    </row>
    <row r="58" ht="15.75" customHeight="1">
      <c r="A58" s="1">
        <v>2023.0</v>
      </c>
      <c r="B58" s="6">
        <v>45078.0</v>
      </c>
      <c r="C58" s="2">
        <v>774253.170326934</v>
      </c>
    </row>
    <row r="59" ht="15.75" customHeight="1">
      <c r="A59" s="1">
        <v>2023.0</v>
      </c>
      <c r="B59" s="6">
        <v>45108.0</v>
      </c>
      <c r="C59" s="2">
        <v>1307866.02114537</v>
      </c>
    </row>
    <row r="60" ht="15.75" customHeight="1">
      <c r="A60" s="1">
        <v>2023.0</v>
      </c>
      <c r="B60" s="6">
        <v>45139.0</v>
      </c>
      <c r="C60" s="2">
        <v>7172915.0063062</v>
      </c>
    </row>
    <row r="61" ht="15.75" customHeight="1">
      <c r="A61" s="1">
        <v>2023.0</v>
      </c>
      <c r="B61" s="6">
        <v>45170.0</v>
      </c>
      <c r="C61" s="2">
        <v>418458.752090128</v>
      </c>
    </row>
    <row r="62" ht="15.75" customHeight="1">
      <c r="A62" s="1">
        <v>2023.0</v>
      </c>
      <c r="B62" s="6">
        <v>45200.0</v>
      </c>
      <c r="C62" s="2">
        <v>1131489.86416607</v>
      </c>
    </row>
    <row r="63" ht="15.75" customHeight="1">
      <c r="A63" s="1">
        <v>2023.0</v>
      </c>
      <c r="B63" s="6">
        <v>45231.0</v>
      </c>
      <c r="C63" s="2">
        <v>323180.034370279</v>
      </c>
      <c r="D63" s="5">
        <f>A63</f>
        <v>2023</v>
      </c>
      <c r="E63" s="7">
        <f>D64</f>
        <v>25769655.21</v>
      </c>
    </row>
    <row r="64" ht="15.75" customHeight="1">
      <c r="A64" s="1">
        <v>2023.0</v>
      </c>
      <c r="B64" s="6">
        <v>45261.0</v>
      </c>
      <c r="C64" s="2">
        <v>501435.989809495</v>
      </c>
      <c r="D64" s="7">
        <f>SUM(C53:C64)</f>
        <v>25769655.21</v>
      </c>
    </row>
    <row r="65" ht="15.75" customHeight="1">
      <c r="A65" s="1">
        <v>2024.0</v>
      </c>
      <c r="B65" s="6">
        <v>45292.0</v>
      </c>
      <c r="C65" s="2">
        <v>2476628.04005266</v>
      </c>
    </row>
    <row r="66" ht="15.75" customHeight="1">
      <c r="A66" s="1">
        <v>2024.0</v>
      </c>
      <c r="B66" s="6">
        <v>45323.0</v>
      </c>
      <c r="C66" s="2">
        <v>364250.544999658</v>
      </c>
    </row>
    <row r="67" ht="15.75" customHeight="1">
      <c r="A67" s="1">
        <v>2024.0</v>
      </c>
      <c r="B67" s="6">
        <v>45352.0</v>
      </c>
      <c r="C67" s="2">
        <v>217811.392473377</v>
      </c>
    </row>
    <row r="68" ht="15.75" customHeight="1">
      <c r="A68" s="1">
        <v>2024.0</v>
      </c>
      <c r="B68" s="6">
        <v>45383.0</v>
      </c>
      <c r="C68" s="2">
        <v>1158194.51346692</v>
      </c>
    </row>
    <row r="69" ht="15.75" customHeight="1">
      <c r="A69" s="1">
        <v>2024.0</v>
      </c>
      <c r="B69" s="6">
        <v>45413.0</v>
      </c>
      <c r="C69" s="2">
        <v>909857.913335306</v>
      </c>
    </row>
    <row r="70" ht="15.75" customHeight="1">
      <c r="A70" s="1">
        <v>2024.0</v>
      </c>
      <c r="B70" s="6">
        <v>45444.0</v>
      </c>
      <c r="C70" s="2">
        <v>3666646.57453028</v>
      </c>
    </row>
    <row r="71" ht="15.75" customHeight="1">
      <c r="A71" s="1">
        <v>2024.0</v>
      </c>
      <c r="B71" s="6">
        <v>45474.0</v>
      </c>
      <c r="C71" s="2">
        <v>810038.47409866</v>
      </c>
    </row>
    <row r="72" ht="15.75" customHeight="1">
      <c r="A72" s="1">
        <v>2024.0</v>
      </c>
      <c r="B72" s="6">
        <v>45505.0</v>
      </c>
      <c r="C72" s="2">
        <v>3752023.96404227</v>
      </c>
    </row>
    <row r="73" ht="15.75" customHeight="1">
      <c r="A73" s="1">
        <v>2024.0</v>
      </c>
      <c r="B73" s="6">
        <v>45536.0</v>
      </c>
      <c r="C73" s="2">
        <v>264477.196727815</v>
      </c>
    </row>
    <row r="74" ht="15.75" customHeight="1">
      <c r="A74" s="1">
        <v>2024.0</v>
      </c>
      <c r="B74" s="6">
        <v>45566.0</v>
      </c>
      <c r="C74" s="2">
        <v>437290.874088721</v>
      </c>
    </row>
    <row r="75" ht="15.75" customHeight="1">
      <c r="A75" s="1">
        <v>2024.0</v>
      </c>
      <c r="B75" s="6">
        <v>45597.0</v>
      </c>
      <c r="C75" s="2">
        <v>256739.564578598</v>
      </c>
      <c r="D75" s="5">
        <f>A75</f>
        <v>2024</v>
      </c>
      <c r="E75" s="7">
        <f>D76</f>
        <v>14664360.78</v>
      </c>
    </row>
    <row r="76" ht="15.75" customHeight="1">
      <c r="A76" s="1">
        <v>2024.0</v>
      </c>
      <c r="B76" s="6">
        <v>45627.0</v>
      </c>
      <c r="C76" s="2">
        <v>350401.728565046</v>
      </c>
      <c r="D76" s="7">
        <f>SUM(C65:C76)</f>
        <v>14664360.78</v>
      </c>
    </row>
    <row r="77" ht="15.75" customHeight="1">
      <c r="A77" s="1">
        <v>2025.0</v>
      </c>
      <c r="B77" s="6">
        <v>45658.0</v>
      </c>
      <c r="C77" s="2">
        <v>136642.980315705</v>
      </c>
    </row>
    <row r="78" ht="15.75" customHeight="1">
      <c r="A78" s="1">
        <v>2025.0</v>
      </c>
      <c r="B78" s="6">
        <v>45689.0</v>
      </c>
      <c r="C78" s="2">
        <v>243034.685739593</v>
      </c>
    </row>
    <row r="79" ht="15.75" customHeight="1">
      <c r="A79" s="1">
        <v>2025.0</v>
      </c>
      <c r="B79" s="6">
        <v>45717.0</v>
      </c>
      <c r="C79" s="2">
        <v>8253964.58538724</v>
      </c>
    </row>
    <row r="80" ht="15.75" customHeight="1">
      <c r="A80" s="1">
        <v>2025.0</v>
      </c>
      <c r="B80" s="6">
        <v>45748.0</v>
      </c>
      <c r="C80" s="2">
        <v>1243105.98577359</v>
      </c>
    </row>
    <row r="81" ht="15.75" customHeight="1">
      <c r="A81" s="1">
        <v>2025.0</v>
      </c>
      <c r="B81" s="6">
        <v>45778.0</v>
      </c>
      <c r="C81" s="2">
        <v>7529995.45929111</v>
      </c>
    </row>
    <row r="82" ht="15.75" customHeight="1">
      <c r="A82" s="1">
        <v>2025.0</v>
      </c>
      <c r="B82" s="6">
        <v>45809.0</v>
      </c>
      <c r="C82" s="2">
        <v>847038.479000457</v>
      </c>
    </row>
    <row r="83" ht="15.75" customHeight="1">
      <c r="A83" s="1">
        <v>2025.0</v>
      </c>
      <c r="B83" s="6">
        <v>45839.0</v>
      </c>
      <c r="C83" s="2">
        <v>1017379.54523392</v>
      </c>
    </row>
    <row r="84" ht="15.75" customHeight="1">
      <c r="A84" s="1">
        <v>2025.0</v>
      </c>
      <c r="B84" s="6">
        <v>45870.0</v>
      </c>
      <c r="C84" s="2">
        <v>473735.379189142</v>
      </c>
    </row>
    <row r="85" ht="15.75" customHeight="1">
      <c r="A85" s="1">
        <v>2025.0</v>
      </c>
      <c r="B85" s="6">
        <v>45901.0</v>
      </c>
      <c r="C85" s="2">
        <v>316689.831236841</v>
      </c>
    </row>
    <row r="86" ht="15.75" customHeight="1">
      <c r="A86" s="1">
        <v>2025.0</v>
      </c>
      <c r="B86" s="6">
        <v>45931.0</v>
      </c>
      <c r="C86" s="2">
        <v>312241.239820315</v>
      </c>
    </row>
    <row r="87" ht="15.75" customHeight="1">
      <c r="A87" s="1">
        <v>2025.0</v>
      </c>
      <c r="B87" s="6">
        <v>45962.0</v>
      </c>
      <c r="C87" s="2">
        <v>486242.603743407</v>
      </c>
      <c r="D87" s="5">
        <f>A87</f>
        <v>2025</v>
      </c>
      <c r="E87" s="7">
        <f>D88</f>
        <v>23330000.84</v>
      </c>
    </row>
    <row r="88" ht="15.75" customHeight="1">
      <c r="A88" s="1">
        <v>2025.0</v>
      </c>
      <c r="B88" s="6">
        <v>45992.0</v>
      </c>
      <c r="C88" s="2">
        <v>2469930.06828194</v>
      </c>
      <c r="D88" s="7">
        <f>SUM(C77:C88)</f>
        <v>23330000.84</v>
      </c>
    </row>
    <row r="89" ht="15.75" customHeight="1">
      <c r="A89" s="1">
        <v>2026.0</v>
      </c>
      <c r="B89" s="6">
        <v>46023.0</v>
      </c>
      <c r="C89" s="2">
        <v>261165.178449354</v>
      </c>
    </row>
    <row r="90" ht="15.75" customHeight="1">
      <c r="A90" s="1">
        <v>2026.0</v>
      </c>
      <c r="B90" s="6">
        <v>46054.0</v>
      </c>
      <c r="C90" s="2">
        <v>185711.330504995</v>
      </c>
    </row>
    <row r="91" ht="15.75" customHeight="1">
      <c r="A91" s="1">
        <v>2026.0</v>
      </c>
      <c r="B91" s="6">
        <v>46082.0</v>
      </c>
      <c r="C91" s="2">
        <v>5405259.2902768</v>
      </c>
    </row>
    <row r="92" ht="15.75" customHeight="1">
      <c r="A92" s="1">
        <v>2026.0</v>
      </c>
      <c r="B92" s="6">
        <v>46113.0</v>
      </c>
      <c r="C92" s="2">
        <v>2276181.12786822</v>
      </c>
    </row>
    <row r="93" ht="15.75" customHeight="1">
      <c r="A93" s="1">
        <v>2026.0</v>
      </c>
      <c r="B93" s="6">
        <v>46143.0</v>
      </c>
      <c r="C93" s="2">
        <v>994833.508606069</v>
      </c>
      <c r="D93" s="5">
        <f>A93</f>
        <v>2026</v>
      </c>
      <c r="E93" s="7">
        <f>D95</f>
        <v>22612734.72</v>
      </c>
    </row>
    <row r="94" ht="15.75" customHeight="1">
      <c r="A94" s="1">
        <v>2026.0</v>
      </c>
      <c r="B94" s="6">
        <v>46174.0</v>
      </c>
      <c r="C94" s="2">
        <v>2183216.92494321</v>
      </c>
      <c r="D94" s="7">
        <f>SUM(C89:C94)</f>
        <v>11306367.36</v>
      </c>
    </row>
    <row r="95" ht="15.75" customHeight="1">
      <c r="C95" s="2"/>
      <c r="D95" s="7">
        <f>D94*2</f>
        <v>22612734.72</v>
      </c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2026-07-15T18:28:19Z</dcterms:created>
  <dc:creator>Julian Mitchell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MediaServiceImageTags">
    <vt:lpwstr/>
  </property>
  <property fmtid="{D5CDD505-2E9C-101B-9397-08002B2CF9AE}" pid="4" name="RevIMBCS">
    <vt:lpwstr>18;#LEG-111 Commission Reports and Rate Cases|998772b3-c445-483c-9f09-01b94c960e52</vt:lpwstr>
  </property>
  <property fmtid="{D5CDD505-2E9C-101B-9397-08002B2CF9AE}" pid="5" name="iae2bd6779b34f2984268cd02e48d610">
    <vt:lpwstr>Internal|9cb37ccf-31bf-4b53-baa0-1d2dac2de42a</vt:lpwstr>
  </property>
  <property fmtid="{D5CDD505-2E9C-101B-9397-08002B2CF9AE}" pid="6" name="TaxCatchAll">
    <vt:lpwstr>1;#Internal|9cb37ccf-31bf-4b53-baa0-1d2dac2de42a;#18;#LEG-111 Commission Reports and Rate Cases|998772b3-c445-483c-9f09-01b94c960e52</vt:lpwstr>
  </property>
  <property fmtid="{D5CDD505-2E9C-101B-9397-08002B2CF9AE}" pid="7" name="BusinessCapabilityFunction">
    <vt:lpwstr/>
  </property>
  <property fmtid="{D5CDD505-2E9C-101B-9397-08002B2CF9AE}" pid="8" name="SecurityClassification">
    <vt:lpwstr>1;#Internal|9cb37ccf-31bf-4b53-baa0-1d2dac2de42a</vt:lpwstr>
  </property>
  <property fmtid="{D5CDD505-2E9C-101B-9397-08002B2CF9AE}" pid="9" name="i0f8e3f220f14f439905cc9ec02f45bb">
    <vt:lpwstr/>
  </property>
</Properties>
</file>