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senergy.sharepoint.com/sites/RatesandRegulation/Audit and Discovery Library/"/>
    </mc:Choice>
  </mc:AlternateContent>
  <xr:revisionPtr revIDLastSave="3" documentId="8_{5086FFDA-6752-4CCC-A905-156E488A7895}" xr6:coauthVersionLast="47" xr6:coauthVersionMax="47" xr10:uidLastSave="{D58B3C93-9E69-4D49-AAE2-CBD36C3407F3}"/>
  <bookViews>
    <workbookView xWindow="38295" yWindow="0" windowWidth="38610" windowHeight="20985" xr2:uid="{AF97F807-3591-43CF-B72B-793B5D192A33}"/>
  </bookViews>
  <sheets>
    <sheet name="ACPC" sheetId="1" r:id="rId1"/>
    <sheet name="CPP" sheetId="3" r:id="rId2"/>
    <sheet name="PT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2" i="2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2" i="3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2" i="3"/>
</calcChain>
</file>

<file path=xl/sharedStrings.xml><?xml version="1.0" encoding="utf-8"?>
<sst xmlns="http://schemas.openxmlformats.org/spreadsheetml/2006/main" count="312" uniqueCount="25">
  <si>
    <t>Year/Month</t>
  </si>
  <si>
    <t>Enrolled Customer without Low Income</t>
  </si>
  <si>
    <t xml:space="preserve">Low Income </t>
  </si>
  <si>
    <t>Total Enrolled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</si>
  <si>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</si>
  <si>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</si>
  <si>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</si>
  <si>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</si>
  <si>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</si>
  <si>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</si>
  <si>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</si>
  <si>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</si>
  <si>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</si>
  <si>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</si>
  <si>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</si>
  <si>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</si>
  <si>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</si>
  <si>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</si>
  <si>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</si>
  <si>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</si>
  <si>
    <t>2023</t>
  </si>
  <si>
    <t>2024</t>
  </si>
  <si>
    <t>2025</t>
  </si>
  <si>
    <t>2026</t>
  </si>
  <si>
    <t>% Enrolled Low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</si>
</sst>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indent="1"/>
    </xf>
    <xf numFmtId="0" fontId="1" fillId="0" borderId="0" xfId="0" applyFont="1" applyAlignment="1">
      <alignment horizontal="left" vertical="top" indent="1"/>
    </xf>
    <xf numFmtId="0" fontId="1" fillId="2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indent="1"/>
    </xf>
    <xf numFmtId="10" fontId="5" fillId="3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1128-E93B-47D6-90C1-53A5338B1538}">
  <dimension ref="A1:E100"/>
  <sheetViews>
    <sheetView tabSelected="1" workbookViewId="0">
      <selection activeCell="H23" sqref="H23"/>
    </sheetView>
  </sheetViews>
  <sheetFormatPr defaultRowHeight="15" x14ac:dyDescent="0.25"/>
  <cols>
    <col min="1" max="1" width="10.7109375" bestFit="1" customWidth="1"/>
    <col min="2" max="2" width="35.140625" style="8" bestFit="1" customWidth="1"/>
    <col min="3" max="3" width="11.5703125" style="8" bestFit="1" customWidth="1"/>
    <col min="4" max="4" width="12.85546875" style="8" bestFit="1" customWidth="1"/>
    <col min="5" max="5" width="23.28515625" style="26" customWidth="1"/>
  </cols>
  <sheetData>
    <row r="1" spans="1:5" s="11" customFormat="1" ht="25.5" customHeight="1" x14ac:dyDescent="0.25">
      <c r="A1" s="10" t="s">
        <v>0</v>
      </c>
      <c r="B1" s="6" t="s">
        <v>1</v>
      </c>
      <c r="C1" s="7" t="s">
        <v>2</v>
      </c>
      <c r="D1" s="7" t="s">
        <v>3</v>
      </c>
      <c r="E1" s="24" t="s">
        <v>24</v>
      </c>
    </row>
    <row r="2" spans="1:5" x14ac:dyDescent="0.25">
      <c r="A2" s="1" t="s">
        <v>4</v>
      </c>
      <c r="B2" s="12">
        <v>24478</v>
      </c>
      <c r="C2" s="12">
        <v>5812</v>
      </c>
      <c r="D2" s="13">
        <v>30290</v>
      </c>
      <c r="E2" s="25">
        <f>C2/D2</f>
        <v>0.19187850775833609</v>
      </c>
    </row>
    <row r="3" spans="1:5" x14ac:dyDescent="0.25">
      <c r="A3" s="2" t="s">
        <v>5</v>
      </c>
      <c r="B3" s="14">
        <v>1334</v>
      </c>
      <c r="C3" s="14">
        <v>292</v>
      </c>
      <c r="D3" s="15">
        <v>1626</v>
      </c>
      <c r="E3" s="25">
        <f t="shared" ref="E3:E66" si="0">C3/D3</f>
        <v>0.17958179581795819</v>
      </c>
    </row>
    <row r="4" spans="1:5" x14ac:dyDescent="0.25">
      <c r="A4" s="2" t="s">
        <v>6</v>
      </c>
      <c r="B4" s="14">
        <v>1560</v>
      </c>
      <c r="C4" s="14">
        <v>421</v>
      </c>
      <c r="D4" s="15">
        <v>1981</v>
      </c>
      <c r="E4" s="25">
        <f t="shared" si="0"/>
        <v>0.21251892983341747</v>
      </c>
    </row>
    <row r="5" spans="1:5" x14ac:dyDescent="0.25">
      <c r="A5" s="2" t="s">
        <v>7</v>
      </c>
      <c r="B5" s="14">
        <v>2528</v>
      </c>
      <c r="C5" s="14">
        <v>1000</v>
      </c>
      <c r="D5" s="15">
        <v>3528</v>
      </c>
      <c r="E5" s="25">
        <f t="shared" si="0"/>
        <v>0.28344671201814059</v>
      </c>
    </row>
    <row r="6" spans="1:5" x14ac:dyDescent="0.25">
      <c r="A6" s="2" t="s">
        <v>8</v>
      </c>
      <c r="B6" s="14">
        <v>3473</v>
      </c>
      <c r="C6" s="14">
        <v>653</v>
      </c>
      <c r="D6" s="15">
        <v>4126</v>
      </c>
      <c r="E6" s="25">
        <f t="shared" si="0"/>
        <v>0.15826466311197285</v>
      </c>
    </row>
    <row r="7" spans="1:5" x14ac:dyDescent="0.25">
      <c r="A7" s="2" t="s">
        <v>9</v>
      </c>
      <c r="B7" s="14">
        <v>5432</v>
      </c>
      <c r="C7" s="14">
        <v>924</v>
      </c>
      <c r="D7" s="15">
        <v>6356</v>
      </c>
      <c r="E7" s="25">
        <f t="shared" si="0"/>
        <v>0.14537444933920704</v>
      </c>
    </row>
    <row r="8" spans="1:5" x14ac:dyDescent="0.25">
      <c r="A8" s="2" t="s">
        <v>10</v>
      </c>
      <c r="B8" s="14">
        <v>2782</v>
      </c>
      <c r="C8" s="14">
        <v>557</v>
      </c>
      <c r="D8" s="15">
        <v>3339</v>
      </c>
      <c r="E8" s="25">
        <f t="shared" si="0"/>
        <v>0.16681641209943096</v>
      </c>
    </row>
    <row r="9" spans="1:5" x14ac:dyDescent="0.25">
      <c r="A9" s="2" t="s">
        <v>11</v>
      </c>
      <c r="B9" s="14">
        <v>1871</v>
      </c>
      <c r="C9" s="14">
        <v>454</v>
      </c>
      <c r="D9" s="15">
        <v>2325</v>
      </c>
      <c r="E9" s="25">
        <f t="shared" si="0"/>
        <v>0.19526881720430109</v>
      </c>
    </row>
    <row r="10" spans="1:5" x14ac:dyDescent="0.25">
      <c r="A10" s="2" t="s">
        <v>12</v>
      </c>
      <c r="B10" s="14">
        <v>832</v>
      </c>
      <c r="C10" s="14">
        <v>267</v>
      </c>
      <c r="D10" s="15">
        <v>1099</v>
      </c>
      <c r="E10" s="25">
        <f t="shared" si="0"/>
        <v>0.2429481346678799</v>
      </c>
    </row>
    <row r="11" spans="1:5" x14ac:dyDescent="0.25">
      <c r="A11" s="2" t="s">
        <v>13</v>
      </c>
      <c r="B11" s="14">
        <v>239</v>
      </c>
      <c r="C11" s="14">
        <v>102</v>
      </c>
      <c r="D11" s="15">
        <v>341</v>
      </c>
      <c r="E11" s="25">
        <f t="shared" si="0"/>
        <v>0.29912023460410558</v>
      </c>
    </row>
    <row r="12" spans="1:5" x14ac:dyDescent="0.25">
      <c r="A12" s="2" t="s">
        <v>14</v>
      </c>
      <c r="B12" s="14">
        <v>1501</v>
      </c>
      <c r="C12" s="14">
        <v>406</v>
      </c>
      <c r="D12" s="15">
        <v>1907</v>
      </c>
      <c r="E12" s="25">
        <f t="shared" si="0"/>
        <v>0.2128998426848453</v>
      </c>
    </row>
    <row r="13" spans="1:5" x14ac:dyDescent="0.25">
      <c r="A13" s="2" t="s">
        <v>15</v>
      </c>
      <c r="B13" s="14">
        <v>1540</v>
      </c>
      <c r="C13" s="14">
        <v>513</v>
      </c>
      <c r="D13" s="15">
        <v>2053</v>
      </c>
      <c r="E13" s="25">
        <f t="shared" si="0"/>
        <v>0.24987822698490014</v>
      </c>
    </row>
    <row r="14" spans="1:5" x14ac:dyDescent="0.25">
      <c r="A14" s="2" t="s">
        <v>16</v>
      </c>
      <c r="B14" s="14">
        <v>1386</v>
      </c>
      <c r="C14" s="14">
        <v>223</v>
      </c>
      <c r="D14" s="15">
        <v>1609</v>
      </c>
      <c r="E14" s="25">
        <f t="shared" si="0"/>
        <v>0.13859540087010566</v>
      </c>
    </row>
    <row r="15" spans="1:5" x14ac:dyDescent="0.25">
      <c r="A15" s="1" t="s">
        <v>17</v>
      </c>
      <c r="B15" s="12">
        <v>11992</v>
      </c>
      <c r="C15" s="12">
        <v>12152</v>
      </c>
      <c r="D15" s="13">
        <v>24144</v>
      </c>
      <c r="E15" s="25">
        <f t="shared" si="0"/>
        <v>0.50331345261762761</v>
      </c>
    </row>
    <row r="16" spans="1:5" x14ac:dyDescent="0.25">
      <c r="A16" s="2" t="s">
        <v>5</v>
      </c>
      <c r="B16" s="14">
        <v>1589</v>
      </c>
      <c r="C16" s="14">
        <v>147</v>
      </c>
      <c r="D16" s="15">
        <v>1736</v>
      </c>
      <c r="E16" s="25">
        <f t="shared" si="0"/>
        <v>8.4677419354838704E-2</v>
      </c>
    </row>
    <row r="17" spans="1:5" x14ac:dyDescent="0.25">
      <c r="A17" s="2" t="s">
        <v>6</v>
      </c>
      <c r="B17" s="14">
        <v>1189</v>
      </c>
      <c r="C17" s="14">
        <v>541</v>
      </c>
      <c r="D17" s="15">
        <v>1730</v>
      </c>
      <c r="E17" s="25">
        <f t="shared" si="0"/>
        <v>0.31271676300578033</v>
      </c>
    </row>
    <row r="18" spans="1:5" x14ac:dyDescent="0.25">
      <c r="A18" s="2" t="s">
        <v>7</v>
      </c>
      <c r="B18" s="14">
        <v>2035</v>
      </c>
      <c r="C18" s="14">
        <v>2573</v>
      </c>
      <c r="D18" s="15">
        <v>4608</v>
      </c>
      <c r="E18" s="25">
        <f t="shared" si="0"/>
        <v>0.55837673611111116</v>
      </c>
    </row>
    <row r="19" spans="1:5" x14ac:dyDescent="0.25">
      <c r="A19" s="2" t="s">
        <v>8</v>
      </c>
      <c r="B19" s="14">
        <v>522</v>
      </c>
      <c r="C19" s="14">
        <v>587</v>
      </c>
      <c r="D19" s="15">
        <v>1109</v>
      </c>
      <c r="E19" s="25">
        <f t="shared" si="0"/>
        <v>0.5293056807935077</v>
      </c>
    </row>
    <row r="20" spans="1:5" x14ac:dyDescent="0.25">
      <c r="A20" s="2" t="s">
        <v>9</v>
      </c>
      <c r="B20" s="14">
        <v>1406</v>
      </c>
      <c r="C20" s="14">
        <v>309</v>
      </c>
      <c r="D20" s="15">
        <v>1715</v>
      </c>
      <c r="E20" s="25">
        <f t="shared" si="0"/>
        <v>0.18017492711370262</v>
      </c>
    </row>
    <row r="21" spans="1:5" x14ac:dyDescent="0.25">
      <c r="A21" s="2" t="s">
        <v>10</v>
      </c>
      <c r="B21" s="14">
        <v>1714</v>
      </c>
      <c r="C21" s="14">
        <v>437</v>
      </c>
      <c r="D21" s="15">
        <v>2151</v>
      </c>
      <c r="E21" s="25">
        <f t="shared" si="0"/>
        <v>0.20316132031613204</v>
      </c>
    </row>
    <row r="22" spans="1:5" x14ac:dyDescent="0.25">
      <c r="A22" s="2" t="s">
        <v>11</v>
      </c>
      <c r="B22" s="14">
        <v>135</v>
      </c>
      <c r="C22" s="14">
        <v>46</v>
      </c>
      <c r="D22" s="15">
        <v>181</v>
      </c>
      <c r="E22" s="25">
        <f t="shared" si="0"/>
        <v>0.2541436464088398</v>
      </c>
    </row>
    <row r="23" spans="1:5" x14ac:dyDescent="0.25">
      <c r="A23" s="2" t="s">
        <v>12</v>
      </c>
      <c r="B23" s="14">
        <v>985</v>
      </c>
      <c r="C23" s="14">
        <v>2375</v>
      </c>
      <c r="D23" s="15">
        <v>3360</v>
      </c>
      <c r="E23" s="25">
        <f t="shared" si="0"/>
        <v>0.70684523809523814</v>
      </c>
    </row>
    <row r="24" spans="1:5" x14ac:dyDescent="0.25">
      <c r="A24" s="2" t="s">
        <v>13</v>
      </c>
      <c r="B24" s="14">
        <v>229</v>
      </c>
      <c r="C24" s="14">
        <v>1430</v>
      </c>
      <c r="D24" s="15">
        <v>1659</v>
      </c>
      <c r="E24" s="25">
        <f t="shared" si="0"/>
        <v>0.86196503918022904</v>
      </c>
    </row>
    <row r="25" spans="1:5" x14ac:dyDescent="0.25">
      <c r="A25" s="2" t="s">
        <v>14</v>
      </c>
      <c r="B25" s="14">
        <v>792</v>
      </c>
      <c r="C25" s="14">
        <v>452</v>
      </c>
      <c r="D25" s="15">
        <v>1244</v>
      </c>
      <c r="E25" s="25">
        <f t="shared" si="0"/>
        <v>0.36334405144694532</v>
      </c>
    </row>
    <row r="26" spans="1:5" x14ac:dyDescent="0.25">
      <c r="A26" s="2" t="s">
        <v>15</v>
      </c>
      <c r="B26" s="14">
        <v>770</v>
      </c>
      <c r="C26" s="14">
        <v>1810</v>
      </c>
      <c r="D26" s="15">
        <v>2580</v>
      </c>
      <c r="E26" s="25">
        <f t="shared" si="0"/>
        <v>0.70155038759689925</v>
      </c>
    </row>
    <row r="27" spans="1:5" x14ac:dyDescent="0.25">
      <c r="A27" s="2" t="s">
        <v>16</v>
      </c>
      <c r="B27" s="14">
        <v>626</v>
      </c>
      <c r="C27" s="14">
        <v>1445</v>
      </c>
      <c r="D27" s="15">
        <v>2071</v>
      </c>
      <c r="E27" s="25">
        <f t="shared" si="0"/>
        <v>0.69773056494447128</v>
      </c>
    </row>
    <row r="28" spans="1:5" x14ac:dyDescent="0.25">
      <c r="A28" s="1" t="s">
        <v>18</v>
      </c>
      <c r="B28" s="12">
        <v>19718</v>
      </c>
      <c r="C28" s="12">
        <v>18379</v>
      </c>
      <c r="D28" s="13">
        <v>38097</v>
      </c>
      <c r="E28" s="25">
        <f t="shared" si="0"/>
        <v>0.4824264377772528</v>
      </c>
    </row>
    <row r="29" spans="1:5" x14ac:dyDescent="0.25">
      <c r="A29" s="2" t="s">
        <v>5</v>
      </c>
      <c r="B29" s="14">
        <v>251</v>
      </c>
      <c r="C29" s="14">
        <v>1284</v>
      </c>
      <c r="D29" s="15">
        <v>1535</v>
      </c>
      <c r="E29" s="25">
        <f t="shared" si="0"/>
        <v>0.83648208469055374</v>
      </c>
    </row>
    <row r="30" spans="1:5" x14ac:dyDescent="0.25">
      <c r="A30" s="2" t="s">
        <v>6</v>
      </c>
      <c r="B30" s="14">
        <v>355</v>
      </c>
      <c r="C30" s="14">
        <v>1529</v>
      </c>
      <c r="D30" s="15">
        <v>1884</v>
      </c>
      <c r="E30" s="25">
        <f t="shared" si="0"/>
        <v>0.81157112526539277</v>
      </c>
    </row>
    <row r="31" spans="1:5" x14ac:dyDescent="0.25">
      <c r="A31" s="2" t="s">
        <v>7</v>
      </c>
      <c r="B31" s="14">
        <v>1120</v>
      </c>
      <c r="C31" s="14">
        <v>1134</v>
      </c>
      <c r="D31" s="15">
        <v>2254</v>
      </c>
      <c r="E31" s="25">
        <f t="shared" si="0"/>
        <v>0.50310559006211175</v>
      </c>
    </row>
    <row r="32" spans="1:5" x14ac:dyDescent="0.25">
      <c r="A32" s="2" t="s">
        <v>8</v>
      </c>
      <c r="B32" s="14">
        <v>8343</v>
      </c>
      <c r="C32" s="14">
        <v>4336</v>
      </c>
      <c r="D32" s="15">
        <v>12679</v>
      </c>
      <c r="E32" s="25">
        <f t="shared" si="0"/>
        <v>0.34198280621500116</v>
      </c>
    </row>
    <row r="33" spans="1:5" x14ac:dyDescent="0.25">
      <c r="A33" s="2" t="s">
        <v>9</v>
      </c>
      <c r="B33" s="14">
        <v>2729</v>
      </c>
      <c r="C33" s="14">
        <v>3222</v>
      </c>
      <c r="D33" s="15">
        <v>5951</v>
      </c>
      <c r="E33" s="25">
        <f t="shared" si="0"/>
        <v>0.54142160981347676</v>
      </c>
    </row>
    <row r="34" spans="1:5" x14ac:dyDescent="0.25">
      <c r="A34" s="2" t="s">
        <v>10</v>
      </c>
      <c r="B34" s="14">
        <v>341</v>
      </c>
      <c r="C34" s="14">
        <v>240</v>
      </c>
      <c r="D34" s="15">
        <v>581</v>
      </c>
      <c r="E34" s="25">
        <f t="shared" si="0"/>
        <v>0.41308089500860584</v>
      </c>
    </row>
    <row r="35" spans="1:5" x14ac:dyDescent="0.25">
      <c r="A35" s="2" t="s">
        <v>11</v>
      </c>
      <c r="B35" s="14">
        <v>186</v>
      </c>
      <c r="C35" s="14">
        <v>268</v>
      </c>
      <c r="D35" s="15">
        <v>454</v>
      </c>
      <c r="E35" s="25">
        <f t="shared" si="0"/>
        <v>0.5903083700440529</v>
      </c>
    </row>
    <row r="36" spans="1:5" x14ac:dyDescent="0.25">
      <c r="A36" s="2" t="s">
        <v>12</v>
      </c>
      <c r="B36" s="14">
        <v>740</v>
      </c>
      <c r="C36" s="14">
        <v>1387</v>
      </c>
      <c r="D36" s="15">
        <v>2127</v>
      </c>
      <c r="E36" s="25">
        <f t="shared" si="0"/>
        <v>0.65209214856605546</v>
      </c>
    </row>
    <row r="37" spans="1:5" x14ac:dyDescent="0.25">
      <c r="A37" s="2" t="s">
        <v>13</v>
      </c>
      <c r="B37" s="14">
        <v>2877</v>
      </c>
      <c r="C37" s="14">
        <v>2088</v>
      </c>
      <c r="D37" s="15">
        <v>4965</v>
      </c>
      <c r="E37" s="25">
        <f t="shared" si="0"/>
        <v>0.42054380664652569</v>
      </c>
    </row>
    <row r="38" spans="1:5" x14ac:dyDescent="0.25">
      <c r="A38" s="2" t="s">
        <v>14</v>
      </c>
      <c r="B38" s="14">
        <v>97</v>
      </c>
      <c r="C38" s="14">
        <v>240</v>
      </c>
      <c r="D38" s="15">
        <v>337</v>
      </c>
      <c r="E38" s="25">
        <f t="shared" si="0"/>
        <v>0.71216617210682498</v>
      </c>
    </row>
    <row r="39" spans="1:5" x14ac:dyDescent="0.25">
      <c r="A39" s="2" t="s">
        <v>15</v>
      </c>
      <c r="B39" s="14">
        <v>252</v>
      </c>
      <c r="C39" s="14">
        <v>273</v>
      </c>
      <c r="D39" s="15">
        <v>525</v>
      </c>
      <c r="E39" s="25">
        <f t="shared" si="0"/>
        <v>0.52</v>
      </c>
    </row>
    <row r="40" spans="1:5" x14ac:dyDescent="0.25">
      <c r="A40" s="2" t="s">
        <v>16</v>
      </c>
      <c r="B40" s="14">
        <v>2427</v>
      </c>
      <c r="C40" s="14">
        <v>2378</v>
      </c>
      <c r="D40" s="15">
        <v>4805</v>
      </c>
      <c r="E40" s="25">
        <f t="shared" si="0"/>
        <v>0.49490114464099894</v>
      </c>
    </row>
    <row r="41" spans="1:5" x14ac:dyDescent="0.25">
      <c r="A41" s="1" t="s">
        <v>19</v>
      </c>
      <c r="B41" s="12">
        <v>15265</v>
      </c>
      <c r="C41" s="12">
        <v>20482</v>
      </c>
      <c r="D41" s="13">
        <v>35747</v>
      </c>
      <c r="E41" s="25">
        <f t="shared" si="0"/>
        <v>0.57297115841888835</v>
      </c>
    </row>
    <row r="42" spans="1:5" x14ac:dyDescent="0.25">
      <c r="A42" s="2" t="s">
        <v>5</v>
      </c>
      <c r="B42" s="14"/>
      <c r="C42" s="14"/>
      <c r="D42" s="16">
        <v>0</v>
      </c>
      <c r="E42" s="25">
        <v>0</v>
      </c>
    </row>
    <row r="43" spans="1:5" x14ac:dyDescent="0.25">
      <c r="A43" s="2" t="s">
        <v>6</v>
      </c>
      <c r="B43" s="14">
        <v>471</v>
      </c>
      <c r="C43" s="14">
        <v>265</v>
      </c>
      <c r="D43" s="16">
        <v>736</v>
      </c>
      <c r="E43" s="25">
        <f t="shared" si="0"/>
        <v>0.36005434782608697</v>
      </c>
    </row>
    <row r="44" spans="1:5" x14ac:dyDescent="0.25">
      <c r="A44" s="2" t="s">
        <v>7</v>
      </c>
      <c r="B44" s="14">
        <v>582</v>
      </c>
      <c r="C44" s="14">
        <v>647</v>
      </c>
      <c r="D44" s="16">
        <v>1229</v>
      </c>
      <c r="E44" s="25">
        <f t="shared" si="0"/>
        <v>0.52644426362896668</v>
      </c>
    </row>
    <row r="45" spans="1:5" x14ac:dyDescent="0.25">
      <c r="A45" s="2" t="s">
        <v>8</v>
      </c>
      <c r="B45" s="14">
        <v>543</v>
      </c>
      <c r="C45" s="14">
        <v>465</v>
      </c>
      <c r="D45" s="16">
        <v>1008</v>
      </c>
      <c r="E45" s="25">
        <f t="shared" si="0"/>
        <v>0.46130952380952384</v>
      </c>
    </row>
    <row r="46" spans="1:5" x14ac:dyDescent="0.25">
      <c r="A46" s="2" t="s">
        <v>9</v>
      </c>
      <c r="B46" s="14">
        <v>4146</v>
      </c>
      <c r="C46" s="14">
        <v>5027</v>
      </c>
      <c r="D46" s="16">
        <v>9173</v>
      </c>
      <c r="E46" s="25">
        <f t="shared" si="0"/>
        <v>0.54802136705548898</v>
      </c>
    </row>
    <row r="47" spans="1:5" x14ac:dyDescent="0.25">
      <c r="A47" s="2" t="s">
        <v>10</v>
      </c>
      <c r="B47" s="14">
        <v>854</v>
      </c>
      <c r="C47" s="14">
        <v>1449</v>
      </c>
      <c r="D47" s="16">
        <v>2303</v>
      </c>
      <c r="E47" s="25">
        <f t="shared" si="0"/>
        <v>0.62917933130699089</v>
      </c>
    </row>
    <row r="48" spans="1:5" x14ac:dyDescent="0.25">
      <c r="A48" s="2" t="s">
        <v>11</v>
      </c>
      <c r="B48" s="14">
        <v>2986</v>
      </c>
      <c r="C48" s="14">
        <v>3913</v>
      </c>
      <c r="D48" s="16">
        <v>6899</v>
      </c>
      <c r="E48" s="25">
        <f t="shared" si="0"/>
        <v>0.56718364980431946</v>
      </c>
    </row>
    <row r="49" spans="1:5" x14ac:dyDescent="0.25">
      <c r="A49" s="2" t="s">
        <v>12</v>
      </c>
      <c r="B49" s="14">
        <v>610</v>
      </c>
      <c r="C49" s="14">
        <v>1780</v>
      </c>
      <c r="D49" s="16">
        <v>2390</v>
      </c>
      <c r="E49" s="25">
        <f t="shared" si="0"/>
        <v>0.74476987447698739</v>
      </c>
    </row>
    <row r="50" spans="1:5" x14ac:dyDescent="0.25">
      <c r="A50" s="2" t="s">
        <v>13</v>
      </c>
      <c r="B50" s="14">
        <v>200</v>
      </c>
      <c r="C50" s="14">
        <v>156</v>
      </c>
      <c r="D50" s="16">
        <v>356</v>
      </c>
      <c r="E50" s="25">
        <f t="shared" si="0"/>
        <v>0.43820224719101125</v>
      </c>
    </row>
    <row r="51" spans="1:5" x14ac:dyDescent="0.25">
      <c r="A51" s="2" t="s">
        <v>14</v>
      </c>
      <c r="B51" s="14">
        <v>546</v>
      </c>
      <c r="C51" s="14">
        <v>717</v>
      </c>
      <c r="D51" s="16">
        <v>1263</v>
      </c>
      <c r="E51" s="25">
        <f t="shared" si="0"/>
        <v>0.56769596199524941</v>
      </c>
    </row>
    <row r="52" spans="1:5" x14ac:dyDescent="0.25">
      <c r="A52" s="2" t="s">
        <v>15</v>
      </c>
      <c r="B52" s="14">
        <v>491</v>
      </c>
      <c r="C52" s="14">
        <v>1055</v>
      </c>
      <c r="D52" s="16">
        <v>1546</v>
      </c>
      <c r="E52" s="25">
        <f t="shared" si="0"/>
        <v>0.68240620957309184</v>
      </c>
    </row>
    <row r="53" spans="1:5" x14ac:dyDescent="0.25">
      <c r="A53" s="2" t="s">
        <v>16</v>
      </c>
      <c r="B53" s="14">
        <v>3836</v>
      </c>
      <c r="C53" s="14">
        <v>5008</v>
      </c>
      <c r="D53" s="16">
        <v>8844</v>
      </c>
      <c r="E53" s="25">
        <f t="shared" si="0"/>
        <v>0.56625961103573041</v>
      </c>
    </row>
    <row r="54" spans="1:5" x14ac:dyDescent="0.25">
      <c r="A54" s="1" t="s">
        <v>20</v>
      </c>
      <c r="B54" s="12">
        <v>15194</v>
      </c>
      <c r="C54" s="12">
        <v>26708</v>
      </c>
      <c r="D54" s="13">
        <v>41902</v>
      </c>
      <c r="E54" s="25">
        <f t="shared" si="0"/>
        <v>0.63739200992792711</v>
      </c>
    </row>
    <row r="55" spans="1:5" x14ac:dyDescent="0.25">
      <c r="A55" s="2" t="s">
        <v>5</v>
      </c>
      <c r="B55" s="14">
        <v>456</v>
      </c>
      <c r="C55" s="14">
        <v>892</v>
      </c>
      <c r="D55" s="16">
        <v>1348</v>
      </c>
      <c r="E55" s="25">
        <f t="shared" si="0"/>
        <v>0.66172106824925814</v>
      </c>
    </row>
    <row r="56" spans="1:5" x14ac:dyDescent="0.25">
      <c r="A56" s="2" t="s">
        <v>6</v>
      </c>
      <c r="B56" s="14">
        <v>344</v>
      </c>
      <c r="C56" s="14">
        <v>1531</v>
      </c>
      <c r="D56" s="16">
        <v>1875</v>
      </c>
      <c r="E56" s="25">
        <f t="shared" si="0"/>
        <v>0.81653333333333333</v>
      </c>
    </row>
    <row r="57" spans="1:5" x14ac:dyDescent="0.25">
      <c r="A57" s="2" t="s">
        <v>7</v>
      </c>
      <c r="B57" s="14">
        <v>641</v>
      </c>
      <c r="C57" s="14">
        <v>2966</v>
      </c>
      <c r="D57" s="16">
        <v>3607</v>
      </c>
      <c r="E57" s="25">
        <f t="shared" si="0"/>
        <v>0.82228999168283889</v>
      </c>
    </row>
    <row r="58" spans="1:5" x14ac:dyDescent="0.25">
      <c r="A58" s="2" t="s">
        <v>8</v>
      </c>
      <c r="B58" s="14">
        <v>433</v>
      </c>
      <c r="C58" s="14">
        <v>1003</v>
      </c>
      <c r="D58" s="16">
        <v>1436</v>
      </c>
      <c r="E58" s="25">
        <f t="shared" si="0"/>
        <v>0.69846796657381616</v>
      </c>
    </row>
    <row r="59" spans="1:5" x14ac:dyDescent="0.25">
      <c r="A59" s="2" t="s">
        <v>9</v>
      </c>
      <c r="B59" s="14">
        <v>2635</v>
      </c>
      <c r="C59" s="14">
        <v>5186</v>
      </c>
      <c r="D59" s="16">
        <v>7821</v>
      </c>
      <c r="E59" s="25">
        <f t="shared" si="0"/>
        <v>0.663086561820739</v>
      </c>
    </row>
    <row r="60" spans="1:5" x14ac:dyDescent="0.25">
      <c r="A60" s="2" t="s">
        <v>10</v>
      </c>
      <c r="B60" s="14">
        <v>827</v>
      </c>
      <c r="C60" s="14">
        <v>706</v>
      </c>
      <c r="D60" s="16">
        <v>1533</v>
      </c>
      <c r="E60" s="25">
        <f t="shared" si="0"/>
        <v>0.46053489889106325</v>
      </c>
    </row>
    <row r="61" spans="1:5" x14ac:dyDescent="0.25">
      <c r="A61" s="2" t="s">
        <v>11</v>
      </c>
      <c r="B61" s="14">
        <v>2773</v>
      </c>
      <c r="C61" s="14">
        <v>4950</v>
      </c>
      <c r="D61" s="16">
        <v>7723</v>
      </c>
      <c r="E61" s="25">
        <f t="shared" si="0"/>
        <v>0.64094263887090508</v>
      </c>
    </row>
    <row r="62" spans="1:5" x14ac:dyDescent="0.25">
      <c r="A62" s="2" t="s">
        <v>12</v>
      </c>
      <c r="B62" s="14">
        <v>929</v>
      </c>
      <c r="C62" s="14">
        <v>1114</v>
      </c>
      <c r="D62" s="16">
        <v>2043</v>
      </c>
      <c r="E62" s="25">
        <f t="shared" si="0"/>
        <v>0.54527655408712672</v>
      </c>
    </row>
    <row r="63" spans="1:5" x14ac:dyDescent="0.25">
      <c r="A63" s="2" t="s">
        <v>13</v>
      </c>
      <c r="B63" s="14">
        <v>1325</v>
      </c>
      <c r="C63" s="14">
        <v>1848</v>
      </c>
      <c r="D63" s="16">
        <v>3173</v>
      </c>
      <c r="E63" s="25">
        <f t="shared" si="0"/>
        <v>0.58241411913016072</v>
      </c>
    </row>
    <row r="64" spans="1:5" x14ac:dyDescent="0.25">
      <c r="A64" s="2" t="s">
        <v>14</v>
      </c>
      <c r="B64" s="14">
        <v>894</v>
      </c>
      <c r="C64" s="14">
        <v>1401</v>
      </c>
      <c r="D64" s="16">
        <v>2295</v>
      </c>
      <c r="E64" s="25">
        <f t="shared" si="0"/>
        <v>0.61045751633986933</v>
      </c>
    </row>
    <row r="65" spans="1:5" x14ac:dyDescent="0.25">
      <c r="A65" s="2" t="s">
        <v>15</v>
      </c>
      <c r="B65" s="14">
        <v>282</v>
      </c>
      <c r="C65" s="14">
        <v>904</v>
      </c>
      <c r="D65" s="16">
        <v>1186</v>
      </c>
      <c r="E65" s="25">
        <f t="shared" si="0"/>
        <v>0.76222596964586842</v>
      </c>
    </row>
    <row r="66" spans="1:5" x14ac:dyDescent="0.25">
      <c r="A66" s="2" t="s">
        <v>16</v>
      </c>
      <c r="B66" s="14">
        <v>3655</v>
      </c>
      <c r="C66" s="14">
        <v>4207</v>
      </c>
      <c r="D66" s="16">
        <v>7862</v>
      </c>
      <c r="E66" s="25">
        <f t="shared" si="0"/>
        <v>0.53510557110150092</v>
      </c>
    </row>
    <row r="67" spans="1:5" x14ac:dyDescent="0.25">
      <c r="A67" s="1" t="s">
        <v>21</v>
      </c>
      <c r="B67" s="12">
        <v>14624</v>
      </c>
      <c r="C67" s="12">
        <v>29258</v>
      </c>
      <c r="D67" s="13">
        <v>43882</v>
      </c>
      <c r="E67" s="25">
        <f t="shared" ref="E67:E98" si="1">C67/D67</f>
        <v>0.66674262795679318</v>
      </c>
    </row>
    <row r="68" spans="1:5" x14ac:dyDescent="0.25">
      <c r="A68" s="2" t="s">
        <v>5</v>
      </c>
      <c r="B68" s="14">
        <v>530</v>
      </c>
      <c r="C68" s="14">
        <v>1013</v>
      </c>
      <c r="D68" s="16">
        <v>1543</v>
      </c>
      <c r="E68" s="25">
        <f t="shared" si="1"/>
        <v>0.65651328580686974</v>
      </c>
    </row>
    <row r="69" spans="1:5" x14ac:dyDescent="0.25">
      <c r="A69" s="2" t="s">
        <v>6</v>
      </c>
      <c r="B69" s="14">
        <v>317</v>
      </c>
      <c r="C69" s="14">
        <v>1133</v>
      </c>
      <c r="D69" s="16">
        <v>1450</v>
      </c>
      <c r="E69" s="25">
        <f t="shared" si="1"/>
        <v>0.78137931034482755</v>
      </c>
    </row>
    <row r="70" spans="1:5" x14ac:dyDescent="0.25">
      <c r="A70" s="2" t="s">
        <v>7</v>
      </c>
      <c r="B70" s="14">
        <v>510</v>
      </c>
      <c r="C70" s="14">
        <v>519</v>
      </c>
      <c r="D70" s="16">
        <v>1029</v>
      </c>
      <c r="E70" s="25">
        <f t="shared" si="1"/>
        <v>0.50437317784256563</v>
      </c>
    </row>
    <row r="71" spans="1:5" x14ac:dyDescent="0.25">
      <c r="A71" s="2" t="s">
        <v>8</v>
      </c>
      <c r="B71" s="14">
        <v>2788</v>
      </c>
      <c r="C71" s="14">
        <v>6932</v>
      </c>
      <c r="D71" s="16">
        <v>9720</v>
      </c>
      <c r="E71" s="25">
        <f t="shared" si="1"/>
        <v>0.71316872427983535</v>
      </c>
    </row>
    <row r="72" spans="1:5" x14ac:dyDescent="0.25">
      <c r="A72" s="2" t="s">
        <v>9</v>
      </c>
      <c r="B72" s="14">
        <v>637</v>
      </c>
      <c r="C72" s="14">
        <v>984</v>
      </c>
      <c r="D72" s="16">
        <v>1621</v>
      </c>
      <c r="E72" s="25">
        <f t="shared" si="1"/>
        <v>0.60703269586674891</v>
      </c>
    </row>
    <row r="73" spans="1:5" x14ac:dyDescent="0.25">
      <c r="A73" s="2" t="s">
        <v>10</v>
      </c>
      <c r="B73" s="14">
        <v>882</v>
      </c>
      <c r="C73" s="14">
        <v>1035</v>
      </c>
      <c r="D73" s="16">
        <v>1917</v>
      </c>
      <c r="E73" s="25">
        <f t="shared" si="1"/>
        <v>0.539906103286385</v>
      </c>
    </row>
    <row r="74" spans="1:5" x14ac:dyDescent="0.25">
      <c r="A74" s="2" t="s">
        <v>11</v>
      </c>
      <c r="B74" s="14">
        <v>2895</v>
      </c>
      <c r="C74" s="14">
        <v>5910</v>
      </c>
      <c r="D74" s="16">
        <v>8805</v>
      </c>
      <c r="E74" s="25">
        <f t="shared" si="1"/>
        <v>0.67120954003407152</v>
      </c>
    </row>
    <row r="75" spans="1:5" x14ac:dyDescent="0.25">
      <c r="A75" s="2" t="s">
        <v>12</v>
      </c>
      <c r="B75" s="14">
        <v>614</v>
      </c>
      <c r="C75" s="14">
        <v>2718</v>
      </c>
      <c r="D75" s="16">
        <v>3332</v>
      </c>
      <c r="E75" s="25">
        <f t="shared" si="1"/>
        <v>0.81572629051620649</v>
      </c>
    </row>
    <row r="76" spans="1:5" x14ac:dyDescent="0.25">
      <c r="A76" s="2" t="s">
        <v>13</v>
      </c>
      <c r="B76" s="14">
        <v>761</v>
      </c>
      <c r="C76" s="14">
        <v>1554</v>
      </c>
      <c r="D76" s="16">
        <v>2315</v>
      </c>
      <c r="E76" s="25">
        <f t="shared" si="1"/>
        <v>0.67127429805615546</v>
      </c>
    </row>
    <row r="77" spans="1:5" x14ac:dyDescent="0.25">
      <c r="A77" s="2" t="s">
        <v>14</v>
      </c>
      <c r="B77" s="14">
        <v>804</v>
      </c>
      <c r="C77" s="14">
        <v>1026</v>
      </c>
      <c r="D77" s="16">
        <v>1830</v>
      </c>
      <c r="E77" s="25">
        <f t="shared" si="1"/>
        <v>0.56065573770491806</v>
      </c>
    </row>
    <row r="78" spans="1:5" x14ac:dyDescent="0.25">
      <c r="A78" s="2" t="s">
        <v>15</v>
      </c>
      <c r="B78" s="14">
        <v>292</v>
      </c>
      <c r="C78" s="14">
        <v>371</v>
      </c>
      <c r="D78" s="16">
        <v>663</v>
      </c>
      <c r="E78" s="25">
        <f t="shared" si="1"/>
        <v>0.55957767722473606</v>
      </c>
    </row>
    <row r="79" spans="1:5" x14ac:dyDescent="0.25">
      <c r="A79" s="2" t="s">
        <v>16</v>
      </c>
      <c r="B79" s="14">
        <v>3594</v>
      </c>
      <c r="C79" s="14">
        <v>6063</v>
      </c>
      <c r="D79" s="16">
        <v>9657</v>
      </c>
      <c r="E79" s="25">
        <f t="shared" si="1"/>
        <v>0.62783473128300715</v>
      </c>
    </row>
    <row r="80" spans="1:5" x14ac:dyDescent="0.25">
      <c r="A80" s="1" t="s">
        <v>22</v>
      </c>
      <c r="B80" s="12">
        <v>5950</v>
      </c>
      <c r="C80" s="12">
        <v>9785</v>
      </c>
      <c r="D80" s="13">
        <v>15735</v>
      </c>
      <c r="E80" s="25">
        <f t="shared" si="1"/>
        <v>0.62186209088020339</v>
      </c>
    </row>
    <row r="81" spans="1:5" x14ac:dyDescent="0.25">
      <c r="A81" s="2" t="s">
        <v>5</v>
      </c>
      <c r="B81" s="14">
        <v>2</v>
      </c>
      <c r="C81" s="14"/>
      <c r="D81" s="16">
        <v>2</v>
      </c>
      <c r="E81" s="25">
        <f t="shared" si="1"/>
        <v>0</v>
      </c>
    </row>
    <row r="82" spans="1:5" x14ac:dyDescent="0.25">
      <c r="A82" s="2" t="s">
        <v>6</v>
      </c>
      <c r="B82" s="14">
        <v>12</v>
      </c>
      <c r="C82" s="14">
        <v>9</v>
      </c>
      <c r="D82" s="16">
        <v>21</v>
      </c>
      <c r="E82" s="25">
        <f t="shared" si="1"/>
        <v>0.42857142857142855</v>
      </c>
    </row>
    <row r="83" spans="1:5" x14ac:dyDescent="0.25">
      <c r="A83" s="2" t="s">
        <v>7</v>
      </c>
      <c r="B83" s="14">
        <v>4</v>
      </c>
      <c r="C83" s="14"/>
      <c r="D83" s="16">
        <v>4</v>
      </c>
      <c r="E83" s="25">
        <f t="shared" si="1"/>
        <v>0</v>
      </c>
    </row>
    <row r="84" spans="1:5" x14ac:dyDescent="0.25">
      <c r="A84" s="2" t="s">
        <v>8</v>
      </c>
      <c r="B84" s="14">
        <v>10</v>
      </c>
      <c r="C84" s="14"/>
      <c r="D84" s="16">
        <v>10</v>
      </c>
      <c r="E84" s="25">
        <f t="shared" si="1"/>
        <v>0</v>
      </c>
    </row>
    <row r="85" spans="1:5" x14ac:dyDescent="0.25">
      <c r="A85" s="2" t="s">
        <v>9</v>
      </c>
      <c r="B85" s="14">
        <v>6</v>
      </c>
      <c r="C85" s="14">
        <v>3</v>
      </c>
      <c r="D85" s="16">
        <v>9</v>
      </c>
      <c r="E85" s="25">
        <f t="shared" si="1"/>
        <v>0.33333333333333331</v>
      </c>
    </row>
    <row r="86" spans="1:5" x14ac:dyDescent="0.25">
      <c r="A86" s="2" t="s">
        <v>10</v>
      </c>
      <c r="B86" s="14">
        <v>1604</v>
      </c>
      <c r="C86" s="14">
        <v>2651</v>
      </c>
      <c r="D86" s="16">
        <v>4255</v>
      </c>
      <c r="E86" s="25">
        <f t="shared" si="1"/>
        <v>0.62303172737955348</v>
      </c>
    </row>
    <row r="87" spans="1:5" x14ac:dyDescent="0.25">
      <c r="A87" s="2" t="s">
        <v>11</v>
      </c>
      <c r="B87" s="14">
        <v>4</v>
      </c>
      <c r="C87" s="14">
        <v>3</v>
      </c>
      <c r="D87" s="16">
        <v>7</v>
      </c>
      <c r="E87" s="25">
        <f t="shared" si="1"/>
        <v>0.42857142857142855</v>
      </c>
    </row>
    <row r="88" spans="1:5" x14ac:dyDescent="0.25">
      <c r="A88" s="2" t="s">
        <v>12</v>
      </c>
      <c r="B88" s="14">
        <v>1</v>
      </c>
      <c r="C88" s="14"/>
      <c r="D88" s="16">
        <v>1</v>
      </c>
      <c r="E88" s="25">
        <f t="shared" si="1"/>
        <v>0</v>
      </c>
    </row>
    <row r="89" spans="1:5" x14ac:dyDescent="0.25">
      <c r="A89" s="2" t="s">
        <v>13</v>
      </c>
      <c r="B89" s="14">
        <v>4</v>
      </c>
      <c r="C89" s="14"/>
      <c r="D89" s="16">
        <v>4</v>
      </c>
      <c r="E89" s="25">
        <f t="shared" si="1"/>
        <v>0</v>
      </c>
    </row>
    <row r="90" spans="1:5" x14ac:dyDescent="0.25">
      <c r="A90" s="2" t="s">
        <v>14</v>
      </c>
      <c r="B90" s="14">
        <v>6</v>
      </c>
      <c r="C90" s="14"/>
      <c r="D90" s="16">
        <v>6</v>
      </c>
      <c r="E90" s="25">
        <f t="shared" si="1"/>
        <v>0</v>
      </c>
    </row>
    <row r="91" spans="1:5" x14ac:dyDescent="0.25">
      <c r="A91" s="2" t="s">
        <v>16</v>
      </c>
      <c r="B91" s="14">
        <v>4297</v>
      </c>
      <c r="C91" s="14">
        <v>7119</v>
      </c>
      <c r="D91" s="15">
        <v>11416</v>
      </c>
      <c r="E91" s="25">
        <f t="shared" si="1"/>
        <v>0.62359845830413452</v>
      </c>
    </row>
    <row r="92" spans="1:5" x14ac:dyDescent="0.25">
      <c r="A92" s="1" t="s">
        <v>23</v>
      </c>
      <c r="B92" s="12">
        <v>4275</v>
      </c>
      <c r="C92" s="12">
        <v>8845</v>
      </c>
      <c r="D92" s="13">
        <v>13120</v>
      </c>
      <c r="E92" s="25">
        <f t="shared" si="1"/>
        <v>0.67416158536585369</v>
      </c>
    </row>
    <row r="93" spans="1:5" x14ac:dyDescent="0.25">
      <c r="A93" s="2" t="s">
        <v>6</v>
      </c>
      <c r="B93" s="14">
        <v>2</v>
      </c>
      <c r="C93" s="14"/>
      <c r="D93" s="16">
        <v>2</v>
      </c>
      <c r="E93" s="25">
        <f t="shared" si="1"/>
        <v>0</v>
      </c>
    </row>
    <row r="94" spans="1:5" x14ac:dyDescent="0.25">
      <c r="A94" s="2" t="s">
        <v>7</v>
      </c>
      <c r="B94" s="14">
        <v>1</v>
      </c>
      <c r="C94" s="14"/>
      <c r="D94" s="16">
        <v>1</v>
      </c>
      <c r="E94" s="25">
        <f t="shared" si="1"/>
        <v>0</v>
      </c>
    </row>
    <row r="95" spans="1:5" x14ac:dyDescent="0.25">
      <c r="A95" s="2" t="s">
        <v>8</v>
      </c>
      <c r="B95" s="14">
        <v>4195</v>
      </c>
      <c r="C95" s="14">
        <v>8690</v>
      </c>
      <c r="D95" s="16">
        <v>12885</v>
      </c>
      <c r="E95" s="25">
        <f t="shared" si="1"/>
        <v>0.67442762902599918</v>
      </c>
    </row>
    <row r="96" spans="1:5" x14ac:dyDescent="0.25">
      <c r="A96" s="2" t="s">
        <v>10</v>
      </c>
      <c r="B96" s="14">
        <v>2</v>
      </c>
      <c r="C96" s="14">
        <v>4</v>
      </c>
      <c r="D96" s="16">
        <v>6</v>
      </c>
      <c r="E96" s="25">
        <f t="shared" si="1"/>
        <v>0.66666666666666663</v>
      </c>
    </row>
    <row r="97" spans="1:5" x14ac:dyDescent="0.25">
      <c r="A97" s="2" t="s">
        <v>11</v>
      </c>
      <c r="B97" s="14">
        <v>74</v>
      </c>
      <c r="C97" s="14">
        <v>151</v>
      </c>
      <c r="D97" s="16">
        <v>225</v>
      </c>
      <c r="E97" s="25">
        <f t="shared" si="1"/>
        <v>0.6711111111111111</v>
      </c>
    </row>
    <row r="98" spans="1:5" x14ac:dyDescent="0.25">
      <c r="A98" s="2" t="s">
        <v>12</v>
      </c>
      <c r="B98" s="14">
        <v>1</v>
      </c>
      <c r="C98" s="14"/>
      <c r="D98" s="16">
        <v>1</v>
      </c>
      <c r="E98" s="25">
        <f t="shared" si="1"/>
        <v>0</v>
      </c>
    </row>
    <row r="99" spans="1:5" x14ac:dyDescent="0.25">
      <c r="A99" s="3"/>
      <c r="B99" s="9"/>
      <c r="C99" s="9"/>
      <c r="D99" s="17"/>
    </row>
    <row r="100" spans="1:5" x14ac:dyDescent="0.25">
      <c r="A100" s="3"/>
      <c r="B100" s="9"/>
      <c r="C100" s="9"/>
      <c r="D10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9A8D-3C38-4FD3-811D-BEF9FF91BC81}">
  <dimension ref="A1:E101"/>
  <sheetViews>
    <sheetView workbookViewId="0">
      <selection activeCell="G8" sqref="G8"/>
    </sheetView>
  </sheetViews>
  <sheetFormatPr defaultRowHeight="15" x14ac:dyDescent="0.25"/>
  <cols>
    <col min="1" max="1" width="10.7109375" style="19" bestFit="1" customWidth="1"/>
    <col min="2" max="2" width="35.140625" style="8" bestFit="1" customWidth="1"/>
    <col min="3" max="3" width="11.5703125" style="8" bestFit="1" customWidth="1"/>
    <col min="4" max="4" width="12.85546875" style="8" bestFit="1" customWidth="1"/>
    <col min="5" max="5" width="20.140625" style="8" bestFit="1" customWidth="1"/>
  </cols>
  <sheetData>
    <row r="1" spans="1:5" s="5" customFormat="1" ht="25.5" customHeight="1" x14ac:dyDescent="0.25">
      <c r="A1" s="18" t="s">
        <v>0</v>
      </c>
      <c r="B1" s="6" t="s">
        <v>1</v>
      </c>
      <c r="C1" s="7" t="s">
        <v>2</v>
      </c>
      <c r="D1" s="7" t="s">
        <v>3</v>
      </c>
      <c r="E1" s="20" t="s">
        <v>24</v>
      </c>
    </row>
    <row r="2" spans="1:5" x14ac:dyDescent="0.25">
      <c r="A2" s="1" t="s">
        <v>4</v>
      </c>
      <c r="B2" s="12">
        <v>361</v>
      </c>
      <c r="C2" s="12">
        <v>281</v>
      </c>
      <c r="D2" s="13">
        <f>B2+C2</f>
        <v>642</v>
      </c>
      <c r="E2" s="21">
        <f>C2/D2</f>
        <v>0.43769470404984423</v>
      </c>
    </row>
    <row r="3" spans="1:5" x14ac:dyDescent="0.25">
      <c r="A3" s="1" t="s">
        <v>5</v>
      </c>
      <c r="B3" s="14">
        <v>24</v>
      </c>
      <c r="C3" s="14">
        <v>39</v>
      </c>
      <c r="D3" s="15">
        <f t="shared" ref="D3:D66" si="0">B3+C3</f>
        <v>63</v>
      </c>
      <c r="E3" s="21">
        <f t="shared" ref="E3:E66" si="1">C3/D3</f>
        <v>0.61904761904761907</v>
      </c>
    </row>
    <row r="4" spans="1:5" x14ac:dyDescent="0.25">
      <c r="A4" s="1" t="s">
        <v>6</v>
      </c>
      <c r="B4" s="14">
        <v>21</v>
      </c>
      <c r="C4" s="14">
        <v>10</v>
      </c>
      <c r="D4" s="15">
        <f t="shared" si="0"/>
        <v>31</v>
      </c>
      <c r="E4" s="21">
        <f t="shared" si="1"/>
        <v>0.32258064516129031</v>
      </c>
    </row>
    <row r="5" spans="1:5" x14ac:dyDescent="0.25">
      <c r="A5" s="1" t="s">
        <v>7</v>
      </c>
      <c r="B5" s="14">
        <v>27</v>
      </c>
      <c r="C5" s="14">
        <v>14</v>
      </c>
      <c r="D5" s="15">
        <f t="shared" si="0"/>
        <v>41</v>
      </c>
      <c r="E5" s="21">
        <f t="shared" si="1"/>
        <v>0.34146341463414637</v>
      </c>
    </row>
    <row r="6" spans="1:5" x14ac:dyDescent="0.25">
      <c r="A6" s="1" t="s">
        <v>8</v>
      </c>
      <c r="B6" s="14">
        <v>55</v>
      </c>
      <c r="C6" s="14">
        <v>50</v>
      </c>
      <c r="D6" s="15">
        <f t="shared" si="0"/>
        <v>105</v>
      </c>
      <c r="E6" s="21">
        <f t="shared" si="1"/>
        <v>0.47619047619047616</v>
      </c>
    </row>
    <row r="7" spans="1:5" x14ac:dyDescent="0.25">
      <c r="A7" s="1" t="s">
        <v>9</v>
      </c>
      <c r="B7" s="14">
        <v>13</v>
      </c>
      <c r="C7" s="14">
        <v>23</v>
      </c>
      <c r="D7" s="15">
        <f t="shared" si="0"/>
        <v>36</v>
      </c>
      <c r="E7" s="21">
        <f t="shared" si="1"/>
        <v>0.63888888888888884</v>
      </c>
    </row>
    <row r="8" spans="1:5" x14ac:dyDescent="0.25">
      <c r="A8" s="1" t="s">
        <v>10</v>
      </c>
      <c r="B8" s="14">
        <v>24</v>
      </c>
      <c r="C8" s="14">
        <v>33</v>
      </c>
      <c r="D8" s="15">
        <f t="shared" si="0"/>
        <v>57</v>
      </c>
      <c r="E8" s="21">
        <f t="shared" si="1"/>
        <v>0.57894736842105265</v>
      </c>
    </row>
    <row r="9" spans="1:5" x14ac:dyDescent="0.25">
      <c r="A9" s="1" t="s">
        <v>11</v>
      </c>
      <c r="B9" s="14">
        <v>33</v>
      </c>
      <c r="C9" s="14">
        <v>7</v>
      </c>
      <c r="D9" s="15">
        <f t="shared" si="0"/>
        <v>40</v>
      </c>
      <c r="E9" s="21">
        <f t="shared" si="1"/>
        <v>0.17499999999999999</v>
      </c>
    </row>
    <row r="10" spans="1:5" x14ac:dyDescent="0.25">
      <c r="A10" s="1" t="s">
        <v>12</v>
      </c>
      <c r="B10" s="14">
        <v>38</v>
      </c>
      <c r="C10" s="14">
        <v>18</v>
      </c>
      <c r="D10" s="15">
        <f t="shared" si="0"/>
        <v>56</v>
      </c>
      <c r="E10" s="21">
        <f t="shared" si="1"/>
        <v>0.32142857142857145</v>
      </c>
    </row>
    <row r="11" spans="1:5" x14ac:dyDescent="0.25">
      <c r="A11" s="1" t="s">
        <v>13</v>
      </c>
      <c r="B11" s="14">
        <v>43</v>
      </c>
      <c r="C11" s="14">
        <v>11</v>
      </c>
      <c r="D11" s="15">
        <f t="shared" si="0"/>
        <v>54</v>
      </c>
      <c r="E11" s="21">
        <f t="shared" si="1"/>
        <v>0.20370370370370369</v>
      </c>
    </row>
    <row r="12" spans="1:5" x14ac:dyDescent="0.25">
      <c r="A12" s="1" t="s">
        <v>14</v>
      </c>
      <c r="B12" s="14">
        <v>35</v>
      </c>
      <c r="C12" s="14">
        <v>22</v>
      </c>
      <c r="D12" s="15">
        <f t="shared" si="0"/>
        <v>57</v>
      </c>
      <c r="E12" s="21">
        <f t="shared" si="1"/>
        <v>0.38596491228070173</v>
      </c>
    </row>
    <row r="13" spans="1:5" x14ac:dyDescent="0.25">
      <c r="A13" s="1" t="s">
        <v>15</v>
      </c>
      <c r="B13" s="14">
        <v>25</v>
      </c>
      <c r="C13" s="14">
        <v>16</v>
      </c>
      <c r="D13" s="15">
        <f t="shared" si="0"/>
        <v>41</v>
      </c>
      <c r="E13" s="21">
        <f t="shared" si="1"/>
        <v>0.3902439024390244</v>
      </c>
    </row>
    <row r="14" spans="1:5" x14ac:dyDescent="0.25">
      <c r="A14" s="1" t="s">
        <v>16</v>
      </c>
      <c r="B14" s="14">
        <v>23</v>
      </c>
      <c r="C14" s="14">
        <v>38</v>
      </c>
      <c r="D14" s="15">
        <f t="shared" si="0"/>
        <v>61</v>
      </c>
      <c r="E14" s="21">
        <f t="shared" si="1"/>
        <v>0.62295081967213117</v>
      </c>
    </row>
    <row r="15" spans="1:5" x14ac:dyDescent="0.25">
      <c r="A15" s="1" t="s">
        <v>17</v>
      </c>
      <c r="B15" s="12">
        <v>364</v>
      </c>
      <c r="C15" s="12">
        <v>277</v>
      </c>
      <c r="D15" s="13">
        <f t="shared" si="0"/>
        <v>641</v>
      </c>
      <c r="E15" s="21">
        <f t="shared" si="1"/>
        <v>0.43213728549141966</v>
      </c>
    </row>
    <row r="16" spans="1:5" x14ac:dyDescent="0.25">
      <c r="A16" s="1" t="s">
        <v>5</v>
      </c>
      <c r="B16" s="14">
        <v>7</v>
      </c>
      <c r="C16" s="14">
        <v>2</v>
      </c>
      <c r="D16" s="15">
        <f t="shared" si="0"/>
        <v>9</v>
      </c>
      <c r="E16" s="21">
        <f t="shared" si="1"/>
        <v>0.22222222222222221</v>
      </c>
    </row>
    <row r="17" spans="1:5" x14ac:dyDescent="0.25">
      <c r="A17" s="1" t="s">
        <v>6</v>
      </c>
      <c r="B17" s="14">
        <v>75</v>
      </c>
      <c r="C17" s="14">
        <v>59</v>
      </c>
      <c r="D17" s="15">
        <f t="shared" si="0"/>
        <v>134</v>
      </c>
      <c r="E17" s="21">
        <f t="shared" si="1"/>
        <v>0.44029850746268656</v>
      </c>
    </row>
    <row r="18" spans="1:5" x14ac:dyDescent="0.25">
      <c r="A18" s="1" t="s">
        <v>7</v>
      </c>
      <c r="B18" s="14">
        <v>38</v>
      </c>
      <c r="C18" s="14">
        <v>27</v>
      </c>
      <c r="D18" s="15">
        <f t="shared" si="0"/>
        <v>65</v>
      </c>
      <c r="E18" s="21">
        <f t="shared" si="1"/>
        <v>0.41538461538461541</v>
      </c>
    </row>
    <row r="19" spans="1:5" x14ac:dyDescent="0.25">
      <c r="A19" s="1" t="s">
        <v>8</v>
      </c>
      <c r="B19" s="14">
        <v>32</v>
      </c>
      <c r="C19" s="14">
        <v>14</v>
      </c>
      <c r="D19" s="15">
        <f t="shared" si="0"/>
        <v>46</v>
      </c>
      <c r="E19" s="21">
        <f t="shared" si="1"/>
        <v>0.30434782608695654</v>
      </c>
    </row>
    <row r="20" spans="1:5" x14ac:dyDescent="0.25">
      <c r="A20" s="1" t="s">
        <v>9</v>
      </c>
      <c r="B20" s="14">
        <v>27</v>
      </c>
      <c r="C20" s="14">
        <v>39</v>
      </c>
      <c r="D20" s="15">
        <f t="shared" si="0"/>
        <v>66</v>
      </c>
      <c r="E20" s="21">
        <f t="shared" si="1"/>
        <v>0.59090909090909094</v>
      </c>
    </row>
    <row r="21" spans="1:5" x14ac:dyDescent="0.25">
      <c r="A21" s="1" t="s">
        <v>10</v>
      </c>
      <c r="B21" s="14">
        <v>16</v>
      </c>
      <c r="C21" s="14">
        <v>10</v>
      </c>
      <c r="D21" s="15">
        <f t="shared" si="0"/>
        <v>26</v>
      </c>
      <c r="E21" s="21">
        <f t="shared" si="1"/>
        <v>0.38461538461538464</v>
      </c>
    </row>
    <row r="22" spans="1:5" x14ac:dyDescent="0.25">
      <c r="A22" s="1" t="s">
        <v>11</v>
      </c>
      <c r="B22" s="14">
        <v>23</v>
      </c>
      <c r="C22" s="14">
        <v>6</v>
      </c>
      <c r="D22" s="15">
        <f t="shared" si="0"/>
        <v>29</v>
      </c>
      <c r="E22" s="21">
        <f t="shared" si="1"/>
        <v>0.20689655172413793</v>
      </c>
    </row>
    <row r="23" spans="1:5" x14ac:dyDescent="0.25">
      <c r="A23" s="1" t="s">
        <v>12</v>
      </c>
      <c r="B23" s="14">
        <v>51</v>
      </c>
      <c r="C23" s="14">
        <v>23</v>
      </c>
      <c r="D23" s="15">
        <f t="shared" si="0"/>
        <v>74</v>
      </c>
      <c r="E23" s="21">
        <f t="shared" si="1"/>
        <v>0.3108108108108108</v>
      </c>
    </row>
    <row r="24" spans="1:5" x14ac:dyDescent="0.25">
      <c r="A24" s="1" t="s">
        <v>13</v>
      </c>
      <c r="B24" s="14">
        <v>31</v>
      </c>
      <c r="C24" s="14">
        <v>20</v>
      </c>
      <c r="D24" s="15">
        <f t="shared" si="0"/>
        <v>51</v>
      </c>
      <c r="E24" s="21">
        <f t="shared" si="1"/>
        <v>0.39215686274509803</v>
      </c>
    </row>
    <row r="25" spans="1:5" x14ac:dyDescent="0.25">
      <c r="A25" s="1" t="s">
        <v>14</v>
      </c>
      <c r="B25" s="14">
        <v>23</v>
      </c>
      <c r="C25" s="14">
        <v>18</v>
      </c>
      <c r="D25" s="15">
        <f t="shared" si="0"/>
        <v>41</v>
      </c>
      <c r="E25" s="21">
        <f t="shared" si="1"/>
        <v>0.43902439024390244</v>
      </c>
    </row>
    <row r="26" spans="1:5" x14ac:dyDescent="0.25">
      <c r="A26" s="1" t="s">
        <v>15</v>
      </c>
      <c r="B26" s="14">
        <v>22</v>
      </c>
      <c r="C26" s="14">
        <v>49</v>
      </c>
      <c r="D26" s="15">
        <f t="shared" si="0"/>
        <v>71</v>
      </c>
      <c r="E26" s="21">
        <f t="shared" si="1"/>
        <v>0.6901408450704225</v>
      </c>
    </row>
    <row r="27" spans="1:5" x14ac:dyDescent="0.25">
      <c r="A27" s="1" t="s">
        <v>16</v>
      </c>
      <c r="B27" s="14">
        <v>19</v>
      </c>
      <c r="C27" s="14">
        <v>10</v>
      </c>
      <c r="D27" s="15">
        <f t="shared" si="0"/>
        <v>29</v>
      </c>
      <c r="E27" s="21">
        <f t="shared" si="1"/>
        <v>0.34482758620689657</v>
      </c>
    </row>
    <row r="28" spans="1:5" x14ac:dyDescent="0.25">
      <c r="A28" s="1" t="s">
        <v>18</v>
      </c>
      <c r="B28" s="12">
        <v>3218</v>
      </c>
      <c r="C28" s="12">
        <v>7394</v>
      </c>
      <c r="D28" s="13">
        <f t="shared" si="0"/>
        <v>10612</v>
      </c>
      <c r="E28" s="21">
        <f t="shared" si="1"/>
        <v>0.69675838673200152</v>
      </c>
    </row>
    <row r="29" spans="1:5" x14ac:dyDescent="0.25">
      <c r="A29" s="1" t="s">
        <v>5</v>
      </c>
      <c r="B29" s="14">
        <v>35</v>
      </c>
      <c r="C29" s="14">
        <v>17</v>
      </c>
      <c r="D29" s="15">
        <f t="shared" si="0"/>
        <v>52</v>
      </c>
      <c r="E29" s="21">
        <f t="shared" si="1"/>
        <v>0.32692307692307693</v>
      </c>
    </row>
    <row r="30" spans="1:5" x14ac:dyDescent="0.25">
      <c r="A30" s="1" t="s">
        <v>6</v>
      </c>
      <c r="B30" s="14">
        <v>17</v>
      </c>
      <c r="C30" s="14">
        <v>31</v>
      </c>
      <c r="D30" s="15">
        <f t="shared" si="0"/>
        <v>48</v>
      </c>
      <c r="E30" s="21">
        <f t="shared" si="1"/>
        <v>0.64583333333333337</v>
      </c>
    </row>
    <row r="31" spans="1:5" x14ac:dyDescent="0.25">
      <c r="A31" s="1" t="s">
        <v>7</v>
      </c>
      <c r="B31" s="14">
        <v>32</v>
      </c>
      <c r="C31" s="14">
        <v>104</v>
      </c>
      <c r="D31" s="15">
        <f t="shared" si="0"/>
        <v>136</v>
      </c>
      <c r="E31" s="21">
        <f t="shared" si="1"/>
        <v>0.76470588235294112</v>
      </c>
    </row>
    <row r="32" spans="1:5" x14ac:dyDescent="0.25">
      <c r="A32" s="1" t="s">
        <v>8</v>
      </c>
      <c r="B32" s="14">
        <v>154</v>
      </c>
      <c r="C32" s="14">
        <v>187</v>
      </c>
      <c r="D32" s="15">
        <f t="shared" si="0"/>
        <v>341</v>
      </c>
      <c r="E32" s="21">
        <f t="shared" si="1"/>
        <v>0.54838709677419351</v>
      </c>
    </row>
    <row r="33" spans="1:5" x14ac:dyDescent="0.25">
      <c r="A33" s="1" t="s">
        <v>9</v>
      </c>
      <c r="B33" s="14">
        <v>218</v>
      </c>
      <c r="C33" s="14">
        <v>326</v>
      </c>
      <c r="D33" s="15">
        <f t="shared" si="0"/>
        <v>544</v>
      </c>
      <c r="E33" s="21">
        <f t="shared" si="1"/>
        <v>0.59926470588235292</v>
      </c>
    </row>
    <row r="34" spans="1:5" x14ac:dyDescent="0.25">
      <c r="A34" s="1" t="s">
        <v>10</v>
      </c>
      <c r="B34" s="14">
        <v>432</v>
      </c>
      <c r="C34" s="14">
        <v>683</v>
      </c>
      <c r="D34" s="15">
        <f t="shared" si="0"/>
        <v>1115</v>
      </c>
      <c r="E34" s="21">
        <f t="shared" si="1"/>
        <v>0.61255605381165923</v>
      </c>
    </row>
    <row r="35" spans="1:5" x14ac:dyDescent="0.25">
      <c r="A35" s="1" t="s">
        <v>11</v>
      </c>
      <c r="B35" s="14">
        <v>495</v>
      </c>
      <c r="C35" s="14">
        <v>842</v>
      </c>
      <c r="D35" s="15">
        <f t="shared" si="0"/>
        <v>1337</v>
      </c>
      <c r="E35" s="21">
        <f t="shared" si="1"/>
        <v>0.62976813762154071</v>
      </c>
    </row>
    <row r="36" spans="1:5" x14ac:dyDescent="0.25">
      <c r="A36" s="1" t="s">
        <v>12</v>
      </c>
      <c r="B36" s="14">
        <v>507</v>
      </c>
      <c r="C36" s="14">
        <v>1108</v>
      </c>
      <c r="D36" s="15">
        <f t="shared" si="0"/>
        <v>1615</v>
      </c>
      <c r="E36" s="21">
        <f t="shared" si="1"/>
        <v>0.68606811145510838</v>
      </c>
    </row>
    <row r="37" spans="1:5" x14ac:dyDescent="0.25">
      <c r="A37" s="1" t="s">
        <v>13</v>
      </c>
      <c r="B37" s="14">
        <v>320</v>
      </c>
      <c r="C37" s="14">
        <v>958</v>
      </c>
      <c r="D37" s="15">
        <f t="shared" si="0"/>
        <v>1278</v>
      </c>
      <c r="E37" s="21">
        <f t="shared" si="1"/>
        <v>0.74960876369327079</v>
      </c>
    </row>
    <row r="38" spans="1:5" x14ac:dyDescent="0.25">
      <c r="A38" s="1" t="s">
        <v>14</v>
      </c>
      <c r="B38" s="14">
        <v>350</v>
      </c>
      <c r="C38" s="14">
        <v>1081</v>
      </c>
      <c r="D38" s="15">
        <f t="shared" si="0"/>
        <v>1431</v>
      </c>
      <c r="E38" s="21">
        <f t="shared" si="1"/>
        <v>0.7554157931516422</v>
      </c>
    </row>
    <row r="39" spans="1:5" x14ac:dyDescent="0.25">
      <c r="A39" s="1" t="s">
        <v>15</v>
      </c>
      <c r="B39" s="14">
        <v>331</v>
      </c>
      <c r="C39" s="14">
        <v>1120</v>
      </c>
      <c r="D39" s="15">
        <f t="shared" si="0"/>
        <v>1451</v>
      </c>
      <c r="E39" s="21">
        <f t="shared" si="1"/>
        <v>0.77188146106133704</v>
      </c>
    </row>
    <row r="40" spans="1:5" x14ac:dyDescent="0.25">
      <c r="A40" s="1" t="s">
        <v>16</v>
      </c>
      <c r="B40" s="14">
        <v>327</v>
      </c>
      <c r="C40" s="14">
        <v>937</v>
      </c>
      <c r="D40" s="15">
        <f t="shared" si="0"/>
        <v>1264</v>
      </c>
      <c r="E40" s="21">
        <f t="shared" si="1"/>
        <v>0.74129746835443033</v>
      </c>
    </row>
    <row r="41" spans="1:5" x14ac:dyDescent="0.25">
      <c r="A41" s="1" t="s">
        <v>19</v>
      </c>
      <c r="B41" s="12">
        <v>4549</v>
      </c>
      <c r="C41" s="12">
        <v>10589</v>
      </c>
      <c r="D41" s="13">
        <f t="shared" si="0"/>
        <v>15138</v>
      </c>
      <c r="E41" s="21">
        <f t="shared" si="1"/>
        <v>0.69949795217333866</v>
      </c>
    </row>
    <row r="42" spans="1:5" x14ac:dyDescent="0.25">
      <c r="A42" s="1" t="s">
        <v>5</v>
      </c>
      <c r="B42" s="14">
        <v>369</v>
      </c>
      <c r="C42" s="14">
        <v>1068</v>
      </c>
      <c r="D42" s="15">
        <f t="shared" si="0"/>
        <v>1437</v>
      </c>
      <c r="E42" s="21">
        <f t="shared" si="1"/>
        <v>0.74321503131524014</v>
      </c>
    </row>
    <row r="43" spans="1:5" x14ac:dyDescent="0.25">
      <c r="A43" s="1" t="s">
        <v>6</v>
      </c>
      <c r="B43" s="14">
        <v>352</v>
      </c>
      <c r="C43" s="14">
        <v>1033</v>
      </c>
      <c r="D43" s="15">
        <f t="shared" si="0"/>
        <v>1385</v>
      </c>
      <c r="E43" s="21">
        <f t="shared" si="1"/>
        <v>0.74584837545126359</v>
      </c>
    </row>
    <row r="44" spans="1:5" x14ac:dyDescent="0.25">
      <c r="A44" s="1" t="s">
        <v>7</v>
      </c>
      <c r="B44" s="14">
        <v>396</v>
      </c>
      <c r="C44" s="14">
        <v>1003</v>
      </c>
      <c r="D44" s="15">
        <f t="shared" si="0"/>
        <v>1399</v>
      </c>
      <c r="E44" s="21">
        <f t="shared" si="1"/>
        <v>0.71694067190850608</v>
      </c>
    </row>
    <row r="45" spans="1:5" x14ac:dyDescent="0.25">
      <c r="A45" s="1" t="s">
        <v>8</v>
      </c>
      <c r="B45" s="14">
        <v>295</v>
      </c>
      <c r="C45" s="14">
        <v>889</v>
      </c>
      <c r="D45" s="15">
        <f t="shared" si="0"/>
        <v>1184</v>
      </c>
      <c r="E45" s="21">
        <f t="shared" si="1"/>
        <v>0.75084459459459463</v>
      </c>
    </row>
    <row r="46" spans="1:5" x14ac:dyDescent="0.25">
      <c r="A46" s="1" t="s">
        <v>9</v>
      </c>
      <c r="B46" s="14">
        <v>348</v>
      </c>
      <c r="C46" s="14">
        <v>744</v>
      </c>
      <c r="D46" s="15">
        <f t="shared" si="0"/>
        <v>1092</v>
      </c>
      <c r="E46" s="21">
        <f t="shared" si="1"/>
        <v>0.68131868131868134</v>
      </c>
    </row>
    <row r="47" spans="1:5" x14ac:dyDescent="0.25">
      <c r="A47" s="1" t="s">
        <v>10</v>
      </c>
      <c r="B47" s="14">
        <v>507</v>
      </c>
      <c r="C47" s="14">
        <v>832</v>
      </c>
      <c r="D47" s="15">
        <f t="shared" si="0"/>
        <v>1339</v>
      </c>
      <c r="E47" s="21">
        <f t="shared" si="1"/>
        <v>0.62135922330097082</v>
      </c>
    </row>
    <row r="48" spans="1:5" x14ac:dyDescent="0.25">
      <c r="A48" s="1" t="s">
        <v>11</v>
      </c>
      <c r="B48" s="14">
        <v>435</v>
      </c>
      <c r="C48" s="14">
        <v>805</v>
      </c>
      <c r="D48" s="15">
        <f t="shared" si="0"/>
        <v>1240</v>
      </c>
      <c r="E48" s="21">
        <f t="shared" si="1"/>
        <v>0.64919354838709675</v>
      </c>
    </row>
    <row r="49" spans="1:5" x14ac:dyDescent="0.25">
      <c r="A49" s="1" t="s">
        <v>12</v>
      </c>
      <c r="B49" s="14">
        <v>483</v>
      </c>
      <c r="C49" s="14">
        <v>880</v>
      </c>
      <c r="D49" s="15">
        <f t="shared" si="0"/>
        <v>1363</v>
      </c>
      <c r="E49" s="21">
        <f t="shared" si="1"/>
        <v>0.64563462949376371</v>
      </c>
    </row>
    <row r="50" spans="1:5" x14ac:dyDescent="0.25">
      <c r="A50" s="1" t="s">
        <v>13</v>
      </c>
      <c r="B50" s="14">
        <v>358</v>
      </c>
      <c r="C50" s="14">
        <v>761</v>
      </c>
      <c r="D50" s="15">
        <f t="shared" si="0"/>
        <v>1119</v>
      </c>
      <c r="E50" s="21">
        <f t="shared" si="1"/>
        <v>0.68007149240393205</v>
      </c>
    </row>
    <row r="51" spans="1:5" x14ac:dyDescent="0.25">
      <c r="A51" s="1" t="s">
        <v>14</v>
      </c>
      <c r="B51" s="14">
        <v>394</v>
      </c>
      <c r="C51" s="14">
        <v>847</v>
      </c>
      <c r="D51" s="15">
        <f t="shared" si="0"/>
        <v>1241</v>
      </c>
      <c r="E51" s="21">
        <f t="shared" si="1"/>
        <v>0.68251410153102332</v>
      </c>
    </row>
    <row r="52" spans="1:5" x14ac:dyDescent="0.25">
      <c r="A52" s="1" t="s">
        <v>15</v>
      </c>
      <c r="B52" s="14">
        <v>344</v>
      </c>
      <c r="C52" s="14">
        <v>890</v>
      </c>
      <c r="D52" s="15">
        <f t="shared" si="0"/>
        <v>1234</v>
      </c>
      <c r="E52" s="21">
        <f t="shared" si="1"/>
        <v>0.72123176661264177</v>
      </c>
    </row>
    <row r="53" spans="1:5" x14ac:dyDescent="0.25">
      <c r="A53" s="1" t="s">
        <v>16</v>
      </c>
      <c r="B53" s="14">
        <v>268</v>
      </c>
      <c r="C53" s="14">
        <v>837</v>
      </c>
      <c r="D53" s="15">
        <f t="shared" si="0"/>
        <v>1105</v>
      </c>
      <c r="E53" s="21">
        <f t="shared" si="1"/>
        <v>0.75746606334841626</v>
      </c>
    </row>
    <row r="54" spans="1:5" x14ac:dyDescent="0.25">
      <c r="A54" s="1" t="s">
        <v>20</v>
      </c>
      <c r="B54" s="12">
        <v>4496</v>
      </c>
      <c r="C54" s="12">
        <v>9826</v>
      </c>
      <c r="D54" s="13">
        <f t="shared" si="0"/>
        <v>14322</v>
      </c>
      <c r="E54" s="21">
        <f t="shared" si="1"/>
        <v>0.68607736349671833</v>
      </c>
    </row>
    <row r="55" spans="1:5" x14ac:dyDescent="0.25">
      <c r="A55" s="1" t="s">
        <v>5</v>
      </c>
      <c r="B55" s="14">
        <v>295</v>
      </c>
      <c r="C55" s="14">
        <v>779</v>
      </c>
      <c r="D55" s="15">
        <f t="shared" si="0"/>
        <v>1074</v>
      </c>
      <c r="E55" s="21">
        <f t="shared" si="1"/>
        <v>0.72532588454376168</v>
      </c>
    </row>
    <row r="56" spans="1:5" x14ac:dyDescent="0.25">
      <c r="A56" s="1" t="s">
        <v>6</v>
      </c>
      <c r="B56" s="14">
        <v>243</v>
      </c>
      <c r="C56" s="14">
        <v>654</v>
      </c>
      <c r="D56" s="15">
        <f t="shared" si="0"/>
        <v>897</v>
      </c>
      <c r="E56" s="21">
        <f t="shared" si="1"/>
        <v>0.72909698996655514</v>
      </c>
    </row>
    <row r="57" spans="1:5" x14ac:dyDescent="0.25">
      <c r="A57" s="1" t="s">
        <v>7</v>
      </c>
      <c r="B57" s="14">
        <v>277</v>
      </c>
      <c r="C57" s="14">
        <v>684</v>
      </c>
      <c r="D57" s="15">
        <f t="shared" si="0"/>
        <v>961</v>
      </c>
      <c r="E57" s="21">
        <f t="shared" si="1"/>
        <v>0.71175858480749221</v>
      </c>
    </row>
    <row r="58" spans="1:5" x14ac:dyDescent="0.25">
      <c r="A58" s="1" t="s">
        <v>8</v>
      </c>
      <c r="B58" s="14">
        <v>273</v>
      </c>
      <c r="C58" s="14">
        <v>714</v>
      </c>
      <c r="D58" s="15">
        <f t="shared" si="0"/>
        <v>987</v>
      </c>
      <c r="E58" s="21">
        <f t="shared" si="1"/>
        <v>0.72340425531914898</v>
      </c>
    </row>
    <row r="59" spans="1:5" x14ac:dyDescent="0.25">
      <c r="A59" s="1" t="s">
        <v>9</v>
      </c>
      <c r="B59" s="14">
        <v>326</v>
      </c>
      <c r="C59" s="14">
        <v>679</v>
      </c>
      <c r="D59" s="15">
        <f t="shared" si="0"/>
        <v>1005</v>
      </c>
      <c r="E59" s="21">
        <f t="shared" si="1"/>
        <v>0.67562189054726374</v>
      </c>
    </row>
    <row r="60" spans="1:5" x14ac:dyDescent="0.25">
      <c r="A60" s="1" t="s">
        <v>10</v>
      </c>
      <c r="B60" s="14">
        <v>385</v>
      </c>
      <c r="C60" s="14">
        <v>738</v>
      </c>
      <c r="D60" s="15">
        <f t="shared" si="0"/>
        <v>1123</v>
      </c>
      <c r="E60" s="21">
        <f t="shared" si="1"/>
        <v>0.65716829919857522</v>
      </c>
    </row>
    <row r="61" spans="1:5" x14ac:dyDescent="0.25">
      <c r="A61" s="1" t="s">
        <v>11</v>
      </c>
      <c r="B61" s="14">
        <v>468</v>
      </c>
      <c r="C61" s="14">
        <v>714</v>
      </c>
      <c r="D61" s="15">
        <f t="shared" si="0"/>
        <v>1182</v>
      </c>
      <c r="E61" s="21">
        <f t="shared" si="1"/>
        <v>0.60406091370558379</v>
      </c>
    </row>
    <row r="62" spans="1:5" x14ac:dyDescent="0.25">
      <c r="A62" s="1" t="s">
        <v>12</v>
      </c>
      <c r="B62" s="14">
        <v>597</v>
      </c>
      <c r="C62" s="14">
        <v>1044</v>
      </c>
      <c r="D62" s="15">
        <f t="shared" si="0"/>
        <v>1641</v>
      </c>
      <c r="E62" s="21">
        <f t="shared" si="1"/>
        <v>0.63619744058500916</v>
      </c>
    </row>
    <row r="63" spans="1:5" x14ac:dyDescent="0.25">
      <c r="A63" s="1" t="s">
        <v>13</v>
      </c>
      <c r="B63" s="14">
        <v>418</v>
      </c>
      <c r="C63" s="14">
        <v>1050</v>
      </c>
      <c r="D63" s="15">
        <f t="shared" si="0"/>
        <v>1468</v>
      </c>
      <c r="E63" s="21">
        <f t="shared" si="1"/>
        <v>0.71525885558583102</v>
      </c>
    </row>
    <row r="64" spans="1:5" x14ac:dyDescent="0.25">
      <c r="A64" s="1" t="s">
        <v>14</v>
      </c>
      <c r="B64" s="14">
        <v>442</v>
      </c>
      <c r="C64" s="14">
        <v>1146</v>
      </c>
      <c r="D64" s="15">
        <f t="shared" si="0"/>
        <v>1588</v>
      </c>
      <c r="E64" s="21">
        <f t="shared" si="1"/>
        <v>0.72166246851385385</v>
      </c>
    </row>
    <row r="65" spans="1:5" x14ac:dyDescent="0.25">
      <c r="A65" s="1" t="s">
        <v>15</v>
      </c>
      <c r="B65" s="14">
        <v>410</v>
      </c>
      <c r="C65" s="14">
        <v>842</v>
      </c>
      <c r="D65" s="15">
        <f t="shared" si="0"/>
        <v>1252</v>
      </c>
      <c r="E65" s="21">
        <f t="shared" si="1"/>
        <v>0.67252396166134187</v>
      </c>
    </row>
    <row r="66" spans="1:5" x14ac:dyDescent="0.25">
      <c r="A66" s="1" t="s">
        <v>16</v>
      </c>
      <c r="B66" s="14">
        <v>362</v>
      </c>
      <c r="C66" s="14">
        <v>782</v>
      </c>
      <c r="D66" s="15">
        <f t="shared" si="0"/>
        <v>1144</v>
      </c>
      <c r="E66" s="21">
        <f t="shared" si="1"/>
        <v>0.68356643356643354</v>
      </c>
    </row>
    <row r="67" spans="1:5" x14ac:dyDescent="0.25">
      <c r="A67" s="1" t="s">
        <v>21</v>
      </c>
      <c r="B67" s="12">
        <v>5494</v>
      </c>
      <c r="C67" s="12">
        <v>12575</v>
      </c>
      <c r="D67" s="13">
        <f t="shared" ref="D67:D101" si="2">B67+C67</f>
        <v>18069</v>
      </c>
      <c r="E67" s="21">
        <f t="shared" ref="E67:E101" si="3">C67/D67</f>
        <v>0.69594332835242678</v>
      </c>
    </row>
    <row r="68" spans="1:5" x14ac:dyDescent="0.25">
      <c r="A68" s="1" t="s">
        <v>5</v>
      </c>
      <c r="B68" s="14">
        <v>297</v>
      </c>
      <c r="C68" s="14">
        <v>996</v>
      </c>
      <c r="D68" s="15">
        <f t="shared" si="2"/>
        <v>1293</v>
      </c>
      <c r="E68" s="21">
        <f t="shared" si="3"/>
        <v>0.77030162412993042</v>
      </c>
    </row>
    <row r="69" spans="1:5" x14ac:dyDescent="0.25">
      <c r="A69" s="1" t="s">
        <v>6</v>
      </c>
      <c r="B69" s="14">
        <v>293</v>
      </c>
      <c r="C69" s="14">
        <v>677</v>
      </c>
      <c r="D69" s="15">
        <f t="shared" si="2"/>
        <v>970</v>
      </c>
      <c r="E69" s="21">
        <f t="shared" si="3"/>
        <v>0.69793814432989687</v>
      </c>
    </row>
    <row r="70" spans="1:5" x14ac:dyDescent="0.25">
      <c r="A70" s="1" t="s">
        <v>7</v>
      </c>
      <c r="B70" s="14">
        <v>425</v>
      </c>
      <c r="C70" s="14">
        <v>1203</v>
      </c>
      <c r="D70" s="15">
        <f t="shared" si="2"/>
        <v>1628</v>
      </c>
      <c r="E70" s="21">
        <f t="shared" si="3"/>
        <v>0.73894348894348894</v>
      </c>
    </row>
    <row r="71" spans="1:5" x14ac:dyDescent="0.25">
      <c r="A71" s="1" t="s">
        <v>8</v>
      </c>
      <c r="B71" s="14">
        <v>461</v>
      </c>
      <c r="C71" s="14">
        <v>1073</v>
      </c>
      <c r="D71" s="15">
        <f t="shared" si="2"/>
        <v>1534</v>
      </c>
      <c r="E71" s="21">
        <f t="shared" si="3"/>
        <v>0.69947848761408082</v>
      </c>
    </row>
    <row r="72" spans="1:5" x14ac:dyDescent="0.25">
      <c r="A72" s="1" t="s">
        <v>9</v>
      </c>
      <c r="B72" s="14">
        <v>505</v>
      </c>
      <c r="C72" s="14">
        <v>1078</v>
      </c>
      <c r="D72" s="15">
        <f t="shared" si="2"/>
        <v>1583</v>
      </c>
      <c r="E72" s="21">
        <f t="shared" si="3"/>
        <v>0.68098547062539483</v>
      </c>
    </row>
    <row r="73" spans="1:5" x14ac:dyDescent="0.25">
      <c r="A73" s="1" t="s">
        <v>10</v>
      </c>
      <c r="B73" s="14">
        <v>614</v>
      </c>
      <c r="C73" s="14">
        <v>1172</v>
      </c>
      <c r="D73" s="15">
        <f t="shared" si="2"/>
        <v>1786</v>
      </c>
      <c r="E73" s="21">
        <f t="shared" si="3"/>
        <v>0.65621500559910417</v>
      </c>
    </row>
    <row r="74" spans="1:5" x14ac:dyDescent="0.25">
      <c r="A74" s="1" t="s">
        <v>11</v>
      </c>
      <c r="B74" s="14">
        <v>584</v>
      </c>
      <c r="C74" s="14">
        <v>1324</v>
      </c>
      <c r="D74" s="15">
        <f t="shared" si="2"/>
        <v>1908</v>
      </c>
      <c r="E74" s="21">
        <f t="shared" si="3"/>
        <v>0.69392033542976939</v>
      </c>
    </row>
    <row r="75" spans="1:5" x14ac:dyDescent="0.25">
      <c r="A75" s="1" t="s">
        <v>12</v>
      </c>
      <c r="B75" s="14">
        <v>615</v>
      </c>
      <c r="C75" s="14">
        <v>1304</v>
      </c>
      <c r="D75" s="15">
        <f t="shared" si="2"/>
        <v>1919</v>
      </c>
      <c r="E75" s="21">
        <f t="shared" si="3"/>
        <v>0.67952058363731105</v>
      </c>
    </row>
    <row r="76" spans="1:5" x14ac:dyDescent="0.25">
      <c r="A76" s="1" t="s">
        <v>13</v>
      </c>
      <c r="B76" s="14">
        <v>524</v>
      </c>
      <c r="C76" s="14">
        <v>1102</v>
      </c>
      <c r="D76" s="15">
        <f t="shared" si="2"/>
        <v>1626</v>
      </c>
      <c r="E76" s="21">
        <f t="shared" si="3"/>
        <v>0.67773677736777371</v>
      </c>
    </row>
    <row r="77" spans="1:5" x14ac:dyDescent="0.25">
      <c r="A77" s="1" t="s">
        <v>14</v>
      </c>
      <c r="B77" s="14">
        <v>452</v>
      </c>
      <c r="C77" s="14">
        <v>967</v>
      </c>
      <c r="D77" s="15">
        <f t="shared" si="2"/>
        <v>1419</v>
      </c>
      <c r="E77" s="21">
        <f t="shared" si="3"/>
        <v>0.68146582100070474</v>
      </c>
    </row>
    <row r="78" spans="1:5" x14ac:dyDescent="0.25">
      <c r="A78" s="1" t="s">
        <v>15</v>
      </c>
      <c r="B78" s="14">
        <v>347</v>
      </c>
      <c r="C78" s="14">
        <v>794</v>
      </c>
      <c r="D78" s="15">
        <f t="shared" si="2"/>
        <v>1141</v>
      </c>
      <c r="E78" s="21">
        <f t="shared" si="3"/>
        <v>0.69588080631025417</v>
      </c>
    </row>
    <row r="79" spans="1:5" x14ac:dyDescent="0.25">
      <c r="A79" s="1" t="s">
        <v>16</v>
      </c>
      <c r="B79" s="14">
        <v>377</v>
      </c>
      <c r="C79" s="14">
        <v>885</v>
      </c>
      <c r="D79" s="15">
        <f t="shared" si="2"/>
        <v>1262</v>
      </c>
      <c r="E79" s="21">
        <f t="shared" si="3"/>
        <v>0.70126782884310623</v>
      </c>
    </row>
    <row r="80" spans="1:5" x14ac:dyDescent="0.25">
      <c r="A80" s="1" t="s">
        <v>22</v>
      </c>
      <c r="B80" s="12">
        <v>6994</v>
      </c>
      <c r="C80" s="12">
        <v>13671</v>
      </c>
      <c r="D80" s="13">
        <f t="shared" si="2"/>
        <v>20665</v>
      </c>
      <c r="E80" s="21">
        <f t="shared" si="3"/>
        <v>0.66155335107669977</v>
      </c>
    </row>
    <row r="81" spans="1:5" x14ac:dyDescent="0.25">
      <c r="A81" s="1" t="s">
        <v>5</v>
      </c>
      <c r="B81" s="14">
        <v>442</v>
      </c>
      <c r="C81" s="14">
        <v>1068</v>
      </c>
      <c r="D81" s="15">
        <f t="shared" si="2"/>
        <v>1510</v>
      </c>
      <c r="E81" s="21">
        <f t="shared" si="3"/>
        <v>0.70728476821192054</v>
      </c>
    </row>
    <row r="82" spans="1:5" x14ac:dyDescent="0.25">
      <c r="A82" s="1" t="s">
        <v>6</v>
      </c>
      <c r="B82" s="14">
        <v>377</v>
      </c>
      <c r="C82" s="14">
        <v>998</v>
      </c>
      <c r="D82" s="15">
        <f t="shared" si="2"/>
        <v>1375</v>
      </c>
      <c r="E82" s="21">
        <f t="shared" si="3"/>
        <v>0.72581818181818181</v>
      </c>
    </row>
    <row r="83" spans="1:5" x14ac:dyDescent="0.25">
      <c r="A83" s="1" t="s">
        <v>7</v>
      </c>
      <c r="B83" s="14">
        <v>503</v>
      </c>
      <c r="C83" s="14">
        <v>892</v>
      </c>
      <c r="D83" s="15">
        <f t="shared" si="2"/>
        <v>1395</v>
      </c>
      <c r="E83" s="21">
        <f t="shared" si="3"/>
        <v>0.63942652329749106</v>
      </c>
    </row>
    <row r="84" spans="1:5" x14ac:dyDescent="0.25">
      <c r="A84" s="1" t="s">
        <v>8</v>
      </c>
      <c r="B84" s="14">
        <v>457</v>
      </c>
      <c r="C84" s="14">
        <v>1041</v>
      </c>
      <c r="D84" s="15">
        <f t="shared" si="2"/>
        <v>1498</v>
      </c>
      <c r="E84" s="21">
        <f t="shared" si="3"/>
        <v>0.69492656875834447</v>
      </c>
    </row>
    <row r="85" spans="1:5" x14ac:dyDescent="0.25">
      <c r="A85" s="1" t="s">
        <v>9</v>
      </c>
      <c r="B85" s="14">
        <v>601</v>
      </c>
      <c r="C85" s="14">
        <v>1353</v>
      </c>
      <c r="D85" s="15">
        <f t="shared" si="2"/>
        <v>1954</v>
      </c>
      <c r="E85" s="21">
        <f t="shared" si="3"/>
        <v>0.69242579324462639</v>
      </c>
    </row>
    <row r="86" spans="1:5" x14ac:dyDescent="0.25">
      <c r="A86" s="1" t="s">
        <v>10</v>
      </c>
      <c r="B86" s="14">
        <v>712</v>
      </c>
      <c r="C86" s="14">
        <v>1304</v>
      </c>
      <c r="D86" s="15">
        <f t="shared" si="2"/>
        <v>2016</v>
      </c>
      <c r="E86" s="21">
        <f t="shared" si="3"/>
        <v>0.64682539682539686</v>
      </c>
    </row>
    <row r="87" spans="1:5" x14ac:dyDescent="0.25">
      <c r="A87" s="1" t="s">
        <v>11</v>
      </c>
      <c r="B87" s="14">
        <v>703</v>
      </c>
      <c r="C87" s="14">
        <v>1132</v>
      </c>
      <c r="D87" s="15">
        <f t="shared" si="2"/>
        <v>1835</v>
      </c>
      <c r="E87" s="21">
        <f t="shared" si="3"/>
        <v>0.61689373297002725</v>
      </c>
    </row>
    <row r="88" spans="1:5" x14ac:dyDescent="0.25">
      <c r="A88" s="1" t="s">
        <v>12</v>
      </c>
      <c r="B88" s="14">
        <v>761</v>
      </c>
      <c r="C88" s="14">
        <v>1284</v>
      </c>
      <c r="D88" s="15">
        <f t="shared" si="2"/>
        <v>2045</v>
      </c>
      <c r="E88" s="21">
        <f t="shared" si="3"/>
        <v>0.62787286063569681</v>
      </c>
    </row>
    <row r="89" spans="1:5" x14ac:dyDescent="0.25">
      <c r="A89" s="1" t="s">
        <v>13</v>
      </c>
      <c r="B89" s="14">
        <v>609</v>
      </c>
      <c r="C89" s="14">
        <v>1049</v>
      </c>
      <c r="D89" s="15">
        <f t="shared" si="2"/>
        <v>1658</v>
      </c>
      <c r="E89" s="21">
        <f t="shared" si="3"/>
        <v>0.63268998793727382</v>
      </c>
    </row>
    <row r="90" spans="1:5" x14ac:dyDescent="0.25">
      <c r="A90" s="1" t="s">
        <v>14</v>
      </c>
      <c r="B90" s="14">
        <v>639</v>
      </c>
      <c r="C90" s="14">
        <v>1092</v>
      </c>
      <c r="D90" s="15">
        <f t="shared" si="2"/>
        <v>1731</v>
      </c>
      <c r="E90" s="21">
        <f t="shared" si="3"/>
        <v>0.63084922010398614</v>
      </c>
    </row>
    <row r="91" spans="1:5" x14ac:dyDescent="0.25">
      <c r="A91" s="1" t="s">
        <v>15</v>
      </c>
      <c r="B91" s="14">
        <v>545</v>
      </c>
      <c r="C91" s="14">
        <v>1115</v>
      </c>
      <c r="D91" s="15">
        <f t="shared" si="2"/>
        <v>1660</v>
      </c>
      <c r="E91" s="21">
        <f t="shared" si="3"/>
        <v>0.67168674698795183</v>
      </c>
    </row>
    <row r="92" spans="1:5" x14ac:dyDescent="0.25">
      <c r="A92" s="1" t="s">
        <v>16</v>
      </c>
      <c r="B92" s="14">
        <v>645</v>
      </c>
      <c r="C92" s="14">
        <v>1343</v>
      </c>
      <c r="D92" s="15">
        <f t="shared" si="2"/>
        <v>1988</v>
      </c>
      <c r="E92" s="21">
        <f t="shared" si="3"/>
        <v>0.67555331991951706</v>
      </c>
    </row>
    <row r="93" spans="1:5" x14ac:dyDescent="0.25">
      <c r="A93" s="1" t="s">
        <v>23</v>
      </c>
      <c r="B93" s="12">
        <v>5719</v>
      </c>
      <c r="C93" s="12">
        <v>10141</v>
      </c>
      <c r="D93" s="13">
        <f t="shared" si="2"/>
        <v>15860</v>
      </c>
      <c r="E93" s="21">
        <f t="shared" si="3"/>
        <v>0.63940731399747797</v>
      </c>
    </row>
    <row r="94" spans="1:5" x14ac:dyDescent="0.25">
      <c r="A94" s="1" t="s">
        <v>5</v>
      </c>
      <c r="B94" s="14">
        <v>614</v>
      </c>
      <c r="C94" s="14">
        <v>1370</v>
      </c>
      <c r="D94" s="15">
        <f t="shared" si="2"/>
        <v>1984</v>
      </c>
      <c r="E94" s="21">
        <f t="shared" si="3"/>
        <v>0.69052419354838712</v>
      </c>
    </row>
    <row r="95" spans="1:5" x14ac:dyDescent="0.25">
      <c r="A95" s="1" t="s">
        <v>6</v>
      </c>
      <c r="B95" s="14">
        <v>571</v>
      </c>
      <c r="C95" s="14">
        <v>1480</v>
      </c>
      <c r="D95" s="15">
        <f t="shared" si="2"/>
        <v>2051</v>
      </c>
      <c r="E95" s="21">
        <f t="shared" si="3"/>
        <v>0.72159921989273523</v>
      </c>
    </row>
    <row r="96" spans="1:5" x14ac:dyDescent="0.25">
      <c r="A96" s="1" t="s">
        <v>7</v>
      </c>
      <c r="B96" s="14">
        <v>733</v>
      </c>
      <c r="C96" s="14">
        <v>1444</v>
      </c>
      <c r="D96" s="15">
        <f t="shared" si="2"/>
        <v>2177</v>
      </c>
      <c r="E96" s="21">
        <f t="shared" si="3"/>
        <v>0.66329811667432248</v>
      </c>
    </row>
    <row r="97" spans="1:5" x14ac:dyDescent="0.25">
      <c r="A97" s="1" t="s">
        <v>8</v>
      </c>
      <c r="B97" s="14">
        <v>667</v>
      </c>
      <c r="C97" s="14">
        <v>1274</v>
      </c>
      <c r="D97" s="15">
        <f t="shared" si="2"/>
        <v>1941</v>
      </c>
      <c r="E97" s="21">
        <f t="shared" si="3"/>
        <v>0.65636269963936111</v>
      </c>
    </row>
    <row r="98" spans="1:5" x14ac:dyDescent="0.25">
      <c r="A98" s="1" t="s">
        <v>9</v>
      </c>
      <c r="B98" s="14">
        <v>790</v>
      </c>
      <c r="C98" s="14">
        <v>1454</v>
      </c>
      <c r="D98" s="15">
        <f t="shared" si="2"/>
        <v>2244</v>
      </c>
      <c r="E98" s="21">
        <f t="shared" si="3"/>
        <v>0.64795008912655971</v>
      </c>
    </row>
    <row r="99" spans="1:5" x14ac:dyDescent="0.25">
      <c r="A99" s="1" t="s">
        <v>10</v>
      </c>
      <c r="B99" s="14">
        <v>898</v>
      </c>
      <c r="C99" s="14">
        <v>1142</v>
      </c>
      <c r="D99" s="15">
        <f t="shared" si="2"/>
        <v>2040</v>
      </c>
      <c r="E99" s="21">
        <f t="shared" si="3"/>
        <v>0.55980392156862746</v>
      </c>
    </row>
    <row r="100" spans="1:5" x14ac:dyDescent="0.25">
      <c r="A100" s="1" t="s">
        <v>11</v>
      </c>
      <c r="B100" s="14">
        <v>1029</v>
      </c>
      <c r="C100" s="14">
        <v>1470</v>
      </c>
      <c r="D100" s="15">
        <f t="shared" si="2"/>
        <v>2499</v>
      </c>
      <c r="E100" s="21">
        <f t="shared" si="3"/>
        <v>0.58823529411764708</v>
      </c>
    </row>
    <row r="101" spans="1:5" x14ac:dyDescent="0.25">
      <c r="A101" s="1" t="s">
        <v>12</v>
      </c>
      <c r="B101" s="14">
        <v>417</v>
      </c>
      <c r="C101" s="14">
        <v>506</v>
      </c>
      <c r="D101" s="15">
        <f t="shared" si="2"/>
        <v>923</v>
      </c>
      <c r="E101" s="21">
        <f t="shared" si="3"/>
        <v>0.54821235102925248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603E-CEE7-45A5-AA5E-1AA86B7EA154}">
  <dimension ref="A1:E101"/>
  <sheetViews>
    <sheetView workbookViewId="0">
      <selection activeCell="F12" sqref="F12"/>
    </sheetView>
  </sheetViews>
  <sheetFormatPr defaultRowHeight="15" x14ac:dyDescent="0.25"/>
  <cols>
    <col min="1" max="1" width="17.42578125" customWidth="1"/>
    <col min="2" max="2" width="17.28515625" style="8" bestFit="1" customWidth="1"/>
    <col min="3" max="3" width="11.140625" style="8" bestFit="1" customWidth="1"/>
    <col min="4" max="4" width="12.140625" style="8" bestFit="1" customWidth="1"/>
    <col min="5" max="5" width="20.140625" style="8" bestFit="1" customWidth="1"/>
  </cols>
  <sheetData>
    <row r="1" spans="1:5" s="5" customFormat="1" ht="25.5" customHeight="1" x14ac:dyDescent="0.25">
      <c r="A1" s="4" t="s">
        <v>0</v>
      </c>
      <c r="B1" s="6" t="s">
        <v>1</v>
      </c>
      <c r="C1" s="7" t="s">
        <v>2</v>
      </c>
      <c r="D1" s="7" t="s">
        <v>3</v>
      </c>
      <c r="E1" s="20" t="s">
        <v>24</v>
      </c>
    </row>
    <row r="2" spans="1:5" x14ac:dyDescent="0.25">
      <c r="A2" s="22" t="s">
        <v>4</v>
      </c>
      <c r="B2" s="14">
        <v>9027</v>
      </c>
      <c r="C2" s="14">
        <v>8434</v>
      </c>
      <c r="D2" s="21">
        <f>B2+C2</f>
        <v>17461</v>
      </c>
      <c r="E2" s="21">
        <f>C2/D2</f>
        <v>0.48301930015463029</v>
      </c>
    </row>
    <row r="3" spans="1:5" x14ac:dyDescent="0.25">
      <c r="A3" s="23" t="s">
        <v>5</v>
      </c>
      <c r="B3" s="14">
        <v>1226</v>
      </c>
      <c r="C3" s="14">
        <v>1048</v>
      </c>
      <c r="D3" s="21">
        <f t="shared" ref="D3:D66" si="0">B3+C3</f>
        <v>2274</v>
      </c>
      <c r="E3" s="21">
        <f t="shared" ref="E3:E66" si="1">C3/D3</f>
        <v>0.46086191732629728</v>
      </c>
    </row>
    <row r="4" spans="1:5" x14ac:dyDescent="0.25">
      <c r="A4" s="23" t="s">
        <v>6</v>
      </c>
      <c r="B4" s="14">
        <v>635</v>
      </c>
      <c r="C4" s="14">
        <v>681</v>
      </c>
      <c r="D4" s="21">
        <f t="shared" si="0"/>
        <v>1316</v>
      </c>
      <c r="E4" s="21">
        <f t="shared" si="1"/>
        <v>0.51747720364741645</v>
      </c>
    </row>
    <row r="5" spans="1:5" x14ac:dyDescent="0.25">
      <c r="A5" s="23" t="s">
        <v>7</v>
      </c>
      <c r="B5" s="14">
        <v>1113</v>
      </c>
      <c r="C5" s="14">
        <v>1103</v>
      </c>
      <c r="D5" s="21">
        <f t="shared" si="0"/>
        <v>2216</v>
      </c>
      <c r="E5" s="21">
        <f t="shared" si="1"/>
        <v>0.49774368231046934</v>
      </c>
    </row>
    <row r="6" spans="1:5" x14ac:dyDescent="0.25">
      <c r="A6" s="23" t="s">
        <v>8</v>
      </c>
      <c r="B6" s="14">
        <v>1742</v>
      </c>
      <c r="C6" s="14">
        <v>1661</v>
      </c>
      <c r="D6" s="21">
        <f t="shared" si="0"/>
        <v>3403</v>
      </c>
      <c r="E6" s="21">
        <f t="shared" si="1"/>
        <v>0.48809873640905083</v>
      </c>
    </row>
    <row r="7" spans="1:5" x14ac:dyDescent="0.25">
      <c r="A7" s="23" t="s">
        <v>9</v>
      </c>
      <c r="B7" s="14">
        <v>933</v>
      </c>
      <c r="C7" s="14">
        <v>813</v>
      </c>
      <c r="D7" s="21">
        <f t="shared" si="0"/>
        <v>1746</v>
      </c>
      <c r="E7" s="21">
        <f t="shared" si="1"/>
        <v>0.46563573883161513</v>
      </c>
    </row>
    <row r="8" spans="1:5" x14ac:dyDescent="0.25">
      <c r="A8" s="23" t="s">
        <v>10</v>
      </c>
      <c r="B8" s="14">
        <v>1170</v>
      </c>
      <c r="C8" s="14">
        <v>1209</v>
      </c>
      <c r="D8" s="21">
        <f t="shared" si="0"/>
        <v>2379</v>
      </c>
      <c r="E8" s="21">
        <f t="shared" si="1"/>
        <v>0.50819672131147542</v>
      </c>
    </row>
    <row r="9" spans="1:5" x14ac:dyDescent="0.25">
      <c r="A9" s="23" t="s">
        <v>11</v>
      </c>
      <c r="B9" s="14">
        <v>828</v>
      </c>
      <c r="C9" s="14">
        <v>698</v>
      </c>
      <c r="D9" s="21">
        <f t="shared" si="0"/>
        <v>1526</v>
      </c>
      <c r="E9" s="21">
        <f t="shared" si="1"/>
        <v>0.45740498034076016</v>
      </c>
    </row>
    <row r="10" spans="1:5" x14ac:dyDescent="0.25">
      <c r="A10" s="23" t="s">
        <v>12</v>
      </c>
      <c r="B10" s="14">
        <v>439</v>
      </c>
      <c r="C10" s="14">
        <v>339</v>
      </c>
      <c r="D10" s="21">
        <f t="shared" si="0"/>
        <v>778</v>
      </c>
      <c r="E10" s="21">
        <f t="shared" si="1"/>
        <v>0.43573264781491</v>
      </c>
    </row>
    <row r="11" spans="1:5" x14ac:dyDescent="0.25">
      <c r="A11" s="23" t="s">
        <v>13</v>
      </c>
      <c r="B11" s="14">
        <v>267</v>
      </c>
      <c r="C11" s="14">
        <v>283</v>
      </c>
      <c r="D11" s="21">
        <f t="shared" si="0"/>
        <v>550</v>
      </c>
      <c r="E11" s="21">
        <f t="shared" si="1"/>
        <v>0.51454545454545453</v>
      </c>
    </row>
    <row r="12" spans="1:5" x14ac:dyDescent="0.25">
      <c r="A12" s="23" t="s">
        <v>14</v>
      </c>
      <c r="B12" s="14">
        <v>391</v>
      </c>
      <c r="C12" s="14">
        <v>384</v>
      </c>
      <c r="D12" s="21">
        <f t="shared" si="0"/>
        <v>775</v>
      </c>
      <c r="E12" s="21">
        <f t="shared" si="1"/>
        <v>0.49548387096774194</v>
      </c>
    </row>
    <row r="13" spans="1:5" x14ac:dyDescent="0.25">
      <c r="A13" s="23" t="s">
        <v>15</v>
      </c>
      <c r="B13" s="14">
        <v>121</v>
      </c>
      <c r="C13" s="14">
        <v>113</v>
      </c>
      <c r="D13" s="21">
        <f t="shared" si="0"/>
        <v>234</v>
      </c>
      <c r="E13" s="21">
        <f t="shared" si="1"/>
        <v>0.48290598290598291</v>
      </c>
    </row>
    <row r="14" spans="1:5" x14ac:dyDescent="0.25">
      <c r="A14" s="23" t="s">
        <v>16</v>
      </c>
      <c r="B14" s="14">
        <v>162</v>
      </c>
      <c r="C14" s="14">
        <v>102</v>
      </c>
      <c r="D14" s="21">
        <f t="shared" si="0"/>
        <v>264</v>
      </c>
      <c r="E14" s="21">
        <f t="shared" si="1"/>
        <v>0.38636363636363635</v>
      </c>
    </row>
    <row r="15" spans="1:5" x14ac:dyDescent="0.25">
      <c r="A15" s="22" t="s">
        <v>17</v>
      </c>
      <c r="B15" s="14">
        <v>15389</v>
      </c>
      <c r="C15" s="14">
        <v>17216</v>
      </c>
      <c r="D15" s="21">
        <f t="shared" si="0"/>
        <v>32605</v>
      </c>
      <c r="E15" s="21">
        <f t="shared" si="1"/>
        <v>0.52801717527986503</v>
      </c>
    </row>
    <row r="16" spans="1:5" x14ac:dyDescent="0.25">
      <c r="A16" s="23" t="s">
        <v>5</v>
      </c>
      <c r="B16" s="14">
        <v>99</v>
      </c>
      <c r="C16" s="14">
        <v>44</v>
      </c>
      <c r="D16" s="21">
        <f t="shared" si="0"/>
        <v>143</v>
      </c>
      <c r="E16" s="21">
        <f t="shared" si="1"/>
        <v>0.30769230769230771</v>
      </c>
    </row>
    <row r="17" spans="1:5" x14ac:dyDescent="0.25">
      <c r="A17" s="23" t="s">
        <v>6</v>
      </c>
      <c r="B17" s="14">
        <v>47</v>
      </c>
      <c r="C17" s="14">
        <v>29</v>
      </c>
      <c r="D17" s="21">
        <f t="shared" si="0"/>
        <v>76</v>
      </c>
      <c r="E17" s="21">
        <f t="shared" si="1"/>
        <v>0.38157894736842107</v>
      </c>
    </row>
    <row r="18" spans="1:5" x14ac:dyDescent="0.25">
      <c r="A18" s="23" t="s">
        <v>7</v>
      </c>
      <c r="B18" s="14">
        <v>1546</v>
      </c>
      <c r="C18" s="14">
        <v>1708</v>
      </c>
      <c r="D18" s="21">
        <f t="shared" si="0"/>
        <v>3254</v>
      </c>
      <c r="E18" s="21">
        <f t="shared" si="1"/>
        <v>0.52489244007375535</v>
      </c>
    </row>
    <row r="19" spans="1:5" x14ac:dyDescent="0.25">
      <c r="A19" s="23" t="s">
        <v>8</v>
      </c>
      <c r="B19" s="14">
        <v>3096</v>
      </c>
      <c r="C19" s="14">
        <v>3897</v>
      </c>
      <c r="D19" s="21">
        <f t="shared" si="0"/>
        <v>6993</v>
      </c>
      <c r="E19" s="21">
        <f t="shared" si="1"/>
        <v>0.55727155727155731</v>
      </c>
    </row>
    <row r="20" spans="1:5" x14ac:dyDescent="0.25">
      <c r="A20" s="23" t="s">
        <v>9</v>
      </c>
      <c r="B20" s="14">
        <v>4644</v>
      </c>
      <c r="C20" s="14">
        <v>4484</v>
      </c>
      <c r="D20" s="21">
        <f t="shared" si="0"/>
        <v>9128</v>
      </c>
      <c r="E20" s="21">
        <f t="shared" si="1"/>
        <v>0.49123575810692377</v>
      </c>
    </row>
    <row r="21" spans="1:5" x14ac:dyDescent="0.25">
      <c r="A21" s="23" t="s">
        <v>10</v>
      </c>
      <c r="B21" s="14">
        <v>971</v>
      </c>
      <c r="C21" s="14">
        <v>916</v>
      </c>
      <c r="D21" s="21">
        <f t="shared" si="0"/>
        <v>1887</v>
      </c>
      <c r="E21" s="21">
        <f t="shared" si="1"/>
        <v>0.48542660307366192</v>
      </c>
    </row>
    <row r="22" spans="1:5" x14ac:dyDescent="0.25">
      <c r="A22" s="23" t="s">
        <v>11</v>
      </c>
      <c r="B22" s="14">
        <v>1091</v>
      </c>
      <c r="C22" s="14">
        <v>1452</v>
      </c>
      <c r="D22" s="21">
        <f t="shared" si="0"/>
        <v>2543</v>
      </c>
      <c r="E22" s="21">
        <f t="shared" si="1"/>
        <v>0.57097915847424296</v>
      </c>
    </row>
    <row r="23" spans="1:5" x14ac:dyDescent="0.25">
      <c r="A23" s="23" t="s">
        <v>12</v>
      </c>
      <c r="B23" s="14">
        <v>1515</v>
      </c>
      <c r="C23" s="14">
        <v>1677</v>
      </c>
      <c r="D23" s="21">
        <f t="shared" si="0"/>
        <v>3192</v>
      </c>
      <c r="E23" s="21">
        <f t="shared" si="1"/>
        <v>0.52537593984962405</v>
      </c>
    </row>
    <row r="24" spans="1:5" x14ac:dyDescent="0.25">
      <c r="A24" s="23" t="s">
        <v>13</v>
      </c>
      <c r="B24" s="14">
        <v>811</v>
      </c>
      <c r="C24" s="14">
        <v>907</v>
      </c>
      <c r="D24" s="21">
        <f t="shared" si="0"/>
        <v>1718</v>
      </c>
      <c r="E24" s="21">
        <f t="shared" si="1"/>
        <v>0.52793946449359719</v>
      </c>
    </row>
    <row r="25" spans="1:5" x14ac:dyDescent="0.25">
      <c r="A25" s="23" t="s">
        <v>14</v>
      </c>
      <c r="B25" s="14">
        <v>1256</v>
      </c>
      <c r="C25" s="14">
        <v>1738</v>
      </c>
      <c r="D25" s="21">
        <f t="shared" si="0"/>
        <v>2994</v>
      </c>
      <c r="E25" s="21">
        <f t="shared" si="1"/>
        <v>0.5804943219772879</v>
      </c>
    </row>
    <row r="26" spans="1:5" x14ac:dyDescent="0.25">
      <c r="A26" s="23" t="s">
        <v>15</v>
      </c>
      <c r="B26" s="14">
        <v>245</v>
      </c>
      <c r="C26" s="14">
        <v>276</v>
      </c>
      <c r="D26" s="21">
        <f t="shared" si="0"/>
        <v>521</v>
      </c>
      <c r="E26" s="21">
        <f t="shared" si="1"/>
        <v>0.52975047984644918</v>
      </c>
    </row>
    <row r="27" spans="1:5" x14ac:dyDescent="0.25">
      <c r="A27" s="23" t="s">
        <v>16</v>
      </c>
      <c r="B27" s="14">
        <v>68</v>
      </c>
      <c r="C27" s="14">
        <v>88</v>
      </c>
      <c r="D27" s="21">
        <f t="shared" si="0"/>
        <v>156</v>
      </c>
      <c r="E27" s="21">
        <f t="shared" si="1"/>
        <v>0.5641025641025641</v>
      </c>
    </row>
    <row r="28" spans="1:5" x14ac:dyDescent="0.25">
      <c r="A28" s="22" t="s">
        <v>18</v>
      </c>
      <c r="B28" s="14">
        <v>21052</v>
      </c>
      <c r="C28" s="14">
        <v>27220</v>
      </c>
      <c r="D28" s="21">
        <f t="shared" si="0"/>
        <v>48272</v>
      </c>
      <c r="E28" s="21">
        <f t="shared" si="1"/>
        <v>0.56388796818031162</v>
      </c>
    </row>
    <row r="29" spans="1:5" x14ac:dyDescent="0.25">
      <c r="A29" s="23" t="s">
        <v>5</v>
      </c>
      <c r="B29" s="14">
        <v>183</v>
      </c>
      <c r="C29" s="14">
        <v>201</v>
      </c>
      <c r="D29" s="21">
        <f t="shared" si="0"/>
        <v>384</v>
      </c>
      <c r="E29" s="21">
        <f t="shared" si="1"/>
        <v>0.5234375</v>
      </c>
    </row>
    <row r="30" spans="1:5" x14ac:dyDescent="0.25">
      <c r="A30" s="23" t="s">
        <v>6</v>
      </c>
      <c r="B30" s="14">
        <v>163</v>
      </c>
      <c r="C30" s="14">
        <v>205</v>
      </c>
      <c r="D30" s="21">
        <f t="shared" si="0"/>
        <v>368</v>
      </c>
      <c r="E30" s="21">
        <f t="shared" si="1"/>
        <v>0.55706521739130432</v>
      </c>
    </row>
    <row r="31" spans="1:5" x14ac:dyDescent="0.25">
      <c r="A31" s="23" t="s">
        <v>7</v>
      </c>
      <c r="B31" s="14">
        <v>1237</v>
      </c>
      <c r="C31" s="14">
        <v>1483</v>
      </c>
      <c r="D31" s="21">
        <f t="shared" si="0"/>
        <v>2720</v>
      </c>
      <c r="E31" s="21">
        <f t="shared" si="1"/>
        <v>0.54522058823529407</v>
      </c>
    </row>
    <row r="32" spans="1:5" x14ac:dyDescent="0.25">
      <c r="A32" s="23" t="s">
        <v>8</v>
      </c>
      <c r="B32" s="14">
        <v>2206</v>
      </c>
      <c r="C32" s="14">
        <v>1430</v>
      </c>
      <c r="D32" s="21">
        <f t="shared" si="0"/>
        <v>3636</v>
      </c>
      <c r="E32" s="21">
        <f t="shared" si="1"/>
        <v>0.39328932893289331</v>
      </c>
    </row>
    <row r="33" spans="1:5" x14ac:dyDescent="0.25">
      <c r="A33" s="23" t="s">
        <v>9</v>
      </c>
      <c r="B33" s="14">
        <v>2096</v>
      </c>
      <c r="C33" s="14">
        <v>1577</v>
      </c>
      <c r="D33" s="21">
        <f t="shared" si="0"/>
        <v>3673</v>
      </c>
      <c r="E33" s="21">
        <f t="shared" si="1"/>
        <v>0.42934930574462293</v>
      </c>
    </row>
    <row r="34" spans="1:5" x14ac:dyDescent="0.25">
      <c r="A34" s="23" t="s">
        <v>10</v>
      </c>
      <c r="B34" s="14">
        <v>2761</v>
      </c>
      <c r="C34" s="14">
        <v>2730</v>
      </c>
      <c r="D34" s="21">
        <f t="shared" si="0"/>
        <v>5491</v>
      </c>
      <c r="E34" s="21">
        <f t="shared" si="1"/>
        <v>0.49717719905299579</v>
      </c>
    </row>
    <row r="35" spans="1:5" x14ac:dyDescent="0.25">
      <c r="A35" s="23" t="s">
        <v>11</v>
      </c>
      <c r="B35" s="14">
        <v>2489</v>
      </c>
      <c r="C35" s="14">
        <v>3205</v>
      </c>
      <c r="D35" s="21">
        <f t="shared" si="0"/>
        <v>5694</v>
      </c>
      <c r="E35" s="21">
        <f t="shared" si="1"/>
        <v>0.56287319985950124</v>
      </c>
    </row>
    <row r="36" spans="1:5" x14ac:dyDescent="0.25">
      <c r="A36" s="23" t="s">
        <v>12</v>
      </c>
      <c r="B36" s="14">
        <v>2723</v>
      </c>
      <c r="C36" s="14">
        <v>3984</v>
      </c>
      <c r="D36" s="21">
        <f t="shared" si="0"/>
        <v>6707</v>
      </c>
      <c r="E36" s="21">
        <f t="shared" si="1"/>
        <v>0.59400626211420904</v>
      </c>
    </row>
    <row r="37" spans="1:5" x14ac:dyDescent="0.25">
      <c r="A37" s="23" t="s">
        <v>13</v>
      </c>
      <c r="B37" s="14">
        <v>2421</v>
      </c>
      <c r="C37" s="14">
        <v>3859</v>
      </c>
      <c r="D37" s="21">
        <f t="shared" si="0"/>
        <v>6280</v>
      </c>
      <c r="E37" s="21">
        <f t="shared" si="1"/>
        <v>0.61449044585987256</v>
      </c>
    </row>
    <row r="38" spans="1:5" x14ac:dyDescent="0.25">
      <c r="A38" s="23" t="s">
        <v>14</v>
      </c>
      <c r="B38" s="14">
        <v>1644</v>
      </c>
      <c r="C38" s="14">
        <v>3366</v>
      </c>
      <c r="D38" s="21">
        <f t="shared" si="0"/>
        <v>5010</v>
      </c>
      <c r="E38" s="21">
        <f t="shared" si="1"/>
        <v>0.67185628742514969</v>
      </c>
    </row>
    <row r="39" spans="1:5" x14ac:dyDescent="0.25">
      <c r="A39" s="23" t="s">
        <v>15</v>
      </c>
      <c r="B39" s="14">
        <v>1573</v>
      </c>
      <c r="C39" s="14">
        <v>2491</v>
      </c>
      <c r="D39" s="21">
        <f t="shared" si="0"/>
        <v>4064</v>
      </c>
      <c r="E39" s="21">
        <f t="shared" si="1"/>
        <v>0.61294291338582674</v>
      </c>
    </row>
    <row r="40" spans="1:5" x14ac:dyDescent="0.25">
      <c r="A40" s="23" t="s">
        <v>16</v>
      </c>
      <c r="B40" s="14">
        <v>1556</v>
      </c>
      <c r="C40" s="14">
        <v>2689</v>
      </c>
      <c r="D40" s="21">
        <f t="shared" si="0"/>
        <v>4245</v>
      </c>
      <c r="E40" s="21">
        <f t="shared" si="1"/>
        <v>0.63345111896348649</v>
      </c>
    </row>
    <row r="41" spans="1:5" x14ac:dyDescent="0.25">
      <c r="A41" s="22" t="s">
        <v>19</v>
      </c>
      <c r="B41" s="14">
        <v>37074</v>
      </c>
      <c r="C41" s="14">
        <v>88472</v>
      </c>
      <c r="D41" s="21">
        <f t="shared" si="0"/>
        <v>125546</v>
      </c>
      <c r="E41" s="21">
        <f t="shared" si="1"/>
        <v>0.70469787966163799</v>
      </c>
    </row>
    <row r="42" spans="1:5" x14ac:dyDescent="0.25">
      <c r="A42" s="23" t="s">
        <v>5</v>
      </c>
      <c r="B42" s="14">
        <v>1378</v>
      </c>
      <c r="C42" s="14">
        <v>2569</v>
      </c>
      <c r="D42" s="21">
        <f t="shared" si="0"/>
        <v>3947</v>
      </c>
      <c r="E42" s="21">
        <f t="shared" si="1"/>
        <v>0.65087408158094751</v>
      </c>
    </row>
    <row r="43" spans="1:5" x14ac:dyDescent="0.25">
      <c r="A43" s="23" t="s">
        <v>6</v>
      </c>
      <c r="B43" s="14">
        <v>1667</v>
      </c>
      <c r="C43" s="14">
        <v>3721</v>
      </c>
      <c r="D43" s="21">
        <f t="shared" si="0"/>
        <v>5388</v>
      </c>
      <c r="E43" s="21">
        <f t="shared" si="1"/>
        <v>0.69060876020786932</v>
      </c>
    </row>
    <row r="44" spans="1:5" x14ac:dyDescent="0.25">
      <c r="A44" s="23" t="s">
        <v>7</v>
      </c>
      <c r="B44" s="14">
        <v>3074</v>
      </c>
      <c r="C44" s="14">
        <v>8275</v>
      </c>
      <c r="D44" s="21">
        <f t="shared" si="0"/>
        <v>11349</v>
      </c>
      <c r="E44" s="21">
        <f t="shared" si="1"/>
        <v>0.72913913120098683</v>
      </c>
    </row>
    <row r="45" spans="1:5" x14ac:dyDescent="0.25">
      <c r="A45" s="23" t="s">
        <v>8</v>
      </c>
      <c r="B45" s="14">
        <v>2875</v>
      </c>
      <c r="C45" s="14">
        <v>7815</v>
      </c>
      <c r="D45" s="21">
        <f t="shared" si="0"/>
        <v>10690</v>
      </c>
      <c r="E45" s="21">
        <f t="shared" si="1"/>
        <v>0.73105706267539761</v>
      </c>
    </row>
    <row r="46" spans="1:5" x14ac:dyDescent="0.25">
      <c r="A46" s="23" t="s">
        <v>9</v>
      </c>
      <c r="B46" s="14">
        <v>3217</v>
      </c>
      <c r="C46" s="14">
        <v>8106</v>
      </c>
      <c r="D46" s="21">
        <f t="shared" si="0"/>
        <v>11323</v>
      </c>
      <c r="E46" s="21">
        <f t="shared" si="1"/>
        <v>0.71588801554358383</v>
      </c>
    </row>
    <row r="47" spans="1:5" x14ac:dyDescent="0.25">
      <c r="A47" s="23" t="s">
        <v>10</v>
      </c>
      <c r="B47" s="14">
        <v>4356</v>
      </c>
      <c r="C47" s="14">
        <v>9673</v>
      </c>
      <c r="D47" s="21">
        <f t="shared" si="0"/>
        <v>14029</v>
      </c>
      <c r="E47" s="21">
        <f t="shared" si="1"/>
        <v>0.68950032076413148</v>
      </c>
    </row>
    <row r="48" spans="1:5" x14ac:dyDescent="0.25">
      <c r="A48" s="23" t="s">
        <v>11</v>
      </c>
      <c r="B48" s="14">
        <v>4326</v>
      </c>
      <c r="C48" s="14">
        <v>9216</v>
      </c>
      <c r="D48" s="21">
        <f t="shared" si="0"/>
        <v>13542</v>
      </c>
      <c r="E48" s="21">
        <f t="shared" si="1"/>
        <v>0.68054940186087731</v>
      </c>
    </row>
    <row r="49" spans="1:5" x14ac:dyDescent="0.25">
      <c r="A49" s="23" t="s">
        <v>12</v>
      </c>
      <c r="B49" s="14">
        <v>4930</v>
      </c>
      <c r="C49" s="14">
        <v>11308</v>
      </c>
      <c r="D49" s="21">
        <f t="shared" si="0"/>
        <v>16238</v>
      </c>
      <c r="E49" s="21">
        <f t="shared" si="1"/>
        <v>0.69639118117994825</v>
      </c>
    </row>
    <row r="50" spans="1:5" x14ac:dyDescent="0.25">
      <c r="A50" s="23" t="s">
        <v>13</v>
      </c>
      <c r="B50" s="14">
        <v>3826</v>
      </c>
      <c r="C50" s="14">
        <v>10575</v>
      </c>
      <c r="D50" s="21">
        <f t="shared" si="0"/>
        <v>14401</v>
      </c>
      <c r="E50" s="21">
        <f t="shared" si="1"/>
        <v>0.73432400527741126</v>
      </c>
    </row>
    <row r="51" spans="1:5" x14ac:dyDescent="0.25">
      <c r="A51" s="23" t="s">
        <v>14</v>
      </c>
      <c r="B51" s="14">
        <v>3004</v>
      </c>
      <c r="C51" s="14">
        <v>6494</v>
      </c>
      <c r="D51" s="21">
        <f t="shared" si="0"/>
        <v>9498</v>
      </c>
      <c r="E51" s="21">
        <f t="shared" si="1"/>
        <v>0.68372288902926937</v>
      </c>
    </row>
    <row r="52" spans="1:5" x14ac:dyDescent="0.25">
      <c r="A52" s="23" t="s">
        <v>15</v>
      </c>
      <c r="B52" s="14">
        <v>2443</v>
      </c>
      <c r="C52" s="14">
        <v>5961</v>
      </c>
      <c r="D52" s="21">
        <f t="shared" si="0"/>
        <v>8404</v>
      </c>
      <c r="E52" s="21">
        <f t="shared" si="1"/>
        <v>0.70930509281294618</v>
      </c>
    </row>
    <row r="53" spans="1:5" x14ac:dyDescent="0.25">
      <c r="A53" s="23" t="s">
        <v>16</v>
      </c>
      <c r="B53" s="14">
        <v>1978</v>
      </c>
      <c r="C53" s="14">
        <v>4759</v>
      </c>
      <c r="D53" s="21">
        <f t="shared" si="0"/>
        <v>6737</v>
      </c>
      <c r="E53" s="21">
        <f t="shared" si="1"/>
        <v>0.70639750630844589</v>
      </c>
    </row>
    <row r="54" spans="1:5" x14ac:dyDescent="0.25">
      <c r="A54" s="22" t="s">
        <v>20</v>
      </c>
      <c r="B54" s="14">
        <v>33123</v>
      </c>
      <c r="C54" s="14">
        <v>72094</v>
      </c>
      <c r="D54" s="21">
        <f t="shared" si="0"/>
        <v>105217</v>
      </c>
      <c r="E54" s="21">
        <f t="shared" si="1"/>
        <v>0.68519345733103965</v>
      </c>
    </row>
    <row r="55" spans="1:5" x14ac:dyDescent="0.25">
      <c r="A55" s="23" t="s">
        <v>5</v>
      </c>
      <c r="B55" s="14">
        <v>1953</v>
      </c>
      <c r="C55" s="14">
        <v>5013</v>
      </c>
      <c r="D55" s="21">
        <f t="shared" si="0"/>
        <v>6966</v>
      </c>
      <c r="E55" s="21">
        <f t="shared" si="1"/>
        <v>0.71963824289405687</v>
      </c>
    </row>
    <row r="56" spans="1:5" x14ac:dyDescent="0.25">
      <c r="A56" s="23" t="s">
        <v>6</v>
      </c>
      <c r="B56" s="14">
        <v>1870</v>
      </c>
      <c r="C56" s="14">
        <v>5324</v>
      </c>
      <c r="D56" s="21">
        <f t="shared" si="0"/>
        <v>7194</v>
      </c>
      <c r="E56" s="21">
        <f t="shared" si="1"/>
        <v>0.74006116207951067</v>
      </c>
    </row>
    <row r="57" spans="1:5" x14ac:dyDescent="0.25">
      <c r="A57" s="23" t="s">
        <v>7</v>
      </c>
      <c r="B57" s="14">
        <v>2140</v>
      </c>
      <c r="C57" s="14">
        <v>5543</v>
      </c>
      <c r="D57" s="21">
        <f t="shared" si="0"/>
        <v>7683</v>
      </c>
      <c r="E57" s="21">
        <f t="shared" si="1"/>
        <v>0.72146297019393468</v>
      </c>
    </row>
    <row r="58" spans="1:5" x14ac:dyDescent="0.25">
      <c r="A58" s="23" t="s">
        <v>8</v>
      </c>
      <c r="B58" s="14">
        <v>2381</v>
      </c>
      <c r="C58" s="14">
        <v>6139</v>
      </c>
      <c r="D58" s="21">
        <f t="shared" si="0"/>
        <v>8520</v>
      </c>
      <c r="E58" s="21">
        <f t="shared" si="1"/>
        <v>0.72053990610328633</v>
      </c>
    </row>
    <row r="59" spans="1:5" x14ac:dyDescent="0.25">
      <c r="A59" s="23" t="s">
        <v>9</v>
      </c>
      <c r="B59" s="14">
        <v>3976</v>
      </c>
      <c r="C59" s="14">
        <v>7463</v>
      </c>
      <c r="D59" s="21">
        <f t="shared" si="0"/>
        <v>11439</v>
      </c>
      <c r="E59" s="21">
        <f t="shared" si="1"/>
        <v>0.65241716933298366</v>
      </c>
    </row>
    <row r="60" spans="1:5" x14ac:dyDescent="0.25">
      <c r="A60" s="23" t="s">
        <v>10</v>
      </c>
      <c r="B60" s="14">
        <v>3290</v>
      </c>
      <c r="C60" s="14">
        <v>6305</v>
      </c>
      <c r="D60" s="21">
        <f t="shared" si="0"/>
        <v>9595</v>
      </c>
      <c r="E60" s="21">
        <f t="shared" si="1"/>
        <v>0.65711307972902555</v>
      </c>
    </row>
    <row r="61" spans="1:5" x14ac:dyDescent="0.25">
      <c r="A61" s="23" t="s">
        <v>11</v>
      </c>
      <c r="B61" s="14">
        <v>3316</v>
      </c>
      <c r="C61" s="14">
        <v>6015</v>
      </c>
      <c r="D61" s="21">
        <f t="shared" si="0"/>
        <v>9331</v>
      </c>
      <c r="E61" s="21">
        <f t="shared" si="1"/>
        <v>0.64462544207480443</v>
      </c>
    </row>
    <row r="62" spans="1:5" x14ac:dyDescent="0.25">
      <c r="A62" s="23" t="s">
        <v>12</v>
      </c>
      <c r="B62" s="14">
        <v>3847</v>
      </c>
      <c r="C62" s="14">
        <v>7067</v>
      </c>
      <c r="D62" s="21">
        <f t="shared" si="0"/>
        <v>10914</v>
      </c>
      <c r="E62" s="21">
        <f t="shared" si="1"/>
        <v>0.64751695070551585</v>
      </c>
    </row>
    <row r="63" spans="1:5" x14ac:dyDescent="0.25">
      <c r="A63" s="23" t="s">
        <v>13</v>
      </c>
      <c r="B63" s="14">
        <v>3089</v>
      </c>
      <c r="C63" s="14">
        <v>6768</v>
      </c>
      <c r="D63" s="21">
        <f t="shared" si="0"/>
        <v>9857</v>
      </c>
      <c r="E63" s="21">
        <f t="shared" si="1"/>
        <v>0.68661864664705285</v>
      </c>
    </row>
    <row r="64" spans="1:5" x14ac:dyDescent="0.25">
      <c r="A64" s="23" t="s">
        <v>14</v>
      </c>
      <c r="B64" s="14">
        <v>2848</v>
      </c>
      <c r="C64" s="14">
        <v>6581</v>
      </c>
      <c r="D64" s="21">
        <f t="shared" si="0"/>
        <v>9429</v>
      </c>
      <c r="E64" s="21">
        <f t="shared" si="1"/>
        <v>0.6979531233428784</v>
      </c>
    </row>
    <row r="65" spans="1:5" x14ac:dyDescent="0.25">
      <c r="A65" s="23" t="s">
        <v>15</v>
      </c>
      <c r="B65" s="14">
        <v>2320</v>
      </c>
      <c r="C65" s="14">
        <v>5291</v>
      </c>
      <c r="D65" s="21">
        <f t="shared" si="0"/>
        <v>7611</v>
      </c>
      <c r="E65" s="21">
        <f t="shared" si="1"/>
        <v>0.69517803179608462</v>
      </c>
    </row>
    <row r="66" spans="1:5" x14ac:dyDescent="0.25">
      <c r="A66" s="23" t="s">
        <v>16</v>
      </c>
      <c r="B66" s="14">
        <v>2093</v>
      </c>
      <c r="C66" s="14">
        <v>4585</v>
      </c>
      <c r="D66" s="21">
        <f t="shared" si="0"/>
        <v>6678</v>
      </c>
      <c r="E66" s="21">
        <f t="shared" si="1"/>
        <v>0.68658280922431869</v>
      </c>
    </row>
    <row r="67" spans="1:5" x14ac:dyDescent="0.25">
      <c r="A67" s="22" t="s">
        <v>21</v>
      </c>
      <c r="B67" s="14">
        <v>42757</v>
      </c>
      <c r="C67" s="14">
        <v>85280</v>
      </c>
      <c r="D67" s="21">
        <f t="shared" ref="D67:D101" si="2">B67+C67</f>
        <v>128037</v>
      </c>
      <c r="E67" s="21">
        <f t="shared" ref="E67:E101" si="3">C67/D67</f>
        <v>0.66605746776322472</v>
      </c>
    </row>
    <row r="68" spans="1:5" x14ac:dyDescent="0.25">
      <c r="A68" s="23" t="s">
        <v>5</v>
      </c>
      <c r="B68" s="14">
        <v>2079</v>
      </c>
      <c r="C68" s="14">
        <v>5749</v>
      </c>
      <c r="D68" s="21">
        <f t="shared" si="2"/>
        <v>7828</v>
      </c>
      <c r="E68" s="21">
        <f t="shared" si="3"/>
        <v>0.73441492079713844</v>
      </c>
    </row>
    <row r="69" spans="1:5" x14ac:dyDescent="0.25">
      <c r="A69" s="23" t="s">
        <v>6</v>
      </c>
      <c r="B69" s="14">
        <v>1971</v>
      </c>
      <c r="C69" s="14">
        <v>5808</v>
      </c>
      <c r="D69" s="21">
        <f t="shared" si="2"/>
        <v>7779</v>
      </c>
      <c r="E69" s="21">
        <f t="shared" si="3"/>
        <v>0.74662553027381406</v>
      </c>
    </row>
    <row r="70" spans="1:5" x14ac:dyDescent="0.25">
      <c r="A70" s="23" t="s">
        <v>7</v>
      </c>
      <c r="B70" s="14">
        <v>7923</v>
      </c>
      <c r="C70" s="14">
        <v>9041</v>
      </c>
      <c r="D70" s="21">
        <f t="shared" si="2"/>
        <v>16964</v>
      </c>
      <c r="E70" s="21">
        <f t="shared" si="3"/>
        <v>0.53295213393067675</v>
      </c>
    </row>
    <row r="71" spans="1:5" x14ac:dyDescent="0.25">
      <c r="A71" s="23" t="s">
        <v>8</v>
      </c>
      <c r="B71" s="14">
        <v>2878</v>
      </c>
      <c r="C71" s="14">
        <v>6421</v>
      </c>
      <c r="D71" s="21">
        <f t="shared" si="2"/>
        <v>9299</v>
      </c>
      <c r="E71" s="21">
        <f t="shared" si="3"/>
        <v>0.69050435530702226</v>
      </c>
    </row>
    <row r="72" spans="1:5" x14ac:dyDescent="0.25">
      <c r="A72" s="23" t="s">
        <v>9</v>
      </c>
      <c r="B72" s="14">
        <v>3283</v>
      </c>
      <c r="C72" s="14">
        <v>6567</v>
      </c>
      <c r="D72" s="21">
        <f t="shared" si="2"/>
        <v>9850</v>
      </c>
      <c r="E72" s="21">
        <f t="shared" si="3"/>
        <v>0.66670050761421318</v>
      </c>
    </row>
    <row r="73" spans="1:5" x14ac:dyDescent="0.25">
      <c r="A73" s="23" t="s">
        <v>10</v>
      </c>
      <c r="B73" s="14">
        <v>3600</v>
      </c>
      <c r="C73" s="14">
        <v>6878</v>
      </c>
      <c r="D73" s="21">
        <f t="shared" si="2"/>
        <v>10478</v>
      </c>
      <c r="E73" s="21">
        <f t="shared" si="3"/>
        <v>0.65642298148501621</v>
      </c>
    </row>
    <row r="74" spans="1:5" x14ac:dyDescent="0.25">
      <c r="A74" s="23" t="s">
        <v>11</v>
      </c>
      <c r="B74" s="14">
        <v>3828</v>
      </c>
      <c r="C74" s="14">
        <v>7313</v>
      </c>
      <c r="D74" s="21">
        <f t="shared" si="2"/>
        <v>11141</v>
      </c>
      <c r="E74" s="21">
        <f t="shared" si="3"/>
        <v>0.65640427250695632</v>
      </c>
    </row>
    <row r="75" spans="1:5" x14ac:dyDescent="0.25">
      <c r="A75" s="23" t="s">
        <v>12</v>
      </c>
      <c r="B75" s="14">
        <v>4290</v>
      </c>
      <c r="C75" s="14">
        <v>8484</v>
      </c>
      <c r="D75" s="21">
        <f t="shared" si="2"/>
        <v>12774</v>
      </c>
      <c r="E75" s="21">
        <f t="shared" si="3"/>
        <v>0.66416157820573041</v>
      </c>
    </row>
    <row r="76" spans="1:5" x14ac:dyDescent="0.25">
      <c r="A76" s="23" t="s">
        <v>13</v>
      </c>
      <c r="B76" s="14">
        <v>3651</v>
      </c>
      <c r="C76" s="14">
        <v>7918</v>
      </c>
      <c r="D76" s="21">
        <f t="shared" si="2"/>
        <v>11569</v>
      </c>
      <c r="E76" s="21">
        <f t="shared" si="3"/>
        <v>0.6844152476445674</v>
      </c>
    </row>
    <row r="77" spans="1:5" x14ac:dyDescent="0.25">
      <c r="A77" s="23" t="s">
        <v>14</v>
      </c>
      <c r="B77" s="14">
        <v>3629</v>
      </c>
      <c r="C77" s="14">
        <v>8066</v>
      </c>
      <c r="D77" s="21">
        <f t="shared" si="2"/>
        <v>11695</v>
      </c>
      <c r="E77" s="21">
        <f t="shared" si="3"/>
        <v>0.68969645147498926</v>
      </c>
    </row>
    <row r="78" spans="1:5" x14ac:dyDescent="0.25">
      <c r="A78" s="23" t="s">
        <v>15</v>
      </c>
      <c r="B78" s="14">
        <v>2950</v>
      </c>
      <c r="C78" s="14">
        <v>6703</v>
      </c>
      <c r="D78" s="21">
        <f t="shared" si="2"/>
        <v>9653</v>
      </c>
      <c r="E78" s="21">
        <f t="shared" si="3"/>
        <v>0.69439552470734489</v>
      </c>
    </row>
    <row r="79" spans="1:5" x14ac:dyDescent="0.25">
      <c r="A79" s="23" t="s">
        <v>16</v>
      </c>
      <c r="B79" s="14">
        <v>2675</v>
      </c>
      <c r="C79" s="14">
        <v>6332</v>
      </c>
      <c r="D79" s="21">
        <f t="shared" si="2"/>
        <v>9007</v>
      </c>
      <c r="E79" s="21">
        <f t="shared" si="3"/>
        <v>0.70300877095592318</v>
      </c>
    </row>
    <row r="80" spans="1:5" x14ac:dyDescent="0.25">
      <c r="A80" s="22" t="s">
        <v>22</v>
      </c>
      <c r="B80" s="14">
        <v>44831</v>
      </c>
      <c r="C80" s="14">
        <v>98972</v>
      </c>
      <c r="D80" s="21">
        <f t="shared" si="2"/>
        <v>143803</v>
      </c>
      <c r="E80" s="21">
        <f t="shared" si="3"/>
        <v>0.68824711584598375</v>
      </c>
    </row>
    <row r="81" spans="1:5" x14ac:dyDescent="0.25">
      <c r="A81" s="23" t="s">
        <v>5</v>
      </c>
      <c r="B81" s="14">
        <v>3297</v>
      </c>
      <c r="C81" s="14">
        <v>9170</v>
      </c>
      <c r="D81" s="21">
        <f t="shared" si="2"/>
        <v>12467</v>
      </c>
      <c r="E81" s="21">
        <f t="shared" si="3"/>
        <v>0.73554183043234134</v>
      </c>
    </row>
    <row r="82" spans="1:5" x14ac:dyDescent="0.25">
      <c r="A82" s="23" t="s">
        <v>6</v>
      </c>
      <c r="B82" s="14">
        <v>2982</v>
      </c>
      <c r="C82" s="14">
        <v>9720</v>
      </c>
      <c r="D82" s="21">
        <f t="shared" si="2"/>
        <v>12702</v>
      </c>
      <c r="E82" s="21">
        <f t="shared" si="3"/>
        <v>0.76523382144544161</v>
      </c>
    </row>
    <row r="83" spans="1:5" x14ac:dyDescent="0.25">
      <c r="A83" s="23" t="s">
        <v>7</v>
      </c>
      <c r="B83" s="14">
        <v>3553</v>
      </c>
      <c r="C83" s="14">
        <v>9638</v>
      </c>
      <c r="D83" s="21">
        <f t="shared" si="2"/>
        <v>13191</v>
      </c>
      <c r="E83" s="21">
        <f t="shared" si="3"/>
        <v>0.73064968539155484</v>
      </c>
    </row>
    <row r="84" spans="1:5" x14ac:dyDescent="0.25">
      <c r="A84" s="23" t="s">
        <v>8</v>
      </c>
      <c r="B84" s="14">
        <v>3373</v>
      </c>
      <c r="C84" s="14">
        <v>8597</v>
      </c>
      <c r="D84" s="21">
        <f t="shared" si="2"/>
        <v>11970</v>
      </c>
      <c r="E84" s="21">
        <f t="shared" si="3"/>
        <v>0.71821219715956564</v>
      </c>
    </row>
    <row r="85" spans="1:5" x14ac:dyDescent="0.25">
      <c r="A85" s="23" t="s">
        <v>9</v>
      </c>
      <c r="B85" s="14">
        <v>4114</v>
      </c>
      <c r="C85" s="14">
        <v>9551</v>
      </c>
      <c r="D85" s="21">
        <f t="shared" si="2"/>
        <v>13665</v>
      </c>
      <c r="E85" s="21">
        <f t="shared" si="3"/>
        <v>0.69893889498719353</v>
      </c>
    </row>
    <row r="86" spans="1:5" x14ac:dyDescent="0.25">
      <c r="A86" s="23" t="s">
        <v>10</v>
      </c>
      <c r="B86" s="14">
        <v>4751</v>
      </c>
      <c r="C86" s="14">
        <v>9390</v>
      </c>
      <c r="D86" s="21">
        <f t="shared" si="2"/>
        <v>14141</v>
      </c>
      <c r="E86" s="21">
        <f t="shared" si="3"/>
        <v>0.66402658935011671</v>
      </c>
    </row>
    <row r="87" spans="1:5" x14ac:dyDescent="0.25">
      <c r="A87" s="23" t="s">
        <v>11</v>
      </c>
      <c r="B87" s="14">
        <v>4680</v>
      </c>
      <c r="C87" s="14">
        <v>8271</v>
      </c>
      <c r="D87" s="21">
        <f t="shared" si="2"/>
        <v>12951</v>
      </c>
      <c r="E87" s="21">
        <f t="shared" si="3"/>
        <v>0.63863794301598331</v>
      </c>
    </row>
    <row r="88" spans="1:5" x14ac:dyDescent="0.25">
      <c r="A88" s="23" t="s">
        <v>12</v>
      </c>
      <c r="B88" s="14">
        <v>4612</v>
      </c>
      <c r="C88" s="14">
        <v>8355</v>
      </c>
      <c r="D88" s="21">
        <f t="shared" si="2"/>
        <v>12967</v>
      </c>
      <c r="E88" s="21">
        <f t="shared" si="3"/>
        <v>0.64432790930824402</v>
      </c>
    </row>
    <row r="89" spans="1:5" x14ac:dyDescent="0.25">
      <c r="A89" s="23" t="s">
        <v>13</v>
      </c>
      <c r="B89" s="14">
        <v>3830</v>
      </c>
      <c r="C89" s="14">
        <v>7953</v>
      </c>
      <c r="D89" s="21">
        <f t="shared" si="2"/>
        <v>11783</v>
      </c>
      <c r="E89" s="21">
        <f t="shared" si="3"/>
        <v>0.67495544428413812</v>
      </c>
    </row>
    <row r="90" spans="1:5" x14ac:dyDescent="0.25">
      <c r="A90" s="23" t="s">
        <v>14</v>
      </c>
      <c r="B90" s="14">
        <v>3606</v>
      </c>
      <c r="C90" s="14">
        <v>6758</v>
      </c>
      <c r="D90" s="21">
        <f t="shared" si="2"/>
        <v>10364</v>
      </c>
      <c r="E90" s="21">
        <f t="shared" si="3"/>
        <v>0.65206483983018138</v>
      </c>
    </row>
    <row r="91" spans="1:5" x14ac:dyDescent="0.25">
      <c r="A91" s="23" t="s">
        <v>15</v>
      </c>
      <c r="B91" s="14">
        <v>3025</v>
      </c>
      <c r="C91" s="14">
        <v>5885</v>
      </c>
      <c r="D91" s="21">
        <f t="shared" si="2"/>
        <v>8910</v>
      </c>
      <c r="E91" s="21">
        <f t="shared" si="3"/>
        <v>0.66049382716049387</v>
      </c>
    </row>
    <row r="92" spans="1:5" x14ac:dyDescent="0.25">
      <c r="A92" s="23" t="s">
        <v>16</v>
      </c>
      <c r="B92" s="14">
        <v>3008</v>
      </c>
      <c r="C92" s="14">
        <v>5684</v>
      </c>
      <c r="D92" s="21">
        <f t="shared" si="2"/>
        <v>8692</v>
      </c>
      <c r="E92" s="21">
        <f t="shared" si="3"/>
        <v>0.65393465255407268</v>
      </c>
    </row>
    <row r="93" spans="1:5" x14ac:dyDescent="0.25">
      <c r="A93" s="22" t="s">
        <v>23</v>
      </c>
      <c r="B93" s="14">
        <v>19581</v>
      </c>
      <c r="C93" s="14">
        <v>27862</v>
      </c>
      <c r="D93" s="21">
        <f t="shared" si="2"/>
        <v>47443</v>
      </c>
      <c r="E93" s="21">
        <f t="shared" si="3"/>
        <v>0.58727314883122905</v>
      </c>
    </row>
    <row r="94" spans="1:5" x14ac:dyDescent="0.25">
      <c r="A94" s="23" t="s">
        <v>5</v>
      </c>
      <c r="B94" s="14">
        <v>2075</v>
      </c>
      <c r="C94" s="14">
        <v>3479</v>
      </c>
      <c r="D94" s="21">
        <f t="shared" si="2"/>
        <v>5554</v>
      </c>
      <c r="E94" s="21">
        <f t="shared" si="3"/>
        <v>0.62639539070939865</v>
      </c>
    </row>
    <row r="95" spans="1:5" x14ac:dyDescent="0.25">
      <c r="A95" s="23" t="s">
        <v>6</v>
      </c>
      <c r="B95" s="14">
        <v>1726</v>
      </c>
      <c r="C95" s="14">
        <v>3231</v>
      </c>
      <c r="D95" s="21">
        <f t="shared" si="2"/>
        <v>4957</v>
      </c>
      <c r="E95" s="21">
        <f t="shared" si="3"/>
        <v>0.65180552753681664</v>
      </c>
    </row>
    <row r="96" spans="1:5" x14ac:dyDescent="0.25">
      <c r="A96" s="23" t="s">
        <v>7</v>
      </c>
      <c r="B96" s="14">
        <v>2292</v>
      </c>
      <c r="C96" s="14">
        <v>3821</v>
      </c>
      <c r="D96" s="21">
        <f t="shared" si="2"/>
        <v>6113</v>
      </c>
      <c r="E96" s="21">
        <f t="shared" si="3"/>
        <v>0.62506134467528218</v>
      </c>
    </row>
    <row r="97" spans="1:5" x14ac:dyDescent="0.25">
      <c r="A97" s="23" t="s">
        <v>8</v>
      </c>
      <c r="B97" s="14">
        <v>2423</v>
      </c>
      <c r="C97" s="14">
        <v>3765</v>
      </c>
      <c r="D97" s="21">
        <f t="shared" si="2"/>
        <v>6188</v>
      </c>
      <c r="E97" s="21">
        <f t="shared" si="3"/>
        <v>0.60843568196509368</v>
      </c>
    </row>
    <row r="98" spans="1:5" x14ac:dyDescent="0.25">
      <c r="A98" s="23" t="s">
        <v>9</v>
      </c>
      <c r="B98" s="14">
        <v>2749</v>
      </c>
      <c r="C98" s="14">
        <v>3665</v>
      </c>
      <c r="D98" s="21">
        <f t="shared" si="2"/>
        <v>6414</v>
      </c>
      <c r="E98" s="21">
        <f t="shared" si="3"/>
        <v>0.57140629872154658</v>
      </c>
    </row>
    <row r="99" spans="1:5" x14ac:dyDescent="0.25">
      <c r="A99" s="23" t="s">
        <v>10</v>
      </c>
      <c r="B99" s="14">
        <v>3303</v>
      </c>
      <c r="C99" s="14">
        <v>4039</v>
      </c>
      <c r="D99" s="21">
        <f t="shared" si="2"/>
        <v>7342</v>
      </c>
      <c r="E99" s="21">
        <f t="shared" si="3"/>
        <v>0.55012258240261513</v>
      </c>
    </row>
    <row r="100" spans="1:5" x14ac:dyDescent="0.25">
      <c r="A100" s="23" t="s">
        <v>11</v>
      </c>
      <c r="B100" s="14">
        <v>3574</v>
      </c>
      <c r="C100" s="14">
        <v>4220</v>
      </c>
      <c r="D100" s="21">
        <f t="shared" si="2"/>
        <v>7794</v>
      </c>
      <c r="E100" s="21">
        <f t="shared" si="3"/>
        <v>0.54144213497562232</v>
      </c>
    </row>
    <row r="101" spans="1:5" x14ac:dyDescent="0.25">
      <c r="A101" s="23" t="s">
        <v>12</v>
      </c>
      <c r="B101" s="14">
        <v>1437</v>
      </c>
      <c r="C101" s="14">
        <v>1642</v>
      </c>
      <c r="D101" s="21">
        <f t="shared" si="2"/>
        <v>3079</v>
      </c>
      <c r="E101" s="21">
        <f t="shared" si="3"/>
        <v>0.53329002923026958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651d5a769f3f87eb8d1811282a447c0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a16df16bc9de24575ff764bc7fe86503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82B80BA7-1972-4343-A9D9-B7E24D7EEE31}"/>
</file>

<file path=customXml/itemProps2.xml><?xml version="1.0" encoding="utf-8"?>
<ds:datastoreItem xmlns:ds="http://schemas.openxmlformats.org/officeDocument/2006/customXml" ds:itemID="{82C64413-5794-414E-B36C-CEBD5123DA7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06E67194-645B-4717-9022-89716EFD704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C778B07-A143-44DC-B14F-B0D1513589C3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c7399858-f709-47a4-9356-cd65dfba68df"/>
    <ds:schemaRef ds:uri="4f498d86-cf05-4a11-9185-035e71bccb4a"/>
    <ds:schemaRef ds:uri="a433be04-1063-452b-9ab8-ba06373cb7cb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ACPC</vt:lpstr>
      <vt:lpstr>CPP</vt:lpstr>
      <vt:lpstr>PTR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U22070-UCC-CE-0455_U22070-UCC-CE-0455_Gast_Att_1 .xlsx</dc:title>
  <dc:creator>Sumera Rizvi</dc:creator>
  <cp:lastModifiedBy>Jeffrey C LeBrun</cp:lastModifiedBy>
  <dcterms:created xsi:type="dcterms:W3CDTF">2026-08-13T20:06:30Z</dcterms:created>
  <dcterms:modified xsi:type="dcterms:W3CDTF">2026-08-14T19:08:51Z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RevIMBCS">
    <vt:lpwstr>18;#LEG-111 Commission Reports and Rate Cases|998772b3-c445-483c-9f09-01b94c960e52</vt:lpwstr>
  </property>
  <property fmtid="{D5CDD505-2E9C-101B-9397-08002B2CF9AE}" pid="4" name="MediaServiceImageTags">
    <vt:lpwstr/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</Properties>
</file>